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ily Takings" sheetId="2" state="visible" r:id="rId4"/>
    <sheet name="Stock Tracker" sheetId="3" state="visible" r:id="rId5"/>
    <sheet name="Monthly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<sst xmlns="http://schemas.openxmlformats.org/spreadsheetml/2006/main" count="58" uniqueCount="54">
  <si>
    <t xml:space="preserve">Daily Takings &amp; Stock Tracker</t>
  </si>
  <si>
    <t xml:space="preserve">A free template from adamreflects.ie</t>
  </si>
  <si>
    <t xml:space="preserve">I built the full version of this for my own till at Belle Jewellery — cloud-based, connects to a card reader, prints receipts, the works. This isn't that. This is the plain spreadsheet version: no app, no login, no subscription, nothing that can go wrong at 5pm on a Saturday. Just open it and go.</t>
  </si>
  <si>
    <t xml:space="preserve">It does two jobs most small shops end up doing on paper or not at all: knowing what your till should have in it at the end of the day, and knowing what's actually on your shelves before you run out of it.</t>
  </si>
  <si>
    <t xml:space="preserve">HOW TO USE IT</t>
  </si>
  <si>
    <t xml:space="preserve">Daily Takings — Fill this in at the end of each day it takes about two minutes. Type into the pale yellow cells only; everything else works itself out.</t>
  </si>
  <si>
    <t xml:space="preserve">Stock Tracker — List what you sell, what it costs you, what you sell it for, and how many you've got. It'll flag anything that's dropped below your reorder level.</t>
  </si>
  <si>
    <t xml:space="preserve">Monthly Summary — Pick a year at the top and it totals your takings by month automatically, pulled straight from the Daily Takings tab. Nothing to type here except the year.</t>
  </si>
  <si>
    <t xml:space="preserve">COLOUR KEY</t>
  </si>
  <si>
    <t xml:space="preserve">Pale yellow with blue text = type your own numbers here.   Plain white with black text = a formula, leave it alone.</t>
  </si>
  <si>
    <t xml:space="preserve">A COUPLE OF HONEST NOTES</t>
  </si>
  <si>
    <t xml:space="preserve">Expected Cash assumes any refund you give is paid out in cash from the till. If you refund to a card instead, that's fine — it just means that refund shouldn't reduce your Expected Cash, so either leave it out of the Refunds column or note it in the Notes column instead.</t>
  </si>
  <si>
    <t xml:space="preserve">This won't replace proper accounting software once you're big enough to need one — it's meant for the gap between 'a notebook by the till' and 'paying someone monthly for a system you don't need yet.'</t>
  </si>
  <si>
    <t xml:space="preserve">Adjust anything. Add columns, rename headers, delete what you don't need. It's yours now.</t>
  </si>
  <si>
    <t xml:space="preserve">adamreflects.ie — built between customers, in a jewellers in Cork.</t>
  </si>
  <si>
    <t xml:space="preserve">Daily Takings Log</t>
  </si>
  <si>
    <t xml:space="preserve">Fill in the pale yellow cells at close each day. Everything else calculates itself.</t>
  </si>
  <si>
    <t xml:space="preserve">Date</t>
  </si>
  <si>
    <t xml:space="preserve">Staff</t>
  </si>
  <si>
    <t xml:space="preserve">Opening Float (€)</t>
  </si>
  <si>
    <t xml:space="preserve">Cash Sales (€)</t>
  </si>
  <si>
    <t xml:space="preserve">Card Sales (€)</t>
  </si>
  <si>
    <t xml:space="preserve">Voucher / Other Sales (€)</t>
  </si>
  <si>
    <t xml:space="preserve">Refunds (€)</t>
  </si>
  <si>
    <t xml:space="preserve">Total Takings (€)</t>
  </si>
  <si>
    <t xml:space="preserve">Net Takings (€)</t>
  </si>
  <si>
    <t xml:space="preserve">Cash Counted at Close (€)</t>
  </si>
  <si>
    <t xml:space="preserve">Expected Cash (€)</t>
  </si>
  <si>
    <t xml:space="preserve">Over / Short (€)</t>
  </si>
  <si>
    <t xml:space="preserve">Notes</t>
  </si>
  <si>
    <t xml:space="preserve">EXAMPLE — overwrite me</t>
  </si>
  <si>
    <t xml:space="preserve">AH</t>
  </si>
  <si>
    <t xml:space="preserve">Delete this row, or overwrite it — it's just here to show the format.</t>
  </si>
  <si>
    <t xml:space="preserve">Stock Tracker</t>
  </si>
  <si>
    <t xml:space="preserve">Type into the pale yellow cells. Margin and stock value work themselves out.</t>
  </si>
  <si>
    <t xml:space="preserve">Product / SKU</t>
  </si>
  <si>
    <t xml:space="preserve">Category</t>
  </si>
  <si>
    <t xml:space="preserve">Cost Price (€)</t>
  </si>
  <si>
    <t xml:space="preserve">Sell Price (€)</t>
  </si>
  <si>
    <t xml:space="preserve">Margin (€)</t>
  </si>
  <si>
    <t xml:space="preserve">Margin (%)</t>
  </si>
  <si>
    <t xml:space="preserve">Qty in Stock</t>
  </si>
  <si>
    <t xml:space="preserve">Reorder Level</t>
  </si>
  <si>
    <t xml:space="preserve">Reorder?</t>
  </si>
  <si>
    <t xml:space="preserve">Stock Value at Cost (€)</t>
  </si>
  <si>
    <t xml:space="preserve">Silver rings</t>
  </si>
  <si>
    <t xml:space="preserve">Delete this row, or overwrite it.</t>
  </si>
  <si>
    <t xml:space="preserve">Monthly Summary</t>
  </si>
  <si>
    <t xml:space="preserve">Pick a year below — everything else pulls from the Daily Takings tab automatically.</t>
  </si>
  <si>
    <t xml:space="preserve">Year:</t>
  </si>
  <si>
    <t xml:space="preserve">Month</t>
  </si>
  <si>
    <t xml:space="preserve">Total Refunds (€)</t>
  </si>
  <si>
    <t xml:space="preserve">Days Recorded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</si>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</sst>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\€#,##0.00;&quot;(€&quot;#,##0.00\);\–"/>
    <numFmt numFmtId="167" formatCode="0.0%;\(0.0%\);\–"/>
    <numFmt numFmtId="168" formatCode="0"/>
    <numFmt numFmtId="169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A1A2E"/>
      <name val="Arial"/>
      <family val="0"/>
      <charset val="1"/>
    </font>
    <font>
      <i val="true"/>
      <sz val="11"/>
      <color rgb="FFA8873A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6"/>
      <color rgb="FF1A1A2E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sz val="10"/>
      <color rgb="FF2563E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FF9D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double">
        <color rgb="FF1A1A2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873A"/>
      <rgbColor rgb="FF800080"/>
      <rgbColor rgb="FF008080"/>
      <rgbColor rgb="FFC0C0C0"/>
      <rgbColor rgb="FF808080"/>
      <rgbColor rgb="FF9999FF"/>
      <rgbColor rgb="FF993366"/>
      <rgbColor rgb="FFFFF9D6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</row>
    <row r="5" customFormat="false" ht="6" hidden="false" customHeight="true" outlineLevel="0" collapsed="false">
      <c r="A5" s="3"/>
    </row>
    <row r="6" customFormat="false" ht="15" hidden="false" customHeight="true" outlineLevel="0" collapsed="false">
      <c r="A6" s="3" t="s">
        <v>3</v>
      </c>
    </row>
    <row r="8" customFormat="false" ht="15" hidden="false" customHeight="false" outlineLevel="0" collapsed="false">
      <c r="A8" s="4" t="s">
        <v>4</v>
      </c>
    </row>
    <row r="9" customFormat="false" ht="30" hidden="false" customHeight="true" outlineLevel="0" collapsed="false">
      <c r="A9" s="5" t="s">
        <v>5</v>
      </c>
    </row>
    <row r="10" customFormat="false" ht="30" hidden="false" customHeight="true" outlineLevel="0" collapsed="false">
      <c r="A10" s="5" t="s">
        <v>6</v>
      </c>
    </row>
    <row r="11" customFormat="false" ht="30" hidden="false" customHeight="true" outlineLevel="0" collapsed="false">
      <c r="A11" s="5" t="s">
        <v>7</v>
      </c>
    </row>
    <row r="13" customFormat="false" ht="15" hidden="false" customHeight="false" outlineLevel="0" collapsed="false">
      <c r="A13" s="4" t="s">
        <v>8</v>
      </c>
    </row>
    <row r="14" customFormat="false" ht="15" hidden="false" customHeight="false" outlineLevel="0" collapsed="false">
      <c r="A14" s="6" t="s">
        <v>9</v>
      </c>
    </row>
    <row r="16" customFormat="false" ht="15" hidden="false" customHeight="false" outlineLevel="0" collapsed="false">
      <c r="A16" s="4" t="s">
        <v>10</v>
      </c>
    </row>
    <row r="17" customFormat="false" ht="15" hidden="false" customHeight="true" outlineLevel="0" collapsed="false">
      <c r="A17" s="5" t="s">
        <v>11</v>
      </c>
    </row>
    <row r="18" customFormat="false" ht="6" hidden="false" customHeight="true" outlineLevel="0" collapsed="false">
      <c r="A18" s="5"/>
    </row>
    <row r="19" customFormat="false" ht="15" hidden="false" customHeight="true" outlineLevel="0" collapsed="false">
      <c r="A19" s="5" t="s">
        <v>12</v>
      </c>
    </row>
    <row r="20" customFormat="false" ht="6" hidden="false" customHeight="true" outlineLevel="0" collapsed="false">
      <c r="A20" s="5"/>
    </row>
    <row r="21" customFormat="false" ht="15" hidden="false" customHeight="true" outlineLevel="0" collapsed="false">
      <c r="A21" s="5" t="s">
        <v>13</v>
      </c>
    </row>
    <row r="23" customFormat="false" ht="15" hidden="false" customHeight="false" outlineLevel="0" collapsed="false">
      <c r="A23" s="7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28"/>
  </cols>
  <sheetData>
    <row r="1" customFormat="false" ht="19.7" hidden="false" customHeight="false" outlineLevel="0" collapsed="false">
      <c r="A1" s="8" t="s">
        <v>15</v>
      </c>
    </row>
    <row r="2" customFormat="false" ht="15" hidden="false" customHeight="false" outlineLevel="0" collapsed="false">
      <c r="A2" s="9" t="s">
        <v>16</v>
      </c>
    </row>
    <row r="4" customFormat="false" ht="31.5" hidden="false" customHeight="true" outlineLevel="0" collapsed="false">
      <c r="A4" s="10" t="s">
        <v>17</v>
      </c>
      <c r="B4" s="10" t="s">
        <v>18</v>
      </c>
      <c r="C4" s="10" t="s">
        <v>19</v>
      </c>
      <c r="D4" s="10" t="s">
        <v>20</v>
      </c>
      <c r="E4" s="10" t="s">
        <v>21</v>
      </c>
      <c r="F4" s="10" t="s">
        <v>22</v>
      </c>
      <c r="G4" s="10" t="s">
        <v>23</v>
      </c>
      <c r="H4" s="10" t="s">
        <v>24</v>
      </c>
      <c r="I4" s="10" t="s">
        <v>25</v>
      </c>
      <c r="J4" s="10" t="s">
        <v>26</v>
      </c>
      <c r="K4" s="10" t="s">
        <v>27</v>
      </c>
      <c r="L4" s="10" t="s">
        <v>28</v>
      </c>
      <c r="M4" s="10" t="s">
        <v>29</v>
      </c>
    </row>
    <row r="5" customFormat="false" ht="15" hidden="false" customHeight="false" outlineLevel="0" collapsed="false">
      <c r="A5" s="11" t="s">
        <v>30</v>
      </c>
      <c r="B5" s="12" t="s">
        <v>31</v>
      </c>
      <c r="C5" s="13" t="n">
        <v>100</v>
      </c>
      <c r="D5" s="13" t="n">
        <v>340.5</v>
      </c>
      <c r="E5" s="13" t="n">
        <v>512</v>
      </c>
      <c r="F5" s="13" t="n">
        <v>60</v>
      </c>
      <c r="G5" s="13" t="n">
        <v>25</v>
      </c>
      <c r="H5" s="13" t="n">
        <f aca="false">D5+E5+F5</f>
        <v>912.5</v>
      </c>
      <c r="I5" s="13" t="n">
        <f aca="false">H5-G5</f>
        <v>887.5</v>
      </c>
      <c r="J5" s="13" t="n">
        <v>414.5</v>
      </c>
      <c r="K5" s="13" t="n">
        <f aca="false">C5+D5-G5</f>
        <v>415.5</v>
      </c>
      <c r="L5" s="13" t="n">
        <f aca="false">J5-K5</f>
        <v>-1</v>
      </c>
      <c r="M5" s="14" t="s">
        <v>32</v>
      </c>
    </row>
    <row r="6" customFormat="false" ht="15" hidden="false" customHeight="false" outlineLevel="0" collapsed="false">
      <c r="A6" s="15"/>
      <c r="B6" s="16"/>
      <c r="C6" s="17"/>
      <c r="D6" s="17"/>
      <c r="E6" s="17"/>
      <c r="F6" s="17"/>
      <c r="G6" s="17"/>
      <c r="H6" s="18" t="str">
        <f aca="false">IF(D6="","",D6+E6+F6)</f>
        <v/>
      </c>
      <c r="I6" s="18" t="str">
        <f aca="false">IF(D6="","",H6-G6)</f>
        <v/>
      </c>
      <c r="J6" s="17"/>
      <c r="K6" s="18" t="str">
        <f aca="false">IF(D6="","",C6+D6-G6)</f>
        <v/>
      </c>
      <c r="L6" s="18" t="str">
        <f aca="false">IF(J6="","",J6-K6)</f>
        <v/>
      </c>
      <c r="M6" s="16"/>
    </row>
    <row r="7" customFormat="false" ht="15" hidden="false" customHeight="false" outlineLevel="0" collapsed="false">
      <c r="A7" s="15"/>
      <c r="B7" s="16"/>
      <c r="C7" s="17"/>
      <c r="D7" s="17"/>
      <c r="E7" s="17"/>
      <c r="F7" s="17"/>
      <c r="G7" s="17"/>
      <c r="H7" s="18" t="str">
        <f aca="false">IF(D7="","",D7+E7+F7)</f>
        <v/>
      </c>
      <c r="I7" s="18" t="str">
        <f aca="false">IF(D7="","",H7-G7)</f>
        <v/>
      </c>
      <c r="J7" s="17"/>
      <c r="K7" s="18" t="str">
        <f aca="false">IF(D7="","",C7+D7-G7)</f>
        <v/>
      </c>
      <c r="L7" s="18" t="str">
        <f aca="false">IF(J7="","",J7-K7)</f>
        <v/>
      </c>
      <c r="M7" s="16"/>
    </row>
    <row r="8" customFormat="false" ht="15" hidden="false" customHeight="false" outlineLevel="0" collapsed="false">
      <c r="A8" s="15"/>
      <c r="B8" s="16"/>
      <c r="C8" s="17"/>
      <c r="D8" s="17"/>
      <c r="E8" s="17"/>
      <c r="F8" s="17"/>
      <c r="G8" s="17"/>
      <c r="H8" s="18" t="str">
        <f aca="false">IF(D8="","",D8+E8+F8)</f>
        <v/>
      </c>
      <c r="I8" s="18" t="str">
        <f aca="false">IF(D8="","",H8-G8)</f>
        <v/>
      </c>
      <c r="J8" s="17"/>
      <c r="K8" s="18" t="str">
        <f aca="false">IF(D8="","",C8+D8-G8)</f>
        <v/>
      </c>
      <c r="L8" s="18" t="str">
        <f aca="false">IF(J8="","",J8-K8)</f>
        <v/>
      </c>
      <c r="M8" s="16"/>
    </row>
    <row r="9" customFormat="false" ht="15" hidden="false" customHeight="false" outlineLevel="0" collapsed="false">
      <c r="A9" s="15"/>
      <c r="B9" s="16"/>
      <c r="C9" s="17"/>
      <c r="D9" s="17"/>
      <c r="E9" s="17"/>
      <c r="F9" s="17"/>
      <c r="G9" s="17"/>
      <c r="H9" s="18" t="str">
        <f aca="false">IF(D9="","",D9+E9+F9)</f>
        <v/>
      </c>
      <c r="I9" s="18" t="str">
        <f aca="false">IF(D9="","",H9-G9)</f>
        <v/>
      </c>
      <c r="J9" s="17"/>
      <c r="K9" s="18" t="str">
        <f aca="false">IF(D9="","",C9+D9-G9)</f>
        <v/>
      </c>
      <c r="L9" s="18" t="str">
        <f aca="false">IF(J9="","",J9-K9)</f>
        <v/>
      </c>
      <c r="M9" s="16"/>
    </row>
    <row r="10" customFormat="false" ht="15" hidden="false" customHeight="false" outlineLevel="0" collapsed="false">
      <c r="A10" s="15"/>
      <c r="B10" s="16"/>
      <c r="C10" s="17"/>
      <c r="D10" s="17"/>
      <c r="E10" s="17"/>
      <c r="F10" s="17"/>
      <c r="G10" s="17"/>
      <c r="H10" s="18" t="str">
        <f aca="false">IF(D10="","",D10+E10+F10)</f>
        <v/>
      </c>
      <c r="I10" s="18" t="str">
        <f aca="false">IF(D10="","",H10-G10)</f>
        <v/>
      </c>
      <c r="J10" s="17"/>
      <c r="K10" s="18" t="str">
        <f aca="false">IF(D10="","",C10+D10-G10)</f>
        <v/>
      </c>
      <c r="L10" s="18" t="str">
        <f aca="false">IF(J10="","",J10-K10)</f>
        <v/>
      </c>
      <c r="M10" s="16"/>
    </row>
    <row r="11" customFormat="false" ht="15" hidden="false" customHeight="false" outlineLevel="0" collapsed="false">
      <c r="A11" s="15"/>
      <c r="B11" s="16"/>
      <c r="C11" s="17"/>
      <c r="D11" s="17"/>
      <c r="E11" s="17"/>
      <c r="F11" s="17"/>
      <c r="G11" s="17"/>
      <c r="H11" s="18" t="str">
        <f aca="false">IF(D11="","",D11+E11+F11)</f>
        <v/>
      </c>
      <c r="I11" s="18" t="str">
        <f aca="false">IF(D11="","",H11-G11)</f>
        <v/>
      </c>
      <c r="J11" s="17"/>
      <c r="K11" s="18" t="str">
        <f aca="false">IF(D11="","",C11+D11-G11)</f>
        <v/>
      </c>
      <c r="L11" s="18" t="str">
        <f aca="false">IF(J11="","",J11-K11)</f>
        <v/>
      </c>
      <c r="M11" s="16"/>
    </row>
    <row r="12" customFormat="false" ht="15" hidden="false" customHeight="false" outlineLevel="0" collapsed="false">
      <c r="A12" s="15"/>
      <c r="B12" s="16"/>
      <c r="C12" s="17"/>
      <c r="D12" s="17"/>
      <c r="E12" s="17"/>
      <c r="F12" s="17"/>
      <c r="G12" s="17"/>
      <c r="H12" s="18" t="str">
        <f aca="false">IF(D12="","",D12+E12+F12)</f>
        <v/>
      </c>
      <c r="I12" s="18" t="str">
        <f aca="false">IF(D12="","",H12-G12)</f>
        <v/>
      </c>
      <c r="J12" s="17"/>
      <c r="K12" s="18" t="str">
        <f aca="false">IF(D12="","",C12+D12-G12)</f>
        <v/>
      </c>
      <c r="L12" s="18" t="str">
        <f aca="false">IF(J12="","",J12-K12)</f>
        <v/>
      </c>
      <c r="M12" s="16"/>
    </row>
    <row r="13" customFormat="false" ht="15" hidden="false" customHeight="false" outlineLevel="0" collapsed="false">
      <c r="A13" s="15"/>
      <c r="B13" s="16"/>
      <c r="C13" s="17"/>
      <c r="D13" s="17"/>
      <c r="E13" s="17"/>
      <c r="F13" s="17"/>
      <c r="G13" s="17"/>
      <c r="H13" s="18" t="str">
        <f aca="false">IF(D13="","",D13+E13+F13)</f>
        <v/>
      </c>
      <c r="I13" s="18" t="str">
        <f aca="false">IF(D13="","",H13-G13)</f>
        <v/>
      </c>
      <c r="J13" s="17"/>
      <c r="K13" s="18" t="str">
        <f aca="false">IF(D13="","",C13+D13-G13)</f>
        <v/>
      </c>
      <c r="L13" s="18" t="str">
        <f aca="false">IF(J13="","",J13-K13)</f>
        <v/>
      </c>
      <c r="M13" s="16"/>
    </row>
    <row r="14" customFormat="false" ht="15" hidden="false" customHeight="false" outlineLevel="0" collapsed="false">
      <c r="A14" s="15"/>
      <c r="B14" s="16"/>
      <c r="C14" s="17"/>
      <c r="D14" s="17"/>
      <c r="E14" s="17"/>
      <c r="F14" s="17"/>
      <c r="G14" s="17"/>
      <c r="H14" s="18" t="str">
        <f aca="false">IF(D14="","",D14+E14+F14)</f>
        <v/>
      </c>
      <c r="I14" s="18" t="str">
        <f aca="false">IF(D14="","",H14-G14)</f>
        <v/>
      </c>
      <c r="J14" s="17"/>
      <c r="K14" s="18" t="str">
        <f aca="false">IF(D14="","",C14+D14-G14)</f>
        <v/>
      </c>
      <c r="L14" s="18" t="str">
        <f aca="false">IF(J14="","",J14-K14)</f>
        <v/>
      </c>
      <c r="M14" s="16"/>
    </row>
    <row r="15" customFormat="false" ht="15" hidden="false" customHeight="false" outlineLevel="0" collapsed="false">
      <c r="A15" s="15"/>
      <c r="B15" s="16"/>
      <c r="C15" s="17"/>
      <c r="D15" s="17"/>
      <c r="E15" s="17"/>
      <c r="F15" s="17"/>
      <c r="G15" s="17"/>
      <c r="H15" s="18" t="str">
        <f aca="false">IF(D15="","",D15+E15+F15)</f>
        <v/>
      </c>
      <c r="I15" s="18" t="str">
        <f aca="false">IF(D15="","",H15-G15)</f>
        <v/>
      </c>
      <c r="J15" s="17"/>
      <c r="K15" s="18" t="str">
        <f aca="false">IF(D15="","",C15+D15-G15)</f>
        <v/>
      </c>
      <c r="L15" s="18" t="str">
        <f aca="false">IF(J15="","",J15-K15)</f>
        <v/>
      </c>
      <c r="M15" s="16"/>
    </row>
    <row r="16" customFormat="false" ht="15" hidden="false" customHeight="false" outlineLevel="0" collapsed="false">
      <c r="A16" s="15"/>
      <c r="B16" s="16"/>
      <c r="C16" s="17"/>
      <c r="D16" s="17"/>
      <c r="E16" s="17"/>
      <c r="F16" s="17"/>
      <c r="G16" s="17"/>
      <c r="H16" s="18" t="str">
        <f aca="false">IF(D16="","",D16+E16+F16)</f>
        <v/>
      </c>
      <c r="I16" s="18" t="str">
        <f aca="false">IF(D16="","",H16-G16)</f>
        <v/>
      </c>
      <c r="J16" s="17"/>
      <c r="K16" s="18" t="str">
        <f aca="false">IF(D16="","",C16+D16-G16)</f>
        <v/>
      </c>
      <c r="L16" s="18" t="str">
        <f aca="false">IF(J16="","",J16-K16)</f>
        <v/>
      </c>
      <c r="M16" s="16"/>
    </row>
    <row r="17" customFormat="false" ht="15" hidden="false" customHeight="false" outlineLevel="0" collapsed="false">
      <c r="A17" s="15"/>
      <c r="B17" s="16"/>
      <c r="C17" s="17"/>
      <c r="D17" s="17"/>
      <c r="E17" s="17"/>
      <c r="F17" s="17"/>
      <c r="G17" s="17"/>
      <c r="H17" s="18" t="str">
        <f aca="false">IF(D17="","",D17+E17+F17)</f>
        <v/>
      </c>
      <c r="I17" s="18" t="str">
        <f aca="false">IF(D17="","",H17-G17)</f>
        <v/>
      </c>
      <c r="J17" s="17"/>
      <c r="K17" s="18" t="str">
        <f aca="false">IF(D17="","",C17+D17-G17)</f>
        <v/>
      </c>
      <c r="L17" s="18" t="str">
        <f aca="false">IF(J17="","",J17-K17)</f>
        <v/>
      </c>
      <c r="M17" s="16"/>
    </row>
    <row r="18" customFormat="false" ht="15" hidden="false" customHeight="false" outlineLevel="0" collapsed="false">
      <c r="A18" s="15"/>
      <c r="B18" s="16"/>
      <c r="C18" s="17"/>
      <c r="D18" s="17"/>
      <c r="E18" s="17"/>
      <c r="F18" s="17"/>
      <c r="G18" s="17"/>
      <c r="H18" s="18" t="str">
        <f aca="false">IF(D18="","",D18+E18+F18)</f>
        <v/>
      </c>
      <c r="I18" s="18" t="str">
        <f aca="false">IF(D18="","",H18-G18)</f>
        <v/>
      </c>
      <c r="J18" s="17"/>
      <c r="K18" s="18" t="str">
        <f aca="false">IF(D18="","",C18+D18-G18)</f>
        <v/>
      </c>
      <c r="L18" s="18" t="str">
        <f aca="false">IF(J18="","",J18-K18)</f>
        <v/>
      </c>
      <c r="M18" s="16"/>
    </row>
    <row r="19" customFormat="false" ht="15" hidden="false" customHeight="false" outlineLevel="0" collapsed="false">
      <c r="A19" s="15"/>
      <c r="B19" s="16"/>
      <c r="C19" s="17"/>
      <c r="D19" s="17"/>
      <c r="E19" s="17"/>
      <c r="F19" s="17"/>
      <c r="G19" s="17"/>
      <c r="H19" s="18" t="str">
        <f aca="false">IF(D19="","",D19+E19+F19)</f>
        <v/>
      </c>
      <c r="I19" s="18" t="str">
        <f aca="false">IF(D19="","",H19-G19)</f>
        <v/>
      </c>
      <c r="J19" s="17"/>
      <c r="K19" s="18" t="str">
        <f aca="false">IF(D19="","",C19+D19-G19)</f>
        <v/>
      </c>
      <c r="L19" s="18" t="str">
        <f aca="false">IF(J19="","",J19-K19)</f>
        <v/>
      </c>
      <c r="M19" s="16"/>
    </row>
    <row r="20" customFormat="false" ht="15" hidden="false" customHeight="false" outlineLevel="0" collapsed="false">
      <c r="A20" s="15"/>
      <c r="B20" s="16"/>
      <c r="C20" s="17"/>
      <c r="D20" s="17"/>
      <c r="E20" s="17"/>
      <c r="F20" s="17"/>
      <c r="G20" s="17"/>
      <c r="H20" s="18" t="str">
        <f aca="false">IF(D20="","",D20+E20+F20)</f>
        <v/>
      </c>
      <c r="I20" s="18" t="str">
        <f aca="false">IF(D20="","",H20-G20)</f>
        <v/>
      </c>
      <c r="J20" s="17"/>
      <c r="K20" s="18" t="str">
        <f aca="false">IF(D20="","",C20+D20-G20)</f>
        <v/>
      </c>
      <c r="L20" s="18" t="str">
        <f aca="false">IF(J20="","",J20-K20)</f>
        <v/>
      </c>
      <c r="M20" s="16"/>
    </row>
    <row r="21" customFormat="false" ht="15" hidden="false" customHeight="false" outlineLevel="0" collapsed="false">
      <c r="A21" s="15"/>
      <c r="B21" s="16"/>
      <c r="C21" s="17"/>
      <c r="D21" s="17"/>
      <c r="E21" s="17"/>
      <c r="F21" s="17"/>
      <c r="G21" s="17"/>
      <c r="H21" s="18" t="str">
        <f aca="false">IF(D21="","",D21+E21+F21)</f>
        <v/>
      </c>
      <c r="I21" s="18" t="str">
        <f aca="false">IF(D21="","",H21-G21)</f>
        <v/>
      </c>
      <c r="J21" s="17"/>
      <c r="K21" s="18" t="str">
        <f aca="false">IF(D21="","",C21+D21-G21)</f>
        <v/>
      </c>
      <c r="L21" s="18" t="str">
        <f aca="false">IF(J21="","",J21-K21)</f>
        <v/>
      </c>
      <c r="M21" s="16"/>
    </row>
    <row r="22" customFormat="false" ht="15" hidden="false" customHeight="false" outlineLevel="0" collapsed="false">
      <c r="A22" s="15"/>
      <c r="B22" s="16"/>
      <c r="C22" s="17"/>
      <c r="D22" s="17"/>
      <c r="E22" s="17"/>
      <c r="F22" s="17"/>
      <c r="G22" s="17"/>
      <c r="H22" s="18" t="str">
        <f aca="false">IF(D22="","",D22+E22+F22)</f>
        <v/>
      </c>
      <c r="I22" s="18" t="str">
        <f aca="false">IF(D22="","",H22-G22)</f>
        <v/>
      </c>
      <c r="J22" s="17"/>
      <c r="K22" s="18" t="str">
        <f aca="false">IF(D22="","",C22+D22-G22)</f>
        <v/>
      </c>
      <c r="L22" s="18" t="str">
        <f aca="false">IF(J22="","",J22-K22)</f>
        <v/>
      </c>
      <c r="M22" s="16"/>
    </row>
    <row r="23" customFormat="false" ht="15" hidden="false" customHeight="false" outlineLevel="0" collapsed="false">
      <c r="A23" s="15"/>
      <c r="B23" s="16"/>
      <c r="C23" s="17"/>
      <c r="D23" s="17"/>
      <c r="E23" s="17"/>
      <c r="F23" s="17"/>
      <c r="G23" s="17"/>
      <c r="H23" s="18" t="str">
        <f aca="false">IF(D23="","",D23+E23+F23)</f>
        <v/>
      </c>
      <c r="I23" s="18" t="str">
        <f aca="false">IF(D23="","",H23-G23)</f>
        <v/>
      </c>
      <c r="J23" s="17"/>
      <c r="K23" s="18" t="str">
        <f aca="false">IF(D23="","",C23+D23-G23)</f>
        <v/>
      </c>
      <c r="L23" s="18" t="str">
        <f aca="false">IF(J23="","",J23-K23)</f>
        <v/>
      </c>
      <c r="M23" s="16"/>
    </row>
    <row r="24" customFormat="false" ht="15" hidden="false" customHeight="false" outlineLevel="0" collapsed="false">
      <c r="A24" s="15"/>
      <c r="B24" s="16"/>
      <c r="C24" s="17"/>
      <c r="D24" s="17"/>
      <c r="E24" s="17"/>
      <c r="F24" s="17"/>
      <c r="G24" s="17"/>
      <c r="H24" s="18" t="str">
        <f aca="false">IF(D24="","",D24+E24+F24)</f>
        <v/>
      </c>
      <c r="I24" s="18" t="str">
        <f aca="false">IF(D24="","",H24-G24)</f>
        <v/>
      </c>
      <c r="J24" s="17"/>
      <c r="K24" s="18" t="str">
        <f aca="false">IF(D24="","",C24+D24-G24)</f>
        <v/>
      </c>
      <c r="L24" s="18" t="str">
        <f aca="false">IF(J24="","",J24-K24)</f>
        <v/>
      </c>
      <c r="M24" s="16"/>
    </row>
    <row r="25" customFormat="false" ht="15" hidden="false" customHeight="false" outlineLevel="0" collapsed="false">
      <c r="A25" s="15"/>
      <c r="B25" s="16"/>
      <c r="C25" s="17"/>
      <c r="D25" s="17"/>
      <c r="E25" s="17"/>
      <c r="F25" s="17"/>
      <c r="G25" s="17"/>
      <c r="H25" s="18" t="str">
        <f aca="false">IF(D25="","",D25+E25+F25)</f>
        <v/>
      </c>
      <c r="I25" s="18" t="str">
        <f aca="false">IF(D25="","",H25-G25)</f>
        <v/>
      </c>
      <c r="J25" s="17"/>
      <c r="K25" s="18" t="str">
        <f aca="false">IF(D25="","",C25+D25-G25)</f>
        <v/>
      </c>
      <c r="L25" s="18" t="str">
        <f aca="false">IF(J25="","",J25-K25)</f>
        <v/>
      </c>
      <c r="M25" s="16"/>
    </row>
    <row r="26" customFormat="false" ht="15" hidden="false" customHeight="false" outlineLevel="0" collapsed="false">
      <c r="A26" s="15"/>
      <c r="B26" s="16"/>
      <c r="C26" s="17"/>
      <c r="D26" s="17"/>
      <c r="E26" s="17"/>
      <c r="F26" s="17"/>
      <c r="G26" s="17"/>
      <c r="H26" s="18" t="str">
        <f aca="false">IF(D26="","",D26+E26+F26)</f>
        <v/>
      </c>
      <c r="I26" s="18" t="str">
        <f aca="false">IF(D26="","",H26-G26)</f>
        <v/>
      </c>
      <c r="J26" s="17"/>
      <c r="K26" s="18" t="str">
        <f aca="false">IF(D26="","",C26+D26-G26)</f>
        <v/>
      </c>
      <c r="L26" s="18" t="str">
        <f aca="false">IF(J26="","",J26-K26)</f>
        <v/>
      </c>
      <c r="M26" s="16"/>
    </row>
    <row r="27" customFormat="false" ht="15" hidden="false" customHeight="false" outlineLevel="0" collapsed="false">
      <c r="A27" s="15"/>
      <c r="B27" s="16"/>
      <c r="C27" s="17"/>
      <c r="D27" s="17"/>
      <c r="E27" s="17"/>
      <c r="F27" s="17"/>
      <c r="G27" s="17"/>
      <c r="H27" s="18" t="str">
        <f aca="false">IF(D27="","",D27+E27+F27)</f>
        <v/>
      </c>
      <c r="I27" s="18" t="str">
        <f aca="false">IF(D27="","",H27-G27)</f>
        <v/>
      </c>
      <c r="J27" s="17"/>
      <c r="K27" s="18" t="str">
        <f aca="false">IF(D27="","",C27+D27-G27)</f>
        <v/>
      </c>
      <c r="L27" s="18" t="str">
        <f aca="false">IF(J27="","",J27-K27)</f>
        <v/>
      </c>
      <c r="M27" s="16"/>
    </row>
    <row r="28" customFormat="false" ht="15" hidden="false" customHeight="false" outlineLevel="0" collapsed="false">
      <c r="A28" s="15"/>
      <c r="B28" s="16"/>
      <c r="C28" s="17"/>
      <c r="D28" s="17"/>
      <c r="E28" s="17"/>
      <c r="F28" s="17"/>
      <c r="G28" s="17"/>
      <c r="H28" s="18" t="str">
        <f aca="false">IF(D28="","",D28+E28+F28)</f>
        <v/>
      </c>
      <c r="I28" s="18" t="str">
        <f aca="false">IF(D28="","",H28-G28)</f>
        <v/>
      </c>
      <c r="J28" s="17"/>
      <c r="K28" s="18" t="str">
        <f aca="false">IF(D28="","",C28+D28-G28)</f>
        <v/>
      </c>
      <c r="L28" s="18" t="str">
        <f aca="false">IF(J28="","",J28-K28)</f>
        <v/>
      </c>
      <c r="M28" s="16"/>
    </row>
    <row r="29" customFormat="false" ht="15" hidden="false" customHeight="false" outlineLevel="0" collapsed="false">
      <c r="A29" s="15"/>
      <c r="B29" s="16"/>
      <c r="C29" s="17"/>
      <c r="D29" s="17"/>
      <c r="E29" s="17"/>
      <c r="F29" s="17"/>
      <c r="G29" s="17"/>
      <c r="H29" s="18" t="str">
        <f aca="false">IF(D29="","",D29+E29+F29)</f>
        <v/>
      </c>
      <c r="I29" s="18" t="str">
        <f aca="false">IF(D29="","",H29-G29)</f>
        <v/>
      </c>
      <c r="J29" s="17"/>
      <c r="K29" s="18" t="str">
        <f aca="false">IF(D29="","",C29+D29-G29)</f>
        <v/>
      </c>
      <c r="L29" s="18" t="str">
        <f aca="false">IF(J29="","",J29-K29)</f>
        <v/>
      </c>
      <c r="M29" s="16"/>
    </row>
    <row r="30" customFormat="false" ht="15" hidden="false" customHeight="false" outlineLevel="0" collapsed="false">
      <c r="A30" s="15"/>
      <c r="B30" s="16"/>
      <c r="C30" s="17"/>
      <c r="D30" s="17"/>
      <c r="E30" s="17"/>
      <c r="F30" s="17"/>
      <c r="G30" s="17"/>
      <c r="H30" s="18" t="str">
        <f aca="false">IF(D30="","",D30+E30+F30)</f>
        <v/>
      </c>
      <c r="I30" s="18" t="str">
        <f aca="false">IF(D30="","",H30-G30)</f>
        <v/>
      </c>
      <c r="J30" s="17"/>
      <c r="K30" s="18" t="str">
        <f aca="false">IF(D30="","",C30+D30-G30)</f>
        <v/>
      </c>
      <c r="L30" s="18" t="str">
        <f aca="false">IF(J30="","",J30-K30)</f>
        <v/>
      </c>
      <c r="M30" s="16"/>
    </row>
    <row r="31" customFormat="false" ht="15" hidden="false" customHeight="false" outlineLevel="0" collapsed="false">
      <c r="A31" s="15"/>
      <c r="B31" s="16"/>
      <c r="C31" s="17"/>
      <c r="D31" s="17"/>
      <c r="E31" s="17"/>
      <c r="F31" s="17"/>
      <c r="G31" s="17"/>
      <c r="H31" s="18" t="str">
        <f aca="false">IF(D31="","",D31+E31+F31)</f>
        <v/>
      </c>
      <c r="I31" s="18" t="str">
        <f aca="false">IF(D31="","",H31-G31)</f>
        <v/>
      </c>
      <c r="J31" s="17"/>
      <c r="K31" s="18" t="str">
        <f aca="false">IF(D31="","",C31+D31-G31)</f>
        <v/>
      </c>
      <c r="L31" s="18" t="str">
        <f aca="false">IF(J31="","",J31-K31)</f>
        <v/>
      </c>
      <c r="M31" s="16"/>
    </row>
    <row r="32" customFormat="false" ht="15" hidden="false" customHeight="false" outlineLevel="0" collapsed="false">
      <c r="A32" s="15"/>
      <c r="B32" s="16"/>
      <c r="C32" s="17"/>
      <c r="D32" s="17"/>
      <c r="E32" s="17"/>
      <c r="F32" s="17"/>
      <c r="G32" s="17"/>
      <c r="H32" s="18" t="str">
        <f aca="false">IF(D32="","",D32+E32+F32)</f>
        <v/>
      </c>
      <c r="I32" s="18" t="str">
        <f aca="false">IF(D32="","",H32-G32)</f>
        <v/>
      </c>
      <c r="J32" s="17"/>
      <c r="K32" s="18" t="str">
        <f aca="false">IF(D32="","",C32+D32-G32)</f>
        <v/>
      </c>
      <c r="L32" s="18" t="str">
        <f aca="false">IF(J32="","",J32-K32)</f>
        <v/>
      </c>
      <c r="M32" s="16"/>
    </row>
    <row r="33" customFormat="false" ht="15" hidden="false" customHeight="false" outlineLevel="0" collapsed="false">
      <c r="A33" s="15"/>
      <c r="B33" s="16"/>
      <c r="C33" s="17"/>
      <c r="D33" s="17"/>
      <c r="E33" s="17"/>
      <c r="F33" s="17"/>
      <c r="G33" s="17"/>
      <c r="H33" s="18" t="str">
        <f aca="false">IF(D33="","",D33+E33+F33)</f>
        <v/>
      </c>
      <c r="I33" s="18" t="str">
        <f aca="false">IF(D33="","",H33-G33)</f>
        <v/>
      </c>
      <c r="J33" s="17"/>
      <c r="K33" s="18" t="str">
        <f aca="false">IF(D33="","",C33+D33-G33)</f>
        <v/>
      </c>
      <c r="L33" s="18" t="str">
        <f aca="false">IF(J33="","",J33-K33)</f>
        <v/>
      </c>
      <c r="M33" s="16"/>
    </row>
    <row r="34" customFormat="false" ht="15" hidden="false" customHeight="false" outlineLevel="0" collapsed="false">
      <c r="A34" s="15"/>
      <c r="B34" s="16"/>
      <c r="C34" s="17"/>
      <c r="D34" s="17"/>
      <c r="E34" s="17"/>
      <c r="F34" s="17"/>
      <c r="G34" s="17"/>
      <c r="H34" s="18" t="str">
        <f aca="false">IF(D34="","",D34+E34+F34)</f>
        <v/>
      </c>
      <c r="I34" s="18" t="str">
        <f aca="false">IF(D34="","",H34-G34)</f>
        <v/>
      </c>
      <c r="J34" s="17"/>
      <c r="K34" s="18" t="str">
        <f aca="false">IF(D34="","",C34+D34-G34)</f>
        <v/>
      </c>
      <c r="L34" s="18" t="str">
        <f aca="false">IF(J34="","",J34-K34)</f>
        <v/>
      </c>
      <c r="M34" s="16"/>
    </row>
    <row r="35" customFormat="false" ht="15" hidden="false" customHeight="false" outlineLevel="0" collapsed="false">
      <c r="A35" s="15"/>
      <c r="B35" s="16"/>
      <c r="C35" s="17"/>
      <c r="D35" s="17"/>
      <c r="E35" s="17"/>
      <c r="F35" s="17"/>
      <c r="G35" s="17"/>
      <c r="H35" s="18" t="str">
        <f aca="false">IF(D35="","",D35+E35+F35)</f>
        <v/>
      </c>
      <c r="I35" s="18" t="str">
        <f aca="false">IF(D35="","",H35-G35)</f>
        <v/>
      </c>
      <c r="J35" s="17"/>
      <c r="K35" s="18" t="str">
        <f aca="false">IF(D35="","",C35+D35-G35)</f>
        <v/>
      </c>
      <c r="L35" s="18" t="str">
        <f aca="false">IF(J35="","",J35-K35)</f>
        <v/>
      </c>
      <c r="M35" s="16"/>
    </row>
    <row r="36" customFormat="false" ht="15" hidden="false" customHeight="false" outlineLevel="0" collapsed="false">
      <c r="A36" s="15"/>
      <c r="B36" s="16"/>
      <c r="C36" s="17"/>
      <c r="D36" s="17"/>
      <c r="E36" s="17"/>
      <c r="F36" s="17"/>
      <c r="G36" s="17"/>
      <c r="H36" s="18" t="str">
        <f aca="false">IF(D36="","",D36+E36+F36)</f>
        <v/>
      </c>
      <c r="I36" s="18" t="str">
        <f aca="false">IF(D36="","",H36-G36)</f>
        <v/>
      </c>
      <c r="J36" s="17"/>
      <c r="K36" s="18" t="str">
        <f aca="false">IF(D36="","",C36+D36-G36)</f>
        <v/>
      </c>
      <c r="L36" s="18" t="str">
        <f aca="false">IF(J36="","",J36-K36)</f>
        <v/>
      </c>
      <c r="M36" s="16"/>
    </row>
    <row r="37" customFormat="false" ht="15" hidden="false" customHeight="false" outlineLevel="0" collapsed="false">
      <c r="A37" s="15"/>
      <c r="B37" s="16"/>
      <c r="C37" s="17"/>
      <c r="D37" s="17"/>
      <c r="E37" s="17"/>
      <c r="F37" s="17"/>
      <c r="G37" s="17"/>
      <c r="H37" s="18" t="str">
        <f aca="false">IF(D37="","",D37+E37+F37)</f>
        <v/>
      </c>
      <c r="I37" s="18" t="str">
        <f aca="false">IF(D37="","",H37-G37)</f>
        <v/>
      </c>
      <c r="J37" s="17"/>
      <c r="K37" s="18" t="str">
        <f aca="false">IF(D37="","",C37+D37-G37)</f>
        <v/>
      </c>
      <c r="L37" s="18" t="str">
        <f aca="false">IF(J37="","",J37-K37)</f>
        <v/>
      </c>
      <c r="M37" s="16"/>
    </row>
    <row r="38" customFormat="false" ht="15" hidden="false" customHeight="false" outlineLevel="0" collapsed="false">
      <c r="A38" s="15"/>
      <c r="B38" s="16"/>
      <c r="C38" s="17"/>
      <c r="D38" s="17"/>
      <c r="E38" s="17"/>
      <c r="F38" s="17"/>
      <c r="G38" s="17"/>
      <c r="H38" s="18" t="str">
        <f aca="false">IF(D38="","",D38+E38+F38)</f>
        <v/>
      </c>
      <c r="I38" s="18" t="str">
        <f aca="false">IF(D38="","",H38-G38)</f>
        <v/>
      </c>
      <c r="J38" s="17"/>
      <c r="K38" s="18" t="str">
        <f aca="false">IF(D38="","",C38+D38-G38)</f>
        <v/>
      </c>
      <c r="L38" s="18" t="str">
        <f aca="false">IF(J38="","",J38-K38)</f>
        <v/>
      </c>
      <c r="M38" s="16"/>
    </row>
    <row r="39" customFormat="false" ht="15" hidden="false" customHeight="false" outlineLevel="0" collapsed="false">
      <c r="A39" s="15"/>
      <c r="B39" s="16"/>
      <c r="C39" s="17"/>
      <c r="D39" s="17"/>
      <c r="E39" s="17"/>
      <c r="F39" s="17"/>
      <c r="G39" s="17"/>
      <c r="H39" s="18" t="str">
        <f aca="false">IF(D39="","",D39+E39+F39)</f>
        <v/>
      </c>
      <c r="I39" s="18" t="str">
        <f aca="false">IF(D39="","",H39-G39)</f>
        <v/>
      </c>
      <c r="J39" s="17"/>
      <c r="K39" s="18" t="str">
        <f aca="false">IF(D39="","",C39+D39-G39)</f>
        <v/>
      </c>
      <c r="L39" s="18" t="str">
        <f aca="false">IF(J39="","",J39-K39)</f>
        <v/>
      </c>
      <c r="M39" s="16"/>
    </row>
    <row r="40" customFormat="false" ht="15" hidden="false" customHeight="false" outlineLevel="0" collapsed="false">
      <c r="A40" s="15"/>
      <c r="B40" s="16"/>
      <c r="C40" s="17"/>
      <c r="D40" s="17"/>
      <c r="E40" s="17"/>
      <c r="F40" s="17"/>
      <c r="G40" s="17"/>
      <c r="H40" s="18" t="str">
        <f aca="false">IF(D40="","",D40+E40+F40)</f>
        <v/>
      </c>
      <c r="I40" s="18" t="str">
        <f aca="false">IF(D40="","",H40-G40)</f>
        <v/>
      </c>
      <c r="J40" s="17"/>
      <c r="K40" s="18" t="str">
        <f aca="false">IF(D40="","",C40+D40-G40)</f>
        <v/>
      </c>
      <c r="L40" s="18" t="str">
        <f aca="false">IF(J40="","",J40-K40)</f>
        <v/>
      </c>
      <c r="M40" s="16"/>
    </row>
    <row r="41" customFormat="false" ht="15" hidden="false" customHeight="false" outlineLevel="0" collapsed="false">
      <c r="A41" s="15"/>
      <c r="B41" s="16"/>
      <c r="C41" s="17"/>
      <c r="D41" s="17"/>
      <c r="E41" s="17"/>
      <c r="F41" s="17"/>
      <c r="G41" s="17"/>
      <c r="H41" s="18" t="str">
        <f aca="false">IF(D41="","",D41+E41+F41)</f>
        <v/>
      </c>
      <c r="I41" s="18" t="str">
        <f aca="false">IF(D41="","",H41-G41)</f>
        <v/>
      </c>
      <c r="J41" s="17"/>
      <c r="K41" s="18" t="str">
        <f aca="false">IF(D41="","",C41+D41-G41)</f>
        <v/>
      </c>
      <c r="L41" s="18" t="str">
        <f aca="false">IF(J41="","",J41-K41)</f>
        <v/>
      </c>
      <c r="M41" s="16"/>
    </row>
    <row r="42" customFormat="false" ht="15" hidden="false" customHeight="false" outlineLevel="0" collapsed="false">
      <c r="A42" s="15"/>
      <c r="B42" s="16"/>
      <c r="C42" s="17"/>
      <c r="D42" s="17"/>
      <c r="E42" s="17"/>
      <c r="F42" s="17"/>
      <c r="G42" s="17"/>
      <c r="H42" s="18" t="str">
        <f aca="false">IF(D42="","",D42+E42+F42)</f>
        <v/>
      </c>
      <c r="I42" s="18" t="str">
        <f aca="false">IF(D42="","",H42-G42)</f>
        <v/>
      </c>
      <c r="J42" s="17"/>
      <c r="K42" s="18" t="str">
        <f aca="false">IF(D42="","",C42+D42-G42)</f>
        <v/>
      </c>
      <c r="L42" s="18" t="str">
        <f aca="false">IF(J42="","",J42-K42)</f>
        <v/>
      </c>
      <c r="M42" s="16"/>
    </row>
    <row r="43" customFormat="false" ht="15" hidden="false" customHeight="false" outlineLevel="0" collapsed="false">
      <c r="A43" s="15"/>
      <c r="B43" s="16"/>
      <c r="C43" s="17"/>
      <c r="D43" s="17"/>
      <c r="E43" s="17"/>
      <c r="F43" s="17"/>
      <c r="G43" s="17"/>
      <c r="H43" s="18" t="str">
        <f aca="false">IF(D43="","",D43+E43+F43)</f>
        <v/>
      </c>
      <c r="I43" s="18" t="str">
        <f aca="false">IF(D43="","",H43-G43)</f>
        <v/>
      </c>
      <c r="J43" s="17"/>
      <c r="K43" s="18" t="str">
        <f aca="false">IF(D43="","",C43+D43-G43)</f>
        <v/>
      </c>
      <c r="L43" s="18" t="str">
        <f aca="false">IF(J43="","",J43-K43)</f>
        <v/>
      </c>
      <c r="M43" s="16"/>
    </row>
    <row r="44" customFormat="false" ht="15" hidden="false" customHeight="false" outlineLevel="0" collapsed="false">
      <c r="A44" s="15"/>
      <c r="B44" s="16"/>
      <c r="C44" s="17"/>
      <c r="D44" s="17"/>
      <c r="E44" s="17"/>
      <c r="F44" s="17"/>
      <c r="G44" s="17"/>
      <c r="H44" s="18" t="str">
        <f aca="false">IF(D44="","",D44+E44+F44)</f>
        <v/>
      </c>
      <c r="I44" s="18" t="str">
        <f aca="false">IF(D44="","",H44-G44)</f>
        <v/>
      </c>
      <c r="J44" s="17"/>
      <c r="K44" s="18" t="str">
        <f aca="false">IF(D44="","",C44+D44-G44)</f>
        <v/>
      </c>
      <c r="L44" s="18" t="str">
        <f aca="false">IF(J44="","",J44-K44)</f>
        <v/>
      </c>
      <c r="M44" s="16"/>
    </row>
    <row r="45" customFormat="false" ht="15" hidden="false" customHeight="false" outlineLevel="0" collapsed="false">
      <c r="A45" s="15"/>
      <c r="B45" s="16"/>
      <c r="C45" s="17"/>
      <c r="D45" s="17"/>
      <c r="E45" s="17"/>
      <c r="F45" s="17"/>
      <c r="G45" s="17"/>
      <c r="H45" s="18" t="str">
        <f aca="false">IF(D45="","",D45+E45+F45)</f>
        <v/>
      </c>
      <c r="I45" s="18" t="str">
        <f aca="false">IF(D45="","",H45-G45)</f>
        <v/>
      </c>
      <c r="J45" s="17"/>
      <c r="K45" s="18" t="str">
        <f aca="false">IF(D45="","",C45+D45-G45)</f>
        <v/>
      </c>
      <c r="L45" s="18" t="str">
        <f aca="false">IF(J45="","",J45-K45)</f>
        <v/>
      </c>
      <c r="M45" s="16"/>
    </row>
    <row r="46" customFormat="false" ht="15" hidden="false" customHeight="false" outlineLevel="0" collapsed="false">
      <c r="A46" s="15"/>
      <c r="B46" s="16"/>
      <c r="C46" s="17"/>
      <c r="D46" s="17"/>
      <c r="E46" s="17"/>
      <c r="F46" s="17"/>
      <c r="G46" s="17"/>
      <c r="H46" s="18" t="str">
        <f aca="false">IF(D46="","",D46+E46+F46)</f>
        <v/>
      </c>
      <c r="I46" s="18" t="str">
        <f aca="false">IF(D46="","",H46-G46)</f>
        <v/>
      </c>
      <c r="J46" s="17"/>
      <c r="K46" s="18" t="str">
        <f aca="false">IF(D46="","",C46+D46-G46)</f>
        <v/>
      </c>
      <c r="L46" s="18" t="str">
        <f aca="false">IF(J46="","",J46-K46)</f>
        <v/>
      </c>
      <c r="M46" s="16"/>
    </row>
    <row r="47" customFormat="false" ht="15" hidden="false" customHeight="false" outlineLevel="0" collapsed="false">
      <c r="A47" s="15"/>
      <c r="B47" s="16"/>
      <c r="C47" s="17"/>
      <c r="D47" s="17"/>
      <c r="E47" s="17"/>
      <c r="F47" s="17"/>
      <c r="G47" s="17"/>
      <c r="H47" s="18" t="str">
        <f aca="false">IF(D47="","",D47+E47+F47)</f>
        <v/>
      </c>
      <c r="I47" s="18" t="str">
        <f aca="false">IF(D47="","",H47-G47)</f>
        <v/>
      </c>
      <c r="J47" s="17"/>
      <c r="K47" s="18" t="str">
        <f aca="false">IF(D47="","",C47+D47-G47)</f>
        <v/>
      </c>
      <c r="L47" s="18" t="str">
        <f aca="false">IF(J47="","",J47-K47)</f>
        <v/>
      </c>
      <c r="M47" s="16"/>
    </row>
    <row r="48" customFormat="false" ht="15" hidden="false" customHeight="false" outlineLevel="0" collapsed="false">
      <c r="A48" s="15"/>
      <c r="B48" s="16"/>
      <c r="C48" s="17"/>
      <c r="D48" s="17"/>
      <c r="E48" s="17"/>
      <c r="F48" s="17"/>
      <c r="G48" s="17"/>
      <c r="H48" s="18" t="str">
        <f aca="false">IF(D48="","",D48+E48+F48)</f>
        <v/>
      </c>
      <c r="I48" s="18" t="str">
        <f aca="false">IF(D48="","",H48-G48)</f>
        <v/>
      </c>
      <c r="J48" s="17"/>
      <c r="K48" s="18" t="str">
        <f aca="false">IF(D48="","",C48+D48-G48)</f>
        <v/>
      </c>
      <c r="L48" s="18" t="str">
        <f aca="false">IF(J48="","",J48-K48)</f>
        <v/>
      </c>
      <c r="M48" s="16"/>
    </row>
    <row r="49" customFormat="false" ht="15" hidden="false" customHeight="false" outlineLevel="0" collapsed="false">
      <c r="A49" s="15"/>
      <c r="B49" s="16"/>
      <c r="C49" s="17"/>
      <c r="D49" s="17"/>
      <c r="E49" s="17"/>
      <c r="F49" s="17"/>
      <c r="G49" s="17"/>
      <c r="H49" s="18" t="str">
        <f aca="false">IF(D49="","",D49+E49+F49)</f>
        <v/>
      </c>
      <c r="I49" s="18" t="str">
        <f aca="false">IF(D49="","",H49-G49)</f>
        <v/>
      </c>
      <c r="J49" s="17"/>
      <c r="K49" s="18" t="str">
        <f aca="false">IF(D49="","",C49+D49-G49)</f>
        <v/>
      </c>
      <c r="L49" s="18" t="str">
        <f aca="false">IF(J49="","",J49-K49)</f>
        <v/>
      </c>
      <c r="M49" s="16"/>
    </row>
    <row r="50" customFormat="false" ht="15" hidden="false" customHeight="false" outlineLevel="0" collapsed="false">
      <c r="A50" s="15"/>
      <c r="B50" s="16"/>
      <c r="C50" s="17"/>
      <c r="D50" s="17"/>
      <c r="E50" s="17"/>
      <c r="F50" s="17"/>
      <c r="G50" s="17"/>
      <c r="H50" s="18" t="str">
        <f aca="false">IF(D50="","",D50+E50+F50)</f>
        <v/>
      </c>
      <c r="I50" s="18" t="str">
        <f aca="false">IF(D50="","",H50-G50)</f>
        <v/>
      </c>
      <c r="J50" s="17"/>
      <c r="K50" s="18" t="str">
        <f aca="false">IF(D50="","",C50+D50-G50)</f>
        <v/>
      </c>
      <c r="L50" s="18" t="str">
        <f aca="false">IF(J50="","",J50-K50)</f>
        <v/>
      </c>
      <c r="M50" s="16"/>
    </row>
    <row r="51" customFormat="false" ht="15" hidden="false" customHeight="false" outlineLevel="0" collapsed="false">
      <c r="A51" s="15"/>
      <c r="B51" s="16"/>
      <c r="C51" s="17"/>
      <c r="D51" s="17"/>
      <c r="E51" s="17"/>
      <c r="F51" s="17"/>
      <c r="G51" s="17"/>
      <c r="H51" s="18" t="str">
        <f aca="false">IF(D51="","",D51+E51+F51)</f>
        <v/>
      </c>
      <c r="I51" s="18" t="str">
        <f aca="false">IF(D51="","",H51-G51)</f>
        <v/>
      </c>
      <c r="J51" s="17"/>
      <c r="K51" s="18" t="str">
        <f aca="false">IF(D51="","",C51+D51-G51)</f>
        <v/>
      </c>
      <c r="L51" s="18" t="str">
        <f aca="false">IF(J51="","",J51-K51)</f>
        <v/>
      </c>
      <c r="M51" s="16"/>
    </row>
    <row r="52" customFormat="false" ht="15" hidden="false" customHeight="false" outlineLevel="0" collapsed="false">
      <c r="A52" s="15"/>
      <c r="B52" s="16"/>
      <c r="C52" s="17"/>
      <c r="D52" s="17"/>
      <c r="E52" s="17"/>
      <c r="F52" s="17"/>
      <c r="G52" s="17"/>
      <c r="H52" s="18" t="str">
        <f aca="false">IF(D52="","",D52+E52+F52)</f>
        <v/>
      </c>
      <c r="I52" s="18" t="str">
        <f aca="false">IF(D52="","",H52-G52)</f>
        <v/>
      </c>
      <c r="J52" s="17"/>
      <c r="K52" s="18" t="str">
        <f aca="false">IF(D52="","",C52+D52-G52)</f>
        <v/>
      </c>
      <c r="L52" s="18" t="str">
        <f aca="false">IF(J52="","",J52-K52)</f>
        <v/>
      </c>
      <c r="M52" s="16"/>
    </row>
    <row r="53" customFormat="false" ht="15" hidden="false" customHeight="false" outlineLevel="0" collapsed="false">
      <c r="A53" s="15"/>
      <c r="B53" s="16"/>
      <c r="C53" s="17"/>
      <c r="D53" s="17"/>
      <c r="E53" s="17"/>
      <c r="F53" s="17"/>
      <c r="G53" s="17"/>
      <c r="H53" s="18" t="str">
        <f aca="false">IF(D53="","",D53+E53+F53)</f>
        <v/>
      </c>
      <c r="I53" s="18" t="str">
        <f aca="false">IF(D53="","",H53-G53)</f>
        <v/>
      </c>
      <c r="J53" s="17"/>
      <c r="K53" s="18" t="str">
        <f aca="false">IF(D53="","",C53+D53-G53)</f>
        <v/>
      </c>
      <c r="L53" s="18" t="str">
        <f aca="false">IF(J53="","",J53-K53)</f>
        <v/>
      </c>
      <c r="M53" s="16"/>
    </row>
    <row r="54" customFormat="false" ht="15" hidden="false" customHeight="false" outlineLevel="0" collapsed="false">
      <c r="A54" s="15"/>
      <c r="B54" s="16"/>
      <c r="C54" s="17"/>
      <c r="D54" s="17"/>
      <c r="E54" s="17"/>
      <c r="F54" s="17"/>
      <c r="G54" s="17"/>
      <c r="H54" s="18" t="str">
        <f aca="false">IF(D54="","",D54+E54+F54)</f>
        <v/>
      </c>
      <c r="I54" s="18" t="str">
        <f aca="false">IF(D54="","",H54-G54)</f>
        <v/>
      </c>
      <c r="J54" s="17"/>
      <c r="K54" s="18" t="str">
        <f aca="false">IF(D54="","",C54+D54-G54)</f>
        <v/>
      </c>
      <c r="L54" s="18" t="str">
        <f aca="false">IF(J54="","",J54-K54)</f>
        <v/>
      </c>
      <c r="M54" s="16"/>
    </row>
    <row r="55" customFormat="false" ht="15" hidden="false" customHeight="false" outlineLevel="0" collapsed="false">
      <c r="A55" s="15"/>
      <c r="B55" s="16"/>
      <c r="C55" s="17"/>
      <c r="D55" s="17"/>
      <c r="E55" s="17"/>
      <c r="F55" s="17"/>
      <c r="G55" s="17"/>
      <c r="H55" s="18" t="str">
        <f aca="false">IF(D55="","",D55+E55+F55)</f>
        <v/>
      </c>
      <c r="I55" s="18" t="str">
        <f aca="false">IF(D55="","",H55-G55)</f>
        <v/>
      </c>
      <c r="J55" s="17"/>
      <c r="K55" s="18" t="str">
        <f aca="false">IF(D55="","",C55+D55-G55)</f>
        <v/>
      </c>
      <c r="L55" s="18" t="str">
        <f aca="false">IF(J55="","",J55-K55)</f>
        <v/>
      </c>
      <c r="M55" s="16"/>
    </row>
    <row r="56" customFormat="false" ht="15" hidden="false" customHeight="false" outlineLevel="0" collapsed="false">
      <c r="A56" s="15"/>
      <c r="B56" s="16"/>
      <c r="C56" s="17"/>
      <c r="D56" s="17"/>
      <c r="E56" s="17"/>
      <c r="F56" s="17"/>
      <c r="G56" s="17"/>
      <c r="H56" s="18" t="str">
        <f aca="false">IF(D56="","",D56+E56+F56)</f>
        <v/>
      </c>
      <c r="I56" s="18" t="str">
        <f aca="false">IF(D56="","",H56-G56)</f>
        <v/>
      </c>
      <c r="J56" s="17"/>
      <c r="K56" s="18" t="str">
        <f aca="false">IF(D56="","",C56+D56-G56)</f>
        <v/>
      </c>
      <c r="L56" s="18" t="str">
        <f aca="false">IF(J56="","",J56-K56)</f>
        <v/>
      </c>
      <c r="M56" s="16"/>
    </row>
    <row r="57" customFormat="false" ht="15" hidden="false" customHeight="false" outlineLevel="0" collapsed="false">
      <c r="A57" s="15"/>
      <c r="B57" s="16"/>
      <c r="C57" s="17"/>
      <c r="D57" s="17"/>
      <c r="E57" s="17"/>
      <c r="F57" s="17"/>
      <c r="G57" s="17"/>
      <c r="H57" s="18" t="str">
        <f aca="false">IF(D57="","",D57+E57+F57)</f>
        <v/>
      </c>
      <c r="I57" s="18" t="str">
        <f aca="false">IF(D57="","",H57-G57)</f>
        <v/>
      </c>
      <c r="J57" s="17"/>
      <c r="K57" s="18" t="str">
        <f aca="false">IF(D57="","",C57+D57-G57)</f>
        <v/>
      </c>
      <c r="L57" s="18" t="str">
        <f aca="false">IF(J57="","",J57-K57)</f>
        <v/>
      </c>
      <c r="M57" s="16"/>
    </row>
    <row r="58" customFormat="false" ht="15" hidden="false" customHeight="false" outlineLevel="0" collapsed="false">
      <c r="A58" s="15"/>
      <c r="B58" s="16"/>
      <c r="C58" s="17"/>
      <c r="D58" s="17"/>
      <c r="E58" s="17"/>
      <c r="F58" s="17"/>
      <c r="G58" s="17"/>
      <c r="H58" s="18" t="str">
        <f aca="false">IF(D58="","",D58+E58+F58)</f>
        <v/>
      </c>
      <c r="I58" s="18" t="str">
        <f aca="false">IF(D58="","",H58-G58)</f>
        <v/>
      </c>
      <c r="J58" s="17"/>
      <c r="K58" s="18" t="str">
        <f aca="false">IF(D58="","",C58+D58-G58)</f>
        <v/>
      </c>
      <c r="L58" s="18" t="str">
        <f aca="false">IF(J58="","",J58-K58)</f>
        <v/>
      </c>
      <c r="M58" s="16"/>
    </row>
    <row r="59" customFormat="false" ht="15" hidden="false" customHeight="false" outlineLevel="0" collapsed="false">
      <c r="A59" s="15"/>
      <c r="B59" s="16"/>
      <c r="C59" s="17"/>
      <c r="D59" s="17"/>
      <c r="E59" s="17"/>
      <c r="F59" s="17"/>
      <c r="G59" s="17"/>
      <c r="H59" s="18" t="str">
        <f aca="false">IF(D59="","",D59+E59+F59)</f>
        <v/>
      </c>
      <c r="I59" s="18" t="str">
        <f aca="false">IF(D59="","",H59-G59)</f>
        <v/>
      </c>
      <c r="J59" s="17"/>
      <c r="K59" s="18" t="str">
        <f aca="false">IF(D59="","",C59+D59-G59)</f>
        <v/>
      </c>
      <c r="L59" s="18" t="str">
        <f aca="false">IF(J59="","",J59-K59)</f>
        <v/>
      </c>
      <c r="M59" s="16"/>
    </row>
    <row r="60" customFormat="false" ht="15" hidden="false" customHeight="false" outlineLevel="0" collapsed="false">
      <c r="A60" s="15"/>
      <c r="B60" s="16"/>
      <c r="C60" s="17"/>
      <c r="D60" s="17"/>
      <c r="E60" s="17"/>
      <c r="F60" s="17"/>
      <c r="G60" s="17"/>
      <c r="H60" s="18" t="str">
        <f aca="false">IF(D60="","",D60+E60+F60)</f>
        <v/>
      </c>
      <c r="I60" s="18" t="str">
        <f aca="false">IF(D60="","",H60-G60)</f>
        <v/>
      </c>
      <c r="J60" s="17"/>
      <c r="K60" s="18" t="str">
        <f aca="false">IF(D60="","",C60+D60-G60)</f>
        <v/>
      </c>
      <c r="L60" s="18" t="str">
        <f aca="false">IF(J60="","",J60-K60)</f>
        <v/>
      </c>
      <c r="M60" s="16"/>
    </row>
    <row r="61" customFormat="false" ht="15" hidden="false" customHeight="false" outlineLevel="0" collapsed="false">
      <c r="A61" s="15"/>
      <c r="B61" s="16"/>
      <c r="C61" s="17"/>
      <c r="D61" s="17"/>
      <c r="E61" s="17"/>
      <c r="F61" s="17"/>
      <c r="G61" s="17"/>
      <c r="H61" s="18" t="str">
        <f aca="false">IF(D61="","",D61+E61+F61)</f>
        <v/>
      </c>
      <c r="I61" s="18" t="str">
        <f aca="false">IF(D61="","",H61-G61)</f>
        <v/>
      </c>
      <c r="J61" s="17"/>
      <c r="K61" s="18" t="str">
        <f aca="false">IF(D61="","",C61+D61-G61)</f>
        <v/>
      </c>
      <c r="L61" s="18" t="str">
        <f aca="false">IF(J61="","",J61-K61)</f>
        <v/>
      </c>
      <c r="M61" s="16"/>
    </row>
    <row r="62" customFormat="false" ht="15" hidden="false" customHeight="false" outlineLevel="0" collapsed="false">
      <c r="A62" s="15"/>
      <c r="B62" s="16"/>
      <c r="C62" s="17"/>
      <c r="D62" s="17"/>
      <c r="E62" s="17"/>
      <c r="F62" s="17"/>
      <c r="G62" s="17"/>
      <c r="H62" s="18" t="str">
        <f aca="false">IF(D62="","",D62+E62+F62)</f>
        <v/>
      </c>
      <c r="I62" s="18" t="str">
        <f aca="false">IF(D62="","",H62-G62)</f>
        <v/>
      </c>
      <c r="J62" s="17"/>
      <c r="K62" s="18" t="str">
        <f aca="false">IF(D62="","",C62+D62-G62)</f>
        <v/>
      </c>
      <c r="L62" s="18" t="str">
        <f aca="false">IF(J62="","",J62-K62)</f>
        <v/>
      </c>
      <c r="M62" s="16"/>
    </row>
    <row r="63" customFormat="false" ht="15" hidden="false" customHeight="false" outlineLevel="0" collapsed="false">
      <c r="A63" s="15"/>
      <c r="B63" s="16"/>
      <c r="C63" s="17"/>
      <c r="D63" s="17"/>
      <c r="E63" s="17"/>
      <c r="F63" s="17"/>
      <c r="G63" s="17"/>
      <c r="H63" s="18" t="str">
        <f aca="false">IF(D63="","",D63+E63+F63)</f>
        <v/>
      </c>
      <c r="I63" s="18" t="str">
        <f aca="false">IF(D63="","",H63-G63)</f>
        <v/>
      </c>
      <c r="J63" s="17"/>
      <c r="K63" s="18" t="str">
        <f aca="false">IF(D63="","",C63+D63-G63)</f>
        <v/>
      </c>
      <c r="L63" s="18" t="str">
        <f aca="false">IF(J63="","",J63-K63)</f>
        <v/>
      </c>
      <c r="M63" s="16"/>
    </row>
    <row r="64" customFormat="false" ht="15" hidden="false" customHeight="false" outlineLevel="0" collapsed="false">
      <c r="A64" s="15"/>
      <c r="B64" s="16"/>
      <c r="C64" s="17"/>
      <c r="D64" s="17"/>
      <c r="E64" s="17"/>
      <c r="F64" s="17"/>
      <c r="G64" s="17"/>
      <c r="H64" s="18" t="str">
        <f aca="false">IF(D64="","",D64+E64+F64)</f>
        <v/>
      </c>
      <c r="I64" s="18" t="str">
        <f aca="false">IF(D64="","",H64-G64)</f>
        <v/>
      </c>
      <c r="J64" s="17"/>
      <c r="K64" s="18" t="str">
        <f aca="false">IF(D64="","",C64+D64-G64)</f>
        <v/>
      </c>
      <c r="L64" s="18" t="str">
        <f aca="false">IF(J64="","",J64-K64)</f>
        <v/>
      </c>
      <c r="M64" s="16"/>
    </row>
    <row r="65" customFormat="false" ht="15" hidden="false" customHeight="false" outlineLevel="0" collapsed="false">
      <c r="A65" s="15"/>
      <c r="B65" s="16"/>
      <c r="C65" s="17"/>
      <c r="D65" s="17"/>
      <c r="E65" s="17"/>
      <c r="F65" s="17"/>
      <c r="G65" s="17"/>
      <c r="H65" s="18" t="str">
        <f aca="false">IF(D65="","",D65+E65+F65)</f>
        <v/>
      </c>
      <c r="I65" s="18" t="str">
        <f aca="false">IF(D65="","",H65-G65)</f>
        <v/>
      </c>
      <c r="J65" s="17"/>
      <c r="K65" s="18" t="str">
        <f aca="false">IF(D65="","",C65+D65-G65)</f>
        <v/>
      </c>
      <c r="L65" s="18" t="str">
        <f aca="false">IF(J65="","",J65-K65)</f>
        <v/>
      </c>
      <c r="M65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26"/>
  </cols>
  <sheetData>
    <row r="1" customFormat="false" ht="19.7" hidden="false" customHeight="false" outlineLevel="0" collapsed="false">
      <c r="A1" s="8" t="s">
        <v>33</v>
      </c>
    </row>
    <row r="2" customFormat="false" ht="15" hidden="false" customHeight="false" outlineLevel="0" collapsed="false">
      <c r="A2" s="9" t="s">
        <v>34</v>
      </c>
    </row>
    <row r="4" customFormat="false" ht="31.5" hidden="false" customHeight="true" outlineLevel="0" collapsed="false">
      <c r="A4" s="10" t="s">
        <v>35</v>
      </c>
      <c r="B4" s="10" t="s">
        <v>36</v>
      </c>
      <c r="C4" s="10" t="s">
        <v>37</v>
      </c>
      <c r="D4" s="10" t="s">
        <v>38</v>
      </c>
      <c r="E4" s="10" t="s">
        <v>39</v>
      </c>
      <c r="F4" s="10" t="s">
        <v>40</v>
      </c>
      <c r="G4" s="10" t="s">
        <v>41</v>
      </c>
      <c r="H4" s="10" t="s">
        <v>42</v>
      </c>
      <c r="I4" s="10" t="s">
        <v>43</v>
      </c>
      <c r="J4" s="10" t="s">
        <v>44</v>
      </c>
      <c r="K4" s="10" t="s">
        <v>29</v>
      </c>
    </row>
    <row r="5" customFormat="false" ht="15" hidden="false" customHeight="false" outlineLevel="0" collapsed="false">
      <c r="A5" s="12" t="s">
        <v>30</v>
      </c>
      <c r="B5" s="12" t="s">
        <v>45</v>
      </c>
      <c r="C5" s="13" t="n">
        <v>18</v>
      </c>
      <c r="D5" s="13" t="n">
        <v>45</v>
      </c>
      <c r="E5" s="13" t="n">
        <f aca="false">IFERROR(D5-C5,"")</f>
        <v>27</v>
      </c>
      <c r="F5" s="19" t="n">
        <f aca="false">IFERROR(E5/D5,"")</f>
        <v>0.6</v>
      </c>
      <c r="G5" s="12" t="n">
        <v>12</v>
      </c>
      <c r="H5" s="12" t="n">
        <v>5</v>
      </c>
      <c r="I5" s="12" t="str">
        <f aca="false">IF(G5="","",IF(G5&lt;=H5,"Reorder","OK"))</f>
        <v>OK</v>
      </c>
      <c r="J5" s="13" t="n">
        <f aca="false">IFERROR(C5*G5,"")</f>
        <v>216</v>
      </c>
      <c r="K5" s="12" t="s">
        <v>46</v>
      </c>
    </row>
    <row r="6" customFormat="false" ht="15" hidden="false" customHeight="false" outlineLevel="0" collapsed="false">
      <c r="A6" s="16"/>
      <c r="B6" s="16"/>
      <c r="C6" s="17"/>
      <c r="D6" s="17"/>
      <c r="E6" s="18" t="n">
        <f aca="false">IFERROR(D6-C6,"")</f>
        <v>0</v>
      </c>
      <c r="F6" s="20" t="str">
        <f aca="false">IFERROR(E6/D6,"")</f>
        <v/>
      </c>
      <c r="G6" s="16"/>
      <c r="H6" s="16"/>
      <c r="I6" s="21" t="str">
        <f aca="false">IF(G6="","",IF(G6&lt;=H6,"Reorder","OK"))</f>
        <v/>
      </c>
      <c r="J6" s="18" t="n">
        <f aca="false">IFERROR(C6*G6,"")</f>
        <v>0</v>
      </c>
      <c r="K6" s="16"/>
    </row>
    <row r="7" customFormat="false" ht="15" hidden="false" customHeight="false" outlineLevel="0" collapsed="false">
      <c r="A7" s="16"/>
      <c r="B7" s="16"/>
      <c r="C7" s="17"/>
      <c r="D7" s="17"/>
      <c r="E7" s="18" t="n">
        <f aca="false">IFERROR(D7-C7,"")</f>
        <v>0</v>
      </c>
      <c r="F7" s="20" t="str">
        <f aca="false">IFERROR(E7/D7,"")</f>
        <v/>
      </c>
      <c r="G7" s="16"/>
      <c r="H7" s="16"/>
      <c r="I7" s="21" t="str">
        <f aca="false">IF(G7="","",IF(G7&lt;=H7,"Reorder","OK"))</f>
        <v/>
      </c>
      <c r="J7" s="18" t="n">
        <f aca="false">IFERROR(C7*G7,"")</f>
        <v>0</v>
      </c>
      <c r="K7" s="16"/>
    </row>
    <row r="8" customFormat="false" ht="15" hidden="false" customHeight="false" outlineLevel="0" collapsed="false">
      <c r="A8" s="16"/>
      <c r="B8" s="16"/>
      <c r="C8" s="17"/>
      <c r="D8" s="17"/>
      <c r="E8" s="18" t="n">
        <f aca="false">IFERROR(D8-C8,"")</f>
        <v>0</v>
      </c>
      <c r="F8" s="20" t="str">
        <f aca="false">IFERROR(E8/D8,"")</f>
        <v/>
      </c>
      <c r="G8" s="16"/>
      <c r="H8" s="16"/>
      <c r="I8" s="21" t="str">
        <f aca="false">IF(G8="","",IF(G8&lt;=H8,"Reorder","OK"))</f>
        <v/>
      </c>
      <c r="J8" s="18" t="n">
        <f aca="false">IFERROR(C8*G8,"")</f>
        <v>0</v>
      </c>
      <c r="K8" s="16"/>
    </row>
    <row r="9" customFormat="false" ht="15" hidden="false" customHeight="false" outlineLevel="0" collapsed="false">
      <c r="A9" s="16"/>
      <c r="B9" s="16"/>
      <c r="C9" s="17"/>
      <c r="D9" s="17"/>
      <c r="E9" s="18" t="n">
        <f aca="false">IFERROR(D9-C9,"")</f>
        <v>0</v>
      </c>
      <c r="F9" s="20" t="str">
        <f aca="false">IFERROR(E9/D9,"")</f>
        <v/>
      </c>
      <c r="G9" s="16"/>
      <c r="H9" s="16"/>
      <c r="I9" s="21" t="str">
        <f aca="false">IF(G9="","",IF(G9&lt;=H9,"Reorder","OK"))</f>
        <v/>
      </c>
      <c r="J9" s="18" t="n">
        <f aca="false">IFERROR(C9*G9,"")</f>
        <v>0</v>
      </c>
      <c r="K9" s="16"/>
    </row>
    <row r="10" customFormat="false" ht="15" hidden="false" customHeight="false" outlineLevel="0" collapsed="false">
      <c r="A10" s="16"/>
      <c r="B10" s="16"/>
      <c r="C10" s="17"/>
      <c r="D10" s="17"/>
      <c r="E10" s="18" t="n">
        <f aca="false">IFERROR(D10-C10,"")</f>
        <v>0</v>
      </c>
      <c r="F10" s="20" t="str">
        <f aca="false">IFERROR(E10/D10,"")</f>
        <v/>
      </c>
      <c r="G10" s="16"/>
      <c r="H10" s="16"/>
      <c r="I10" s="21" t="str">
        <f aca="false">IF(G10="","",IF(G10&lt;=H10,"Reorder","OK"))</f>
        <v/>
      </c>
      <c r="J10" s="18" t="n">
        <f aca="false">IFERROR(C10*G10,"")</f>
        <v>0</v>
      </c>
      <c r="K10" s="16"/>
    </row>
    <row r="11" customFormat="false" ht="15" hidden="false" customHeight="false" outlineLevel="0" collapsed="false">
      <c r="A11" s="16"/>
      <c r="B11" s="16"/>
      <c r="C11" s="17"/>
      <c r="D11" s="17"/>
      <c r="E11" s="18" t="n">
        <f aca="false">IFERROR(D11-C11,"")</f>
        <v>0</v>
      </c>
      <c r="F11" s="20" t="str">
        <f aca="false">IFERROR(E11/D11,"")</f>
        <v/>
      </c>
      <c r="G11" s="16"/>
      <c r="H11" s="16"/>
      <c r="I11" s="21" t="str">
        <f aca="false">IF(G11="","",IF(G11&lt;=H11,"Reorder","OK"))</f>
        <v/>
      </c>
      <c r="J11" s="18" t="n">
        <f aca="false">IFERROR(C11*G11,"")</f>
        <v>0</v>
      </c>
      <c r="K11" s="16"/>
    </row>
    <row r="12" customFormat="false" ht="15" hidden="false" customHeight="false" outlineLevel="0" collapsed="false">
      <c r="A12" s="16"/>
      <c r="B12" s="16"/>
      <c r="C12" s="17"/>
      <c r="D12" s="17"/>
      <c r="E12" s="18" t="n">
        <f aca="false">IFERROR(D12-C12,"")</f>
        <v>0</v>
      </c>
      <c r="F12" s="20" t="str">
        <f aca="false">IFERROR(E12/D12,"")</f>
        <v/>
      </c>
      <c r="G12" s="16"/>
      <c r="H12" s="16"/>
      <c r="I12" s="21" t="str">
        <f aca="false">IF(G12="","",IF(G12&lt;=H12,"Reorder","OK"))</f>
        <v/>
      </c>
      <c r="J12" s="18" t="n">
        <f aca="false">IFERROR(C12*G12,"")</f>
        <v>0</v>
      </c>
      <c r="K12" s="16"/>
    </row>
    <row r="13" customFormat="false" ht="15" hidden="false" customHeight="false" outlineLevel="0" collapsed="false">
      <c r="A13" s="16"/>
      <c r="B13" s="16"/>
      <c r="C13" s="17"/>
      <c r="D13" s="17"/>
      <c r="E13" s="18" t="n">
        <f aca="false">IFERROR(D13-C13,"")</f>
        <v>0</v>
      </c>
      <c r="F13" s="20" t="str">
        <f aca="false">IFERROR(E13/D13,"")</f>
        <v/>
      </c>
      <c r="G13" s="16"/>
      <c r="H13" s="16"/>
      <c r="I13" s="21" t="str">
        <f aca="false">IF(G13="","",IF(G13&lt;=H13,"Reorder","OK"))</f>
        <v/>
      </c>
      <c r="J13" s="18" t="n">
        <f aca="false">IFERROR(C13*G13,"")</f>
        <v>0</v>
      </c>
      <c r="K13" s="16"/>
    </row>
    <row r="14" customFormat="false" ht="15" hidden="false" customHeight="false" outlineLevel="0" collapsed="false">
      <c r="A14" s="16"/>
      <c r="B14" s="16"/>
      <c r="C14" s="17"/>
      <c r="D14" s="17"/>
      <c r="E14" s="18" t="n">
        <f aca="false">IFERROR(D14-C14,"")</f>
        <v>0</v>
      </c>
      <c r="F14" s="20" t="str">
        <f aca="false">IFERROR(E14/D14,"")</f>
        <v/>
      </c>
      <c r="G14" s="16"/>
      <c r="H14" s="16"/>
      <c r="I14" s="21" t="str">
        <f aca="false">IF(G14="","",IF(G14&lt;=H14,"Reorder","OK"))</f>
        <v/>
      </c>
      <c r="J14" s="18" t="n">
        <f aca="false">IFERROR(C14*G14,"")</f>
        <v>0</v>
      </c>
      <c r="K14" s="16"/>
    </row>
    <row r="15" customFormat="false" ht="15" hidden="false" customHeight="false" outlineLevel="0" collapsed="false">
      <c r="A15" s="16"/>
      <c r="B15" s="16"/>
      <c r="C15" s="17"/>
      <c r="D15" s="17"/>
      <c r="E15" s="18" t="n">
        <f aca="false">IFERROR(D15-C15,"")</f>
        <v>0</v>
      </c>
      <c r="F15" s="20" t="str">
        <f aca="false">IFERROR(E15/D15,"")</f>
        <v/>
      </c>
      <c r="G15" s="16"/>
      <c r="H15" s="16"/>
      <c r="I15" s="21" t="str">
        <f aca="false">IF(G15="","",IF(G15&lt;=H15,"Reorder","OK"))</f>
        <v/>
      </c>
      <c r="J15" s="18" t="n">
        <f aca="false">IFERROR(C15*G15,"")</f>
        <v>0</v>
      </c>
      <c r="K15" s="16"/>
    </row>
    <row r="16" customFormat="false" ht="15" hidden="false" customHeight="false" outlineLevel="0" collapsed="false">
      <c r="A16" s="16"/>
      <c r="B16" s="16"/>
      <c r="C16" s="17"/>
      <c r="D16" s="17"/>
      <c r="E16" s="18" t="n">
        <f aca="false">IFERROR(D16-C16,"")</f>
        <v>0</v>
      </c>
      <c r="F16" s="20" t="str">
        <f aca="false">IFERROR(E16/D16,"")</f>
        <v/>
      </c>
      <c r="G16" s="16"/>
      <c r="H16" s="16"/>
      <c r="I16" s="21" t="str">
        <f aca="false">IF(G16="","",IF(G16&lt;=H16,"Reorder","OK"))</f>
        <v/>
      </c>
      <c r="J16" s="18" t="n">
        <f aca="false">IFERROR(C16*G16,"")</f>
        <v>0</v>
      </c>
      <c r="K16" s="16"/>
    </row>
    <row r="17" customFormat="false" ht="15" hidden="false" customHeight="false" outlineLevel="0" collapsed="false">
      <c r="A17" s="16"/>
      <c r="B17" s="16"/>
      <c r="C17" s="17"/>
      <c r="D17" s="17"/>
      <c r="E17" s="18" t="n">
        <f aca="false">IFERROR(D17-C17,"")</f>
        <v>0</v>
      </c>
      <c r="F17" s="20" t="str">
        <f aca="false">IFERROR(E17/D17,"")</f>
        <v/>
      </c>
      <c r="G17" s="16"/>
      <c r="H17" s="16"/>
      <c r="I17" s="21" t="str">
        <f aca="false">IF(G17="","",IF(G17&lt;=H17,"Reorder","OK"))</f>
        <v/>
      </c>
      <c r="J17" s="18" t="n">
        <f aca="false">IFERROR(C17*G17,"")</f>
        <v>0</v>
      </c>
      <c r="K17" s="16"/>
    </row>
    <row r="18" customFormat="false" ht="15" hidden="false" customHeight="false" outlineLevel="0" collapsed="false">
      <c r="A18" s="16"/>
      <c r="B18" s="16"/>
      <c r="C18" s="17"/>
      <c r="D18" s="17"/>
      <c r="E18" s="18" t="n">
        <f aca="false">IFERROR(D18-C18,"")</f>
        <v>0</v>
      </c>
      <c r="F18" s="20" t="str">
        <f aca="false">IFERROR(E18/D18,"")</f>
        <v/>
      </c>
      <c r="G18" s="16"/>
      <c r="H18" s="16"/>
      <c r="I18" s="21" t="str">
        <f aca="false">IF(G18="","",IF(G18&lt;=H18,"Reorder","OK"))</f>
        <v/>
      </c>
      <c r="J18" s="18" t="n">
        <f aca="false">IFERROR(C18*G18,"")</f>
        <v>0</v>
      </c>
      <c r="K18" s="16"/>
    </row>
    <row r="19" customFormat="false" ht="15" hidden="false" customHeight="false" outlineLevel="0" collapsed="false">
      <c r="A19" s="16"/>
      <c r="B19" s="16"/>
      <c r="C19" s="17"/>
      <c r="D19" s="17"/>
      <c r="E19" s="18" t="n">
        <f aca="false">IFERROR(D19-C19,"")</f>
        <v>0</v>
      </c>
      <c r="F19" s="20" t="str">
        <f aca="false">IFERROR(E19/D19,"")</f>
        <v/>
      </c>
      <c r="G19" s="16"/>
      <c r="H19" s="16"/>
      <c r="I19" s="21" t="str">
        <f aca="false">IF(G19="","",IF(G19&lt;=H19,"Reorder","OK"))</f>
        <v/>
      </c>
      <c r="J19" s="18" t="n">
        <f aca="false">IFERROR(C19*G19,"")</f>
        <v>0</v>
      </c>
      <c r="K19" s="16"/>
    </row>
    <row r="20" customFormat="false" ht="15" hidden="false" customHeight="false" outlineLevel="0" collapsed="false">
      <c r="A20" s="16"/>
      <c r="B20" s="16"/>
      <c r="C20" s="17"/>
      <c r="D20" s="17"/>
      <c r="E20" s="18" t="n">
        <f aca="false">IFERROR(D20-C20,"")</f>
        <v>0</v>
      </c>
      <c r="F20" s="20" t="str">
        <f aca="false">IFERROR(E20/D20,"")</f>
        <v/>
      </c>
      <c r="G20" s="16"/>
      <c r="H20" s="16"/>
      <c r="I20" s="21" t="str">
        <f aca="false">IF(G20="","",IF(G20&lt;=H20,"Reorder","OK"))</f>
        <v/>
      </c>
      <c r="J20" s="18" t="n">
        <f aca="false">IFERROR(C20*G20,"")</f>
        <v>0</v>
      </c>
      <c r="K20" s="16"/>
    </row>
    <row r="21" customFormat="false" ht="15" hidden="false" customHeight="false" outlineLevel="0" collapsed="false">
      <c r="A21" s="16"/>
      <c r="B21" s="16"/>
      <c r="C21" s="17"/>
      <c r="D21" s="17"/>
      <c r="E21" s="18" t="n">
        <f aca="false">IFERROR(D21-C21,"")</f>
        <v>0</v>
      </c>
      <c r="F21" s="20" t="str">
        <f aca="false">IFERROR(E21/D21,"")</f>
        <v/>
      </c>
      <c r="G21" s="16"/>
      <c r="H21" s="16"/>
      <c r="I21" s="21" t="str">
        <f aca="false">IF(G21="","",IF(G21&lt;=H21,"Reorder","OK"))</f>
        <v/>
      </c>
      <c r="J21" s="18" t="n">
        <f aca="false">IFERROR(C21*G21,"")</f>
        <v>0</v>
      </c>
      <c r="K21" s="16"/>
    </row>
    <row r="22" customFormat="false" ht="15" hidden="false" customHeight="false" outlineLevel="0" collapsed="false">
      <c r="A22" s="16"/>
      <c r="B22" s="16"/>
      <c r="C22" s="17"/>
      <c r="D22" s="17"/>
      <c r="E22" s="18" t="n">
        <f aca="false">IFERROR(D22-C22,"")</f>
        <v>0</v>
      </c>
      <c r="F22" s="20" t="str">
        <f aca="false">IFERROR(E22/D22,"")</f>
        <v/>
      </c>
      <c r="G22" s="16"/>
      <c r="H22" s="16"/>
      <c r="I22" s="21" t="str">
        <f aca="false">IF(G22="","",IF(G22&lt;=H22,"Reorder","OK"))</f>
        <v/>
      </c>
      <c r="J22" s="18" t="n">
        <f aca="false">IFERROR(C22*G22,"")</f>
        <v>0</v>
      </c>
      <c r="K22" s="16"/>
    </row>
    <row r="23" customFormat="false" ht="15" hidden="false" customHeight="false" outlineLevel="0" collapsed="false">
      <c r="A23" s="16"/>
      <c r="B23" s="16"/>
      <c r="C23" s="17"/>
      <c r="D23" s="17"/>
      <c r="E23" s="18" t="n">
        <f aca="false">IFERROR(D23-C23,"")</f>
        <v>0</v>
      </c>
      <c r="F23" s="20" t="str">
        <f aca="false">IFERROR(E23/D23,"")</f>
        <v/>
      </c>
      <c r="G23" s="16"/>
      <c r="H23" s="16"/>
      <c r="I23" s="21" t="str">
        <f aca="false">IF(G23="","",IF(G23&lt;=H23,"Reorder","OK"))</f>
        <v/>
      </c>
      <c r="J23" s="18" t="n">
        <f aca="false">IFERROR(C23*G23,"")</f>
        <v>0</v>
      </c>
      <c r="K23" s="16"/>
    </row>
    <row r="24" customFormat="false" ht="15" hidden="false" customHeight="false" outlineLevel="0" collapsed="false">
      <c r="A24" s="16"/>
      <c r="B24" s="16"/>
      <c r="C24" s="17"/>
      <c r="D24" s="17"/>
      <c r="E24" s="18" t="n">
        <f aca="false">IFERROR(D24-C24,"")</f>
        <v>0</v>
      </c>
      <c r="F24" s="20" t="str">
        <f aca="false">IFERROR(E24/D24,"")</f>
        <v/>
      </c>
      <c r="G24" s="16"/>
      <c r="H24" s="16"/>
      <c r="I24" s="21" t="str">
        <f aca="false">IF(G24="","",IF(G24&lt;=H24,"Reorder","OK"))</f>
        <v/>
      </c>
      <c r="J24" s="18" t="n">
        <f aca="false">IFERROR(C24*G24,"")</f>
        <v>0</v>
      </c>
      <c r="K24" s="16"/>
    </row>
    <row r="25" customFormat="false" ht="15" hidden="false" customHeight="false" outlineLevel="0" collapsed="false">
      <c r="A25" s="16"/>
      <c r="B25" s="16"/>
      <c r="C25" s="17"/>
      <c r="D25" s="17"/>
      <c r="E25" s="18" t="n">
        <f aca="false">IFERROR(D25-C25,"")</f>
        <v>0</v>
      </c>
      <c r="F25" s="20" t="str">
        <f aca="false">IFERROR(E25/D25,"")</f>
        <v/>
      </c>
      <c r="G25" s="16"/>
      <c r="H25" s="16"/>
      <c r="I25" s="21" t="str">
        <f aca="false">IF(G25="","",IF(G25&lt;=H25,"Reorder","OK"))</f>
        <v/>
      </c>
      <c r="J25" s="18" t="n">
        <f aca="false">IFERROR(C25*G25,"")</f>
        <v>0</v>
      </c>
      <c r="K25" s="16"/>
    </row>
    <row r="26" customFormat="false" ht="15" hidden="false" customHeight="false" outlineLevel="0" collapsed="false">
      <c r="A26" s="16"/>
      <c r="B26" s="16"/>
      <c r="C26" s="17"/>
      <c r="D26" s="17"/>
      <c r="E26" s="18" t="n">
        <f aca="false">IFERROR(D26-C26,"")</f>
        <v>0</v>
      </c>
      <c r="F26" s="20" t="str">
        <f aca="false">IFERROR(E26/D26,"")</f>
        <v/>
      </c>
      <c r="G26" s="16"/>
      <c r="H26" s="16"/>
      <c r="I26" s="21" t="str">
        <f aca="false">IF(G26="","",IF(G26&lt;=H26,"Reorder","OK"))</f>
        <v/>
      </c>
      <c r="J26" s="18" t="n">
        <f aca="false">IFERROR(C26*G26,"")</f>
        <v>0</v>
      </c>
      <c r="K26" s="16"/>
    </row>
    <row r="27" customFormat="false" ht="15" hidden="false" customHeight="false" outlineLevel="0" collapsed="false">
      <c r="A27" s="16"/>
      <c r="B27" s="16"/>
      <c r="C27" s="17"/>
      <c r="D27" s="17"/>
      <c r="E27" s="18" t="n">
        <f aca="false">IFERROR(D27-C27,"")</f>
        <v>0</v>
      </c>
      <c r="F27" s="20" t="str">
        <f aca="false">IFERROR(E27/D27,"")</f>
        <v/>
      </c>
      <c r="G27" s="16"/>
      <c r="H27" s="16"/>
      <c r="I27" s="21" t="str">
        <f aca="false">IF(G27="","",IF(G27&lt;=H27,"Reorder","OK"))</f>
        <v/>
      </c>
      <c r="J27" s="18" t="n">
        <f aca="false">IFERROR(C27*G27,"")</f>
        <v>0</v>
      </c>
      <c r="K27" s="16"/>
    </row>
    <row r="28" customFormat="false" ht="15" hidden="false" customHeight="false" outlineLevel="0" collapsed="false">
      <c r="A28" s="16"/>
      <c r="B28" s="16"/>
      <c r="C28" s="17"/>
      <c r="D28" s="17"/>
      <c r="E28" s="18" t="n">
        <f aca="false">IFERROR(D28-C28,"")</f>
        <v>0</v>
      </c>
      <c r="F28" s="20" t="str">
        <f aca="false">IFERROR(E28/D28,"")</f>
        <v/>
      </c>
      <c r="G28" s="16"/>
      <c r="H28" s="16"/>
      <c r="I28" s="21" t="str">
        <f aca="false">IF(G28="","",IF(G28&lt;=H28,"Reorder","OK"))</f>
        <v/>
      </c>
      <c r="J28" s="18" t="n">
        <f aca="false">IFERROR(C28*G28,"")</f>
        <v>0</v>
      </c>
      <c r="K28" s="16"/>
    </row>
    <row r="29" customFormat="false" ht="15" hidden="false" customHeight="false" outlineLevel="0" collapsed="false">
      <c r="A29" s="16"/>
      <c r="B29" s="16"/>
      <c r="C29" s="17"/>
      <c r="D29" s="17"/>
      <c r="E29" s="18" t="n">
        <f aca="false">IFERROR(D29-C29,"")</f>
        <v>0</v>
      </c>
      <c r="F29" s="20" t="str">
        <f aca="false">IFERROR(E29/D29,"")</f>
        <v/>
      </c>
      <c r="G29" s="16"/>
      <c r="H29" s="16"/>
      <c r="I29" s="21" t="str">
        <f aca="false">IF(G29="","",IF(G29&lt;=H29,"Reorder","OK"))</f>
        <v/>
      </c>
      <c r="J29" s="18" t="n">
        <f aca="false">IFERROR(C29*G29,"")</f>
        <v>0</v>
      </c>
      <c r="K29" s="16"/>
    </row>
    <row r="30" customFormat="false" ht="15" hidden="false" customHeight="false" outlineLevel="0" collapsed="false">
      <c r="A30" s="16"/>
      <c r="B30" s="16"/>
      <c r="C30" s="17"/>
      <c r="D30" s="17"/>
      <c r="E30" s="18" t="n">
        <f aca="false">IFERROR(D30-C30,"")</f>
        <v>0</v>
      </c>
      <c r="F30" s="20" t="str">
        <f aca="false">IFERROR(E30/D30,"")</f>
        <v/>
      </c>
      <c r="G30" s="16"/>
      <c r="H30" s="16"/>
      <c r="I30" s="21" t="str">
        <f aca="false">IF(G30="","",IF(G30&lt;=H30,"Reorder","OK"))</f>
        <v/>
      </c>
      <c r="J30" s="18" t="n">
        <f aca="false">IFERROR(C30*G30,"")</f>
        <v>0</v>
      </c>
      <c r="K30" s="16"/>
    </row>
    <row r="31" customFormat="false" ht="15" hidden="false" customHeight="false" outlineLevel="0" collapsed="false">
      <c r="A31" s="16"/>
      <c r="B31" s="16"/>
      <c r="C31" s="17"/>
      <c r="D31" s="17"/>
      <c r="E31" s="18" t="n">
        <f aca="false">IFERROR(D31-C31,"")</f>
        <v>0</v>
      </c>
      <c r="F31" s="20" t="str">
        <f aca="false">IFERROR(E31/D31,"")</f>
        <v/>
      </c>
      <c r="G31" s="16"/>
      <c r="H31" s="16"/>
      <c r="I31" s="21" t="str">
        <f aca="false">IF(G31="","",IF(G31&lt;=H31,"Reorder","OK"))</f>
        <v/>
      </c>
      <c r="J31" s="18" t="n">
        <f aca="false">IFERROR(C31*G31,"")</f>
        <v>0</v>
      </c>
      <c r="K31" s="16"/>
    </row>
    <row r="32" customFormat="false" ht="15" hidden="false" customHeight="false" outlineLevel="0" collapsed="false">
      <c r="A32" s="16"/>
      <c r="B32" s="16"/>
      <c r="C32" s="17"/>
      <c r="D32" s="17"/>
      <c r="E32" s="18" t="n">
        <f aca="false">IFERROR(D32-C32,"")</f>
        <v>0</v>
      </c>
      <c r="F32" s="20" t="str">
        <f aca="false">IFERROR(E32/D32,"")</f>
        <v/>
      </c>
      <c r="G32" s="16"/>
      <c r="H32" s="16"/>
      <c r="I32" s="21" t="str">
        <f aca="false">IF(G32="","",IF(G32&lt;=H32,"Reorder","OK"))</f>
        <v/>
      </c>
      <c r="J32" s="18" t="n">
        <f aca="false">IFERROR(C32*G32,"")</f>
        <v>0</v>
      </c>
      <c r="K32" s="16"/>
    </row>
    <row r="33" customFormat="false" ht="15" hidden="false" customHeight="false" outlineLevel="0" collapsed="false">
      <c r="A33" s="16"/>
      <c r="B33" s="16"/>
      <c r="C33" s="17"/>
      <c r="D33" s="17"/>
      <c r="E33" s="18" t="n">
        <f aca="false">IFERROR(D33-C33,"")</f>
        <v>0</v>
      </c>
      <c r="F33" s="20" t="str">
        <f aca="false">IFERROR(E33/D33,"")</f>
        <v/>
      </c>
      <c r="G33" s="16"/>
      <c r="H33" s="16"/>
      <c r="I33" s="21" t="str">
        <f aca="false">IF(G33="","",IF(G33&lt;=H33,"Reorder","OK"))</f>
        <v/>
      </c>
      <c r="J33" s="18" t="n">
        <f aca="false">IFERROR(C33*G33,"")</f>
        <v>0</v>
      </c>
      <c r="K33" s="16"/>
    </row>
    <row r="34" customFormat="false" ht="15" hidden="false" customHeight="false" outlineLevel="0" collapsed="false">
      <c r="A34" s="16"/>
      <c r="B34" s="16"/>
      <c r="C34" s="17"/>
      <c r="D34" s="17"/>
      <c r="E34" s="18" t="n">
        <f aca="false">IFERROR(D34-C34,"")</f>
        <v>0</v>
      </c>
      <c r="F34" s="20" t="str">
        <f aca="false">IFERROR(E34/D34,"")</f>
        <v/>
      </c>
      <c r="G34" s="16"/>
      <c r="H34" s="16"/>
      <c r="I34" s="21" t="str">
        <f aca="false">IF(G34="","",IF(G34&lt;=H34,"Reorder","OK"))</f>
        <v/>
      </c>
      <c r="J34" s="18" t="n">
        <f aca="false">IFERROR(C34*G34,"")</f>
        <v>0</v>
      </c>
      <c r="K34" s="16"/>
    </row>
    <row r="35" customFormat="false" ht="15" hidden="false" customHeight="false" outlineLevel="0" collapsed="false">
      <c r="A35" s="16"/>
      <c r="B35" s="16"/>
      <c r="C35" s="17"/>
      <c r="D35" s="17"/>
      <c r="E35" s="18" t="n">
        <f aca="false">IFERROR(D35-C35,"")</f>
        <v>0</v>
      </c>
      <c r="F35" s="20" t="str">
        <f aca="false">IFERROR(E35/D35,"")</f>
        <v/>
      </c>
      <c r="G35" s="16"/>
      <c r="H35" s="16"/>
      <c r="I35" s="21" t="str">
        <f aca="false">IF(G35="","",IF(G35&lt;=H35,"Reorder","OK"))</f>
        <v/>
      </c>
      <c r="J35" s="18" t="n">
        <f aca="false">IFERROR(C35*G35,"")</f>
        <v>0</v>
      </c>
      <c r="K35" s="16"/>
    </row>
    <row r="36" customFormat="false" ht="15" hidden="false" customHeight="false" outlineLevel="0" collapsed="false">
      <c r="A36" s="16"/>
      <c r="B36" s="16"/>
      <c r="C36" s="17"/>
      <c r="D36" s="17"/>
      <c r="E36" s="18" t="n">
        <f aca="false">IFERROR(D36-C36,"")</f>
        <v>0</v>
      </c>
      <c r="F36" s="20" t="str">
        <f aca="false">IFERROR(E36/D36,"")</f>
        <v/>
      </c>
      <c r="G36" s="16"/>
      <c r="H36" s="16"/>
      <c r="I36" s="21" t="str">
        <f aca="false">IF(G36="","",IF(G36&lt;=H36,"Reorder","OK"))</f>
        <v/>
      </c>
      <c r="J36" s="18" t="n">
        <f aca="false">IFERROR(C36*G36,"")</f>
        <v>0</v>
      </c>
      <c r="K36" s="16"/>
    </row>
    <row r="37" customFormat="false" ht="15" hidden="false" customHeight="false" outlineLevel="0" collapsed="false">
      <c r="A37" s="16"/>
      <c r="B37" s="16"/>
      <c r="C37" s="17"/>
      <c r="D37" s="17"/>
      <c r="E37" s="18" t="n">
        <f aca="false">IFERROR(D37-C37,"")</f>
        <v>0</v>
      </c>
      <c r="F37" s="20" t="str">
        <f aca="false">IFERROR(E37/D37,"")</f>
        <v/>
      </c>
      <c r="G37" s="16"/>
      <c r="H37" s="16"/>
      <c r="I37" s="21" t="str">
        <f aca="false">IF(G37="","",IF(G37&lt;=H37,"Reorder","OK"))</f>
        <v/>
      </c>
      <c r="J37" s="18" t="n">
        <f aca="false">IFERROR(C37*G37,"")</f>
        <v>0</v>
      </c>
      <c r="K37" s="16"/>
    </row>
    <row r="38" customFormat="false" ht="15" hidden="false" customHeight="false" outlineLevel="0" collapsed="false">
      <c r="A38" s="16"/>
      <c r="B38" s="16"/>
      <c r="C38" s="17"/>
      <c r="D38" s="17"/>
      <c r="E38" s="18" t="n">
        <f aca="false">IFERROR(D38-C38,"")</f>
        <v>0</v>
      </c>
      <c r="F38" s="20" t="str">
        <f aca="false">IFERROR(E38/D38,"")</f>
        <v/>
      </c>
      <c r="G38" s="16"/>
      <c r="H38" s="16"/>
      <c r="I38" s="21" t="str">
        <f aca="false">IF(G38="","",IF(G38&lt;=H38,"Reorder","OK"))</f>
        <v/>
      </c>
      <c r="J38" s="18" t="n">
        <f aca="false">IFERROR(C38*G38,"")</f>
        <v>0</v>
      </c>
      <c r="K38" s="16"/>
    </row>
    <row r="39" customFormat="false" ht="15" hidden="false" customHeight="false" outlineLevel="0" collapsed="false">
      <c r="A39" s="16"/>
      <c r="B39" s="16"/>
      <c r="C39" s="17"/>
      <c r="D39" s="17"/>
      <c r="E39" s="18" t="n">
        <f aca="false">IFERROR(D39-C39,"")</f>
        <v>0</v>
      </c>
      <c r="F39" s="20" t="str">
        <f aca="false">IFERROR(E39/D39,"")</f>
        <v/>
      </c>
      <c r="G39" s="16"/>
      <c r="H39" s="16"/>
      <c r="I39" s="21" t="str">
        <f aca="false">IF(G39="","",IF(G39&lt;=H39,"Reorder","OK"))</f>
        <v/>
      </c>
      <c r="J39" s="18" t="n">
        <f aca="false">IFERROR(C39*G39,"")</f>
        <v>0</v>
      </c>
      <c r="K39" s="16"/>
    </row>
    <row r="40" customFormat="false" ht="15" hidden="false" customHeight="false" outlineLevel="0" collapsed="false">
      <c r="A40" s="16"/>
      <c r="B40" s="16"/>
      <c r="C40" s="17"/>
      <c r="D40" s="17"/>
      <c r="E40" s="18" t="n">
        <f aca="false">IFERROR(D40-C40,"")</f>
        <v>0</v>
      </c>
      <c r="F40" s="20" t="str">
        <f aca="false">IFERROR(E40/D40,"")</f>
        <v/>
      </c>
      <c r="G40" s="16"/>
      <c r="H40" s="16"/>
      <c r="I40" s="21" t="str">
        <f aca="false">IF(G40="","",IF(G40&lt;=H40,"Reorder","OK"))</f>
        <v/>
      </c>
      <c r="J40" s="18" t="n">
        <f aca="false">IFERROR(C40*G40,"")</f>
        <v>0</v>
      </c>
      <c r="K40" s="16"/>
    </row>
    <row r="41" customFormat="false" ht="15" hidden="false" customHeight="false" outlineLevel="0" collapsed="false">
      <c r="A41" s="16"/>
      <c r="B41" s="16"/>
      <c r="C41" s="17"/>
      <c r="D41" s="17"/>
      <c r="E41" s="18" t="n">
        <f aca="false">IFERROR(D41-C41,"")</f>
        <v>0</v>
      </c>
      <c r="F41" s="20" t="str">
        <f aca="false">IFERROR(E41/D41,"")</f>
        <v/>
      </c>
      <c r="G41" s="16"/>
      <c r="H41" s="16"/>
      <c r="I41" s="21" t="str">
        <f aca="false">IF(G41="","",IF(G41&lt;=H41,"Reorder","OK"))</f>
        <v/>
      </c>
      <c r="J41" s="18" t="n">
        <f aca="false">IFERROR(C41*G41,"")</f>
        <v>0</v>
      </c>
      <c r="K41" s="16"/>
    </row>
    <row r="42" customFormat="false" ht="15" hidden="false" customHeight="false" outlineLevel="0" collapsed="false">
      <c r="A42" s="16"/>
      <c r="B42" s="16"/>
      <c r="C42" s="17"/>
      <c r="D42" s="17"/>
      <c r="E42" s="18" t="n">
        <f aca="false">IFERROR(D42-C42,"")</f>
        <v>0</v>
      </c>
      <c r="F42" s="20" t="str">
        <f aca="false">IFERROR(E42/D42,"")</f>
        <v/>
      </c>
      <c r="G42" s="16"/>
      <c r="H42" s="16"/>
      <c r="I42" s="21" t="str">
        <f aca="false">IF(G42="","",IF(G42&lt;=H42,"Reorder","OK"))</f>
        <v/>
      </c>
      <c r="J42" s="18" t="n">
        <f aca="false">IFERROR(C42*G42,"")</f>
        <v>0</v>
      </c>
      <c r="K42" s="16"/>
    </row>
    <row r="43" customFormat="false" ht="15" hidden="false" customHeight="false" outlineLevel="0" collapsed="false">
      <c r="A43" s="16"/>
      <c r="B43" s="16"/>
      <c r="C43" s="17"/>
      <c r="D43" s="17"/>
      <c r="E43" s="18" t="n">
        <f aca="false">IFERROR(D43-C43,"")</f>
        <v>0</v>
      </c>
      <c r="F43" s="20" t="str">
        <f aca="false">IFERROR(E43/D43,"")</f>
        <v/>
      </c>
      <c r="G43" s="16"/>
      <c r="H43" s="16"/>
      <c r="I43" s="21" t="str">
        <f aca="false">IF(G43="","",IF(G43&lt;=H43,"Reorder","OK"))</f>
        <v/>
      </c>
      <c r="J43" s="18" t="n">
        <f aca="false">IFERROR(C43*G43,"")</f>
        <v>0</v>
      </c>
      <c r="K43" s="16"/>
    </row>
    <row r="44" customFormat="false" ht="15" hidden="false" customHeight="false" outlineLevel="0" collapsed="false">
      <c r="A44" s="16"/>
      <c r="B44" s="16"/>
      <c r="C44" s="17"/>
      <c r="D44" s="17"/>
      <c r="E44" s="18" t="n">
        <f aca="false">IFERROR(D44-C44,"")</f>
        <v>0</v>
      </c>
      <c r="F44" s="20" t="str">
        <f aca="false">IFERROR(E44/D44,"")</f>
        <v/>
      </c>
      <c r="G44" s="16"/>
      <c r="H44" s="16"/>
      <c r="I44" s="21" t="str">
        <f aca="false">IF(G44="","",IF(G44&lt;=H44,"Reorder","OK"))</f>
        <v/>
      </c>
      <c r="J44" s="18" t="n">
        <f aca="false">IFERROR(C44*G44,"")</f>
        <v>0</v>
      </c>
      <c r="K44" s="16"/>
    </row>
    <row r="45" customFormat="false" ht="15" hidden="false" customHeight="false" outlineLevel="0" collapsed="false">
      <c r="A45" s="16"/>
      <c r="B45" s="16"/>
      <c r="C45" s="17"/>
      <c r="D45" s="17"/>
      <c r="E45" s="18" t="n">
        <f aca="false">IFERROR(D45-C45,"")</f>
        <v>0</v>
      </c>
      <c r="F45" s="20" t="str">
        <f aca="false">IFERROR(E45/D45,"")</f>
        <v/>
      </c>
      <c r="G45" s="16"/>
      <c r="H45" s="16"/>
      <c r="I45" s="21" t="str">
        <f aca="false">IF(G45="","",IF(G45&lt;=H45,"Reorder","OK"))</f>
        <v/>
      </c>
      <c r="J45" s="18" t="n">
        <f aca="false">IFERROR(C45*G45,"")</f>
        <v>0</v>
      </c>
      <c r="K45" s="16"/>
    </row>
    <row r="46" customFormat="false" ht="15" hidden="false" customHeight="false" outlineLevel="0" collapsed="false">
      <c r="A46" s="16"/>
      <c r="B46" s="16"/>
      <c r="C46" s="17"/>
      <c r="D46" s="17"/>
      <c r="E46" s="18" t="n">
        <f aca="false">IFERROR(D46-C46,"")</f>
        <v>0</v>
      </c>
      <c r="F46" s="20" t="str">
        <f aca="false">IFERROR(E46/D46,"")</f>
        <v/>
      </c>
      <c r="G46" s="16"/>
      <c r="H46" s="16"/>
      <c r="I46" s="21" t="str">
        <f aca="false">IF(G46="","",IF(G46&lt;=H46,"Reorder","OK"))</f>
        <v/>
      </c>
      <c r="J46" s="18" t="n">
        <f aca="false">IFERROR(C46*G46,"")</f>
        <v>0</v>
      </c>
      <c r="K46" s="16"/>
    </row>
    <row r="47" customFormat="false" ht="15" hidden="false" customHeight="false" outlineLevel="0" collapsed="false">
      <c r="A47" s="16"/>
      <c r="B47" s="16"/>
      <c r="C47" s="17"/>
      <c r="D47" s="17"/>
      <c r="E47" s="18" t="n">
        <f aca="false">IFERROR(D47-C47,"")</f>
        <v>0</v>
      </c>
      <c r="F47" s="20" t="str">
        <f aca="false">IFERROR(E47/D47,"")</f>
        <v/>
      </c>
      <c r="G47" s="16"/>
      <c r="H47" s="16"/>
      <c r="I47" s="21" t="str">
        <f aca="false">IF(G47="","",IF(G47&lt;=H47,"Reorder","OK"))</f>
        <v/>
      </c>
      <c r="J47" s="18" t="n">
        <f aca="false">IFERROR(C47*G47,"")</f>
        <v>0</v>
      </c>
      <c r="K47" s="16"/>
    </row>
    <row r="48" customFormat="false" ht="15" hidden="false" customHeight="false" outlineLevel="0" collapsed="false">
      <c r="A48" s="16"/>
      <c r="B48" s="16"/>
      <c r="C48" s="17"/>
      <c r="D48" s="17"/>
      <c r="E48" s="18" t="n">
        <f aca="false">IFERROR(D48-C48,"")</f>
        <v>0</v>
      </c>
      <c r="F48" s="20" t="str">
        <f aca="false">IFERROR(E48/D48,"")</f>
        <v/>
      </c>
      <c r="G48" s="16"/>
      <c r="H48" s="16"/>
      <c r="I48" s="21" t="str">
        <f aca="false">IF(G48="","",IF(G48&lt;=H48,"Reorder","OK"))</f>
        <v/>
      </c>
      <c r="J48" s="18" t="n">
        <f aca="false">IFERROR(C48*G48,"")</f>
        <v>0</v>
      </c>
      <c r="K48" s="16"/>
    </row>
    <row r="49" customFormat="false" ht="15" hidden="false" customHeight="false" outlineLevel="0" collapsed="false">
      <c r="A49" s="16"/>
      <c r="B49" s="16"/>
      <c r="C49" s="17"/>
      <c r="D49" s="17"/>
      <c r="E49" s="18" t="n">
        <f aca="false">IFERROR(D49-C49,"")</f>
        <v>0</v>
      </c>
      <c r="F49" s="20" t="str">
        <f aca="false">IFERROR(E49/D49,"")</f>
        <v/>
      </c>
      <c r="G49" s="16"/>
      <c r="H49" s="16"/>
      <c r="I49" s="21" t="str">
        <f aca="false">IF(G49="","",IF(G49&lt;=H49,"Reorder","OK"))</f>
        <v/>
      </c>
      <c r="J49" s="18" t="n">
        <f aca="false">IFERROR(C49*G49,"")</f>
        <v>0</v>
      </c>
      <c r="K49" s="16"/>
    </row>
    <row r="50" customFormat="false" ht="15" hidden="false" customHeight="false" outlineLevel="0" collapsed="false">
      <c r="A50" s="16"/>
      <c r="B50" s="16"/>
      <c r="C50" s="17"/>
      <c r="D50" s="17"/>
      <c r="E50" s="18" t="n">
        <f aca="false">IFERROR(D50-C50,"")</f>
        <v>0</v>
      </c>
      <c r="F50" s="20" t="str">
        <f aca="false">IFERROR(E50/D50,"")</f>
        <v/>
      </c>
      <c r="G50" s="16"/>
      <c r="H50" s="16"/>
      <c r="I50" s="21" t="str">
        <f aca="false">IF(G50="","",IF(G50&lt;=H50,"Reorder","OK"))</f>
        <v/>
      </c>
      <c r="J50" s="18" t="n">
        <f aca="false">IFERROR(C50*G50,"")</f>
        <v>0</v>
      </c>
      <c r="K50" s="16"/>
    </row>
    <row r="51" customFormat="false" ht="15" hidden="false" customHeight="false" outlineLevel="0" collapsed="false">
      <c r="A51" s="16"/>
      <c r="B51" s="16"/>
      <c r="C51" s="17"/>
      <c r="D51" s="17"/>
      <c r="E51" s="18" t="n">
        <f aca="false">IFERROR(D51-C51,"")</f>
        <v>0</v>
      </c>
      <c r="F51" s="20" t="str">
        <f aca="false">IFERROR(E51/D51,"")</f>
        <v/>
      </c>
      <c r="G51" s="16"/>
      <c r="H51" s="16"/>
      <c r="I51" s="21" t="str">
        <f aca="false">IF(G51="","",IF(G51&lt;=H51,"Reorder","OK"))</f>
        <v/>
      </c>
      <c r="J51" s="18" t="n">
        <f aca="false">IFERROR(C51*G51,"")</f>
        <v>0</v>
      </c>
      <c r="K51" s="16"/>
    </row>
    <row r="52" customFormat="false" ht="15" hidden="false" customHeight="false" outlineLevel="0" collapsed="false">
      <c r="A52" s="16"/>
      <c r="B52" s="16"/>
      <c r="C52" s="17"/>
      <c r="D52" s="17"/>
      <c r="E52" s="18" t="n">
        <f aca="false">IFERROR(D52-C52,"")</f>
        <v>0</v>
      </c>
      <c r="F52" s="20" t="str">
        <f aca="false">IFERROR(E52/D52,"")</f>
        <v/>
      </c>
      <c r="G52" s="16"/>
      <c r="H52" s="16"/>
      <c r="I52" s="21" t="str">
        <f aca="false">IF(G52="","",IF(G52&lt;=H52,"Reorder","OK"))</f>
        <v/>
      </c>
      <c r="J52" s="18" t="n">
        <f aca="false">IFERROR(C52*G52,"")</f>
        <v>0</v>
      </c>
      <c r="K52" s="16"/>
    </row>
    <row r="53" customFormat="false" ht="15" hidden="false" customHeight="false" outlineLevel="0" collapsed="false">
      <c r="A53" s="16"/>
      <c r="B53" s="16"/>
      <c r="C53" s="17"/>
      <c r="D53" s="17"/>
      <c r="E53" s="18" t="n">
        <f aca="false">IFERROR(D53-C53,"")</f>
        <v>0</v>
      </c>
      <c r="F53" s="20" t="str">
        <f aca="false">IFERROR(E53/D53,"")</f>
        <v/>
      </c>
      <c r="G53" s="16"/>
      <c r="H53" s="16"/>
      <c r="I53" s="21" t="str">
        <f aca="false">IF(G53="","",IF(G53&lt;=H53,"Reorder","OK"))</f>
        <v/>
      </c>
      <c r="J53" s="18" t="n">
        <f aca="false">IFERROR(C53*G53,"")</f>
        <v>0</v>
      </c>
      <c r="K53" s="16"/>
    </row>
    <row r="54" customFormat="false" ht="15" hidden="false" customHeight="false" outlineLevel="0" collapsed="false">
      <c r="A54" s="16"/>
      <c r="B54" s="16"/>
      <c r="C54" s="17"/>
      <c r="D54" s="17"/>
      <c r="E54" s="18" t="n">
        <f aca="false">IFERROR(D54-C54,"")</f>
        <v>0</v>
      </c>
      <c r="F54" s="20" t="str">
        <f aca="false">IFERROR(E54/D54,"")</f>
        <v/>
      </c>
      <c r="G54" s="16"/>
      <c r="H54" s="16"/>
      <c r="I54" s="21" t="str">
        <f aca="false">IF(G54="","",IF(G54&lt;=H54,"Reorder","OK"))</f>
        <v/>
      </c>
      <c r="J54" s="18" t="n">
        <f aca="false">IFERROR(C54*G54,"")</f>
        <v>0</v>
      </c>
      <c r="K54" s="16"/>
    </row>
    <row r="55" customFormat="false" ht="15" hidden="false" customHeight="false" outlineLevel="0" collapsed="false">
      <c r="A55" s="16"/>
      <c r="B55" s="16"/>
      <c r="C55" s="17"/>
      <c r="D55" s="17"/>
      <c r="E55" s="18" t="n">
        <f aca="false">IFERROR(D55-C55,"")</f>
        <v>0</v>
      </c>
      <c r="F55" s="20" t="str">
        <f aca="false">IFERROR(E55/D55,"")</f>
        <v/>
      </c>
      <c r="G55" s="16"/>
      <c r="H55" s="16"/>
      <c r="I55" s="21" t="str">
        <f aca="false">IF(G55="","",IF(G55&lt;=H55,"Reorder","OK"))</f>
        <v/>
      </c>
      <c r="J55" s="18" t="n">
        <f aca="false">IFERROR(C55*G55,"")</f>
        <v>0</v>
      </c>
      <c r="K55" s="16"/>
    </row>
    <row r="56" customFormat="false" ht="15" hidden="false" customHeight="false" outlineLevel="0" collapsed="false">
      <c r="A56" s="16"/>
      <c r="B56" s="16"/>
      <c r="C56" s="17"/>
      <c r="D56" s="17"/>
      <c r="E56" s="18" t="n">
        <f aca="false">IFERROR(D56-C56,"")</f>
        <v>0</v>
      </c>
      <c r="F56" s="20" t="str">
        <f aca="false">IFERROR(E56/D56,"")</f>
        <v/>
      </c>
      <c r="G56" s="16"/>
      <c r="H56" s="16"/>
      <c r="I56" s="21" t="str">
        <f aca="false">IF(G56="","",IF(G56&lt;=H56,"Reorder","OK"))</f>
        <v/>
      </c>
      <c r="J56" s="18" t="n">
        <f aca="false">IFERROR(C56*G56,"")</f>
        <v>0</v>
      </c>
      <c r="K56" s="16"/>
    </row>
    <row r="57" customFormat="false" ht="15" hidden="false" customHeight="false" outlineLevel="0" collapsed="false">
      <c r="A57" s="16"/>
      <c r="B57" s="16"/>
      <c r="C57" s="17"/>
      <c r="D57" s="17"/>
      <c r="E57" s="18" t="n">
        <f aca="false">IFERROR(D57-C57,"")</f>
        <v>0</v>
      </c>
      <c r="F57" s="20" t="str">
        <f aca="false">IFERROR(E57/D57,"")</f>
        <v/>
      </c>
      <c r="G57" s="16"/>
      <c r="H57" s="16"/>
      <c r="I57" s="21" t="str">
        <f aca="false">IF(G57="","",IF(G57&lt;=H57,"Reorder","OK"))</f>
        <v/>
      </c>
      <c r="J57" s="18" t="n">
        <f aca="false">IFERROR(C57*G57,"")</f>
        <v>0</v>
      </c>
      <c r="K57" s="16"/>
    </row>
    <row r="58" customFormat="false" ht="15" hidden="false" customHeight="false" outlineLevel="0" collapsed="false">
      <c r="A58" s="16"/>
      <c r="B58" s="16"/>
      <c r="C58" s="17"/>
      <c r="D58" s="17"/>
      <c r="E58" s="18" t="n">
        <f aca="false">IFERROR(D58-C58,"")</f>
        <v>0</v>
      </c>
      <c r="F58" s="20" t="str">
        <f aca="false">IFERROR(E58/D58,"")</f>
        <v/>
      </c>
      <c r="G58" s="16"/>
      <c r="H58" s="16"/>
      <c r="I58" s="21" t="str">
        <f aca="false">IF(G58="","",IF(G58&lt;=H58,"Reorder","OK"))</f>
        <v/>
      </c>
      <c r="J58" s="18" t="n">
        <f aca="false">IFERROR(C58*G58,"")</f>
        <v>0</v>
      </c>
      <c r="K58" s="16"/>
    </row>
    <row r="59" customFormat="false" ht="15" hidden="false" customHeight="false" outlineLevel="0" collapsed="false">
      <c r="A59" s="16"/>
      <c r="B59" s="16"/>
      <c r="C59" s="17"/>
      <c r="D59" s="17"/>
      <c r="E59" s="18" t="n">
        <f aca="false">IFERROR(D59-C59,"")</f>
        <v>0</v>
      </c>
      <c r="F59" s="20" t="str">
        <f aca="false">IFERROR(E59/D59,"")</f>
        <v/>
      </c>
      <c r="G59" s="16"/>
      <c r="H59" s="16"/>
      <c r="I59" s="21" t="str">
        <f aca="false">IF(G59="","",IF(G59&lt;=H59,"Reorder","OK"))</f>
        <v/>
      </c>
      <c r="J59" s="18" t="n">
        <f aca="false">IFERROR(C59*G59,"")</f>
        <v>0</v>
      </c>
      <c r="K59" s="16"/>
    </row>
    <row r="60" customFormat="false" ht="15" hidden="false" customHeight="false" outlineLevel="0" collapsed="false">
      <c r="A60" s="16"/>
      <c r="B60" s="16"/>
      <c r="C60" s="17"/>
      <c r="D60" s="17"/>
      <c r="E60" s="18" t="n">
        <f aca="false">IFERROR(D60-C60,"")</f>
        <v>0</v>
      </c>
      <c r="F60" s="20" t="str">
        <f aca="false">IFERROR(E60/D60,"")</f>
        <v/>
      </c>
      <c r="G60" s="16"/>
      <c r="H60" s="16"/>
      <c r="I60" s="21" t="str">
        <f aca="false">IF(G60="","",IF(G60&lt;=H60,"Reorder","OK"))</f>
        <v/>
      </c>
      <c r="J60" s="18" t="n">
        <f aca="false">IFERROR(C60*G60,"")</f>
        <v>0</v>
      </c>
      <c r="K60" s="16"/>
    </row>
    <row r="61" customFormat="false" ht="15" hidden="false" customHeight="false" outlineLevel="0" collapsed="false">
      <c r="A61" s="16"/>
      <c r="B61" s="16"/>
      <c r="C61" s="17"/>
      <c r="D61" s="17"/>
      <c r="E61" s="18" t="n">
        <f aca="false">IFERROR(D61-C61,"")</f>
        <v>0</v>
      </c>
      <c r="F61" s="20" t="str">
        <f aca="false">IFERROR(E61/D61,"")</f>
        <v/>
      </c>
      <c r="G61" s="16"/>
      <c r="H61" s="16"/>
      <c r="I61" s="21" t="str">
        <f aca="false">IF(G61="","",IF(G61&lt;=H61,"Reorder","OK"))</f>
        <v/>
      </c>
      <c r="J61" s="18" t="n">
        <f aca="false">IFERROR(C61*G61,"")</f>
        <v>0</v>
      </c>
      <c r="K61" s="16"/>
    </row>
    <row r="62" customFormat="false" ht="15" hidden="false" customHeight="false" outlineLevel="0" collapsed="false">
      <c r="A62" s="16"/>
      <c r="B62" s="16"/>
      <c r="C62" s="17"/>
      <c r="D62" s="17"/>
      <c r="E62" s="18" t="n">
        <f aca="false">IFERROR(D62-C62,"")</f>
        <v>0</v>
      </c>
      <c r="F62" s="20" t="str">
        <f aca="false">IFERROR(E62/D62,"")</f>
        <v/>
      </c>
      <c r="G62" s="16"/>
      <c r="H62" s="16"/>
      <c r="I62" s="21" t="str">
        <f aca="false">IF(G62="","",IF(G62&lt;=H62,"Reorder","OK"))</f>
        <v/>
      </c>
      <c r="J62" s="18" t="n">
        <f aca="false">IFERROR(C62*G62,"")</f>
        <v>0</v>
      </c>
      <c r="K62" s="16"/>
    </row>
    <row r="63" customFormat="false" ht="15" hidden="false" customHeight="false" outlineLevel="0" collapsed="false">
      <c r="A63" s="16"/>
      <c r="B63" s="16"/>
      <c r="C63" s="17"/>
      <c r="D63" s="17"/>
      <c r="E63" s="18" t="n">
        <f aca="false">IFERROR(D63-C63,"")</f>
        <v>0</v>
      </c>
      <c r="F63" s="20" t="str">
        <f aca="false">IFERROR(E63/D63,"")</f>
        <v/>
      </c>
      <c r="G63" s="16"/>
      <c r="H63" s="16"/>
      <c r="I63" s="21" t="str">
        <f aca="false">IF(G63="","",IF(G63&lt;=H63,"Reorder","OK"))</f>
        <v/>
      </c>
      <c r="J63" s="18" t="n">
        <f aca="false">IFERROR(C63*G63,"")</f>
        <v>0</v>
      </c>
      <c r="K63" s="16"/>
    </row>
    <row r="64" customFormat="false" ht="15" hidden="false" customHeight="false" outlineLevel="0" collapsed="false">
      <c r="A64" s="16"/>
      <c r="B64" s="16"/>
      <c r="C64" s="17"/>
      <c r="D64" s="17"/>
      <c r="E64" s="18" t="n">
        <f aca="false">IFERROR(D64-C64,"")</f>
        <v>0</v>
      </c>
      <c r="F64" s="20" t="str">
        <f aca="false">IFERROR(E64/D64,"")</f>
        <v/>
      </c>
      <c r="G64" s="16"/>
      <c r="H64" s="16"/>
      <c r="I64" s="21" t="str">
        <f aca="false">IF(G64="","",IF(G64&lt;=H64,"Reorder","OK"))</f>
        <v/>
      </c>
      <c r="J64" s="18" t="n">
        <f aca="false">IFERROR(C64*G64,"")</f>
        <v>0</v>
      </c>
      <c r="K64" s="16"/>
    </row>
    <row r="65" customFormat="false" ht="15" hidden="false" customHeight="false" outlineLevel="0" collapsed="false">
      <c r="A65" s="16"/>
      <c r="B65" s="16"/>
      <c r="C65" s="17"/>
      <c r="D65" s="17"/>
      <c r="E65" s="18" t="n">
        <f aca="false">IFERROR(D65-C65,"")</f>
        <v>0</v>
      </c>
      <c r="F65" s="20" t="str">
        <f aca="false">IFERROR(E65/D65,"")</f>
        <v/>
      </c>
      <c r="G65" s="16"/>
      <c r="H65" s="16"/>
      <c r="I65" s="21" t="str">
        <f aca="false">IF(G65="","",IF(G65&lt;=H65,"Reorder","OK"))</f>
        <v/>
      </c>
      <c r="J65" s="18" t="n">
        <f aca="false">IFERROR(C65*G65,"")</f>
        <v>0</v>
      </c>
      <c r="K65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6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8" t="s">
        <v>47</v>
      </c>
    </row>
    <row r="2" customFormat="false" ht="15" hidden="false" customHeight="false" outlineLevel="0" collapsed="false">
      <c r="A2" s="9" t="s">
        <v>48</v>
      </c>
    </row>
    <row r="4" customFormat="false" ht="15" hidden="false" customHeight="false" outlineLevel="0" collapsed="false">
      <c r="A4" s="22" t="s">
        <v>49</v>
      </c>
      <c r="B4" s="23" t="n">
        <v>2026</v>
      </c>
    </row>
    <row r="6" customFormat="false" ht="27.75" hidden="false" customHeight="true" outlineLevel="0" collapsed="false">
      <c r="A6" s="10" t="s">
        <v>50</v>
      </c>
      <c r="B6" s="10" t="s">
        <v>24</v>
      </c>
      <c r="C6" s="10" t="s">
        <v>51</v>
      </c>
      <c r="D6" s="10" t="s">
        <v>25</v>
      </c>
      <c r="E6" s="10" t="s">
        <v>52</v>
      </c>
    </row>
    <row r="7" customFormat="false" ht="15" hidden="false" customHeight="false" outlineLevel="0" collapsed="false">
      <c r="A7" s="24" t="str">
        <f aca="false">TEXT(DATE(2000,1,1),"mmmm")</f>
        <v>January</v>
      </c>
      <c r="B7" s="18" t="n">
        <f aca="false">SUMIFS('Daily Takings'!$H$6:$H$65,'Daily Takings'!$A$6:$A$65,"&gt;="&amp;DATE($B$4,1,1),'Daily Takings'!$A$6:$A$65,"&lt;"&amp;DATE($B$4,1+1,1))</f>
        <v>0</v>
      </c>
      <c r="C7" s="18" t="n">
        <f aca="false">SUMIFS('Daily Takings'!$G$6:$G$65,'Daily Takings'!$A$6:$A$65,"&gt;="&amp;DATE($B$4,1,1),'Daily Takings'!$A$6:$A$65,"&lt;"&amp;DATE($B$4,1+1,1))</f>
        <v>0</v>
      </c>
      <c r="D7" s="18" t="n">
        <f aca="false">B7-C7</f>
        <v>0</v>
      </c>
      <c r="E7" s="21" t="n">
        <f aca="false">COUNTIFS('Daily Takings'!$A$6:$A$65,"&gt;="&amp;DATE($B$4,1,1),'Daily Takings'!$A$6:$A$65,"&lt;"&amp;DATE($B$4,1+1,1))</f>
        <v>0</v>
      </c>
    </row>
    <row r="8" customFormat="false" ht="15" hidden="false" customHeight="false" outlineLevel="0" collapsed="false">
      <c r="A8" s="24" t="str">
        <f aca="false">TEXT(DATE(2000,2,1),"mmmm")</f>
        <v>February</v>
      </c>
      <c r="B8" s="18" t="n">
        <f aca="false">SUMIFS('Daily Takings'!$H$6:$H$65,'Daily Takings'!$A$6:$A$65,"&gt;="&amp;DATE($B$4,2,1),'Daily Takings'!$A$6:$A$65,"&lt;"&amp;DATE($B$4,2+1,1))</f>
        <v>0</v>
      </c>
      <c r="C8" s="18" t="n">
        <f aca="false">SUMIFS('Daily Takings'!$G$6:$G$65,'Daily Takings'!$A$6:$A$65,"&gt;="&amp;DATE($B$4,2,1),'Daily Takings'!$A$6:$A$65,"&lt;"&amp;DATE($B$4,2+1,1))</f>
        <v>0</v>
      </c>
      <c r="D8" s="18" t="n">
        <f aca="false">B8-C8</f>
        <v>0</v>
      </c>
      <c r="E8" s="21" t="n">
        <f aca="false">COUNTIFS('Daily Takings'!$A$6:$A$65,"&gt;="&amp;DATE($B$4,2,1),'Daily Takings'!$A$6:$A$65,"&lt;"&amp;DATE($B$4,2+1,1))</f>
        <v>0</v>
      </c>
    </row>
    <row r="9" customFormat="false" ht="15" hidden="false" customHeight="false" outlineLevel="0" collapsed="false">
      <c r="A9" s="24" t="str">
        <f aca="false">TEXT(DATE(2000,3,1),"mmmm")</f>
        <v>March</v>
      </c>
      <c r="B9" s="18" t="n">
        <f aca="false">SUMIFS('Daily Takings'!$H$6:$H$65,'Daily Takings'!$A$6:$A$65,"&gt;="&amp;DATE($B$4,3,1),'Daily Takings'!$A$6:$A$65,"&lt;"&amp;DATE($B$4,3+1,1))</f>
        <v>0</v>
      </c>
      <c r="C9" s="18" t="n">
        <f aca="false">SUMIFS('Daily Takings'!$G$6:$G$65,'Daily Takings'!$A$6:$A$65,"&gt;="&amp;DATE($B$4,3,1),'Daily Takings'!$A$6:$A$65,"&lt;"&amp;DATE($B$4,3+1,1))</f>
        <v>0</v>
      </c>
      <c r="D9" s="18" t="n">
        <f aca="false">B9-C9</f>
        <v>0</v>
      </c>
      <c r="E9" s="21" t="n">
        <f aca="false">COUNTIFS('Daily Takings'!$A$6:$A$65,"&gt;="&amp;DATE($B$4,3,1),'Daily Takings'!$A$6:$A$65,"&lt;"&amp;DATE($B$4,3+1,1))</f>
        <v>0</v>
      </c>
    </row>
    <row r="10" customFormat="false" ht="15" hidden="false" customHeight="false" outlineLevel="0" collapsed="false">
      <c r="A10" s="24" t="str">
        <f aca="false">TEXT(DATE(2000,4,1),"mmmm")</f>
        <v>April</v>
      </c>
      <c r="B10" s="18" t="n">
        <f aca="false">SUMIFS('Daily Takings'!$H$6:$H$65,'Daily Takings'!$A$6:$A$65,"&gt;="&amp;DATE($B$4,4,1),'Daily Takings'!$A$6:$A$65,"&lt;"&amp;DATE($B$4,4+1,1))</f>
        <v>0</v>
      </c>
      <c r="C10" s="18" t="n">
        <f aca="false">SUMIFS('Daily Takings'!$G$6:$G$65,'Daily Takings'!$A$6:$A$65,"&gt;="&amp;DATE($B$4,4,1),'Daily Takings'!$A$6:$A$65,"&lt;"&amp;DATE($B$4,4+1,1))</f>
        <v>0</v>
      </c>
      <c r="D10" s="18" t="n">
        <f aca="false">B10-C10</f>
        <v>0</v>
      </c>
      <c r="E10" s="21" t="n">
        <f aca="false">COUNTIFS('Daily Takings'!$A$6:$A$65,"&gt;="&amp;DATE($B$4,4,1),'Daily Takings'!$A$6:$A$65,"&lt;"&amp;DATE($B$4,4+1,1))</f>
        <v>0</v>
      </c>
    </row>
    <row r="11" customFormat="false" ht="15" hidden="false" customHeight="false" outlineLevel="0" collapsed="false">
      <c r="A11" s="24" t="str">
        <f aca="false">TEXT(DATE(2000,5,1),"mmmm")</f>
        <v>May</v>
      </c>
      <c r="B11" s="18" t="n">
        <f aca="false">SUMIFS('Daily Takings'!$H$6:$H$65,'Daily Takings'!$A$6:$A$65,"&gt;="&amp;DATE($B$4,5,1),'Daily Takings'!$A$6:$A$65,"&lt;"&amp;DATE($B$4,5+1,1))</f>
        <v>0</v>
      </c>
      <c r="C11" s="18" t="n">
        <f aca="false">SUMIFS('Daily Takings'!$G$6:$G$65,'Daily Takings'!$A$6:$A$65,"&gt;="&amp;DATE($B$4,5,1),'Daily Takings'!$A$6:$A$65,"&lt;"&amp;DATE($B$4,5+1,1))</f>
        <v>0</v>
      </c>
      <c r="D11" s="18" t="n">
        <f aca="false">B11-C11</f>
        <v>0</v>
      </c>
      <c r="E11" s="21" t="n">
        <f aca="false">COUNTIFS('Daily Takings'!$A$6:$A$65,"&gt;="&amp;DATE($B$4,5,1),'Daily Takings'!$A$6:$A$65,"&lt;"&amp;DATE($B$4,5+1,1))</f>
        <v>0</v>
      </c>
    </row>
    <row r="12" customFormat="false" ht="15" hidden="false" customHeight="false" outlineLevel="0" collapsed="false">
      <c r="A12" s="24" t="str">
        <f aca="false">TEXT(DATE(2000,6,1),"mmmm")</f>
        <v>June</v>
      </c>
      <c r="B12" s="18" t="n">
        <f aca="false">SUMIFS('Daily Takings'!$H$6:$H$65,'Daily Takings'!$A$6:$A$65,"&gt;="&amp;DATE($B$4,6,1),'Daily Takings'!$A$6:$A$65,"&lt;"&amp;DATE($B$4,6+1,1))</f>
        <v>0</v>
      </c>
      <c r="C12" s="18" t="n">
        <f aca="false">SUMIFS('Daily Takings'!$G$6:$G$65,'Daily Takings'!$A$6:$A$65,"&gt;="&amp;DATE($B$4,6,1),'Daily Takings'!$A$6:$A$65,"&lt;"&amp;DATE($B$4,6+1,1))</f>
        <v>0</v>
      </c>
      <c r="D12" s="18" t="n">
        <f aca="false">B12-C12</f>
        <v>0</v>
      </c>
      <c r="E12" s="21" t="n">
        <f aca="false">COUNTIFS('Daily Takings'!$A$6:$A$65,"&gt;="&amp;DATE($B$4,6,1),'Daily Takings'!$A$6:$A$65,"&lt;"&amp;DATE($B$4,6+1,1))</f>
        <v>0</v>
      </c>
    </row>
    <row r="13" customFormat="false" ht="15" hidden="false" customHeight="false" outlineLevel="0" collapsed="false">
      <c r="A13" s="24" t="str">
        <f aca="false">TEXT(DATE(2000,7,1),"mmmm")</f>
        <v>July</v>
      </c>
      <c r="B13" s="18" t="n">
        <f aca="false">SUMIFS('Daily Takings'!$H$6:$H$65,'Daily Takings'!$A$6:$A$65,"&gt;="&amp;DATE($B$4,7,1),'Daily Takings'!$A$6:$A$65,"&lt;"&amp;DATE($B$4,7+1,1))</f>
        <v>0</v>
      </c>
      <c r="C13" s="18" t="n">
        <f aca="false">SUMIFS('Daily Takings'!$G$6:$G$65,'Daily Takings'!$A$6:$A$65,"&gt;="&amp;DATE($B$4,7,1),'Daily Takings'!$A$6:$A$65,"&lt;"&amp;DATE($B$4,7+1,1))</f>
        <v>0</v>
      </c>
      <c r="D13" s="18" t="n">
        <f aca="false">B13-C13</f>
        <v>0</v>
      </c>
      <c r="E13" s="21" t="n">
        <f aca="false">COUNTIFS('Daily Takings'!$A$6:$A$65,"&gt;="&amp;DATE($B$4,7,1),'Daily Takings'!$A$6:$A$65,"&lt;"&amp;DATE($B$4,7+1,1))</f>
        <v>0</v>
      </c>
    </row>
    <row r="14" customFormat="false" ht="15" hidden="false" customHeight="false" outlineLevel="0" collapsed="false">
      <c r="A14" s="24" t="str">
        <f aca="false">TEXT(DATE(2000,8,1),"mmmm")</f>
        <v>August</v>
      </c>
      <c r="B14" s="18" t="n">
        <f aca="false">SUMIFS('Daily Takings'!$H$6:$H$65,'Daily Takings'!$A$6:$A$65,"&gt;="&amp;DATE($B$4,8,1),'Daily Takings'!$A$6:$A$65,"&lt;"&amp;DATE($B$4,8+1,1))</f>
        <v>0</v>
      </c>
      <c r="C14" s="18" t="n">
        <f aca="false">SUMIFS('Daily Takings'!$G$6:$G$65,'Daily Takings'!$A$6:$A$65,"&gt;="&amp;DATE($B$4,8,1),'Daily Takings'!$A$6:$A$65,"&lt;"&amp;DATE($B$4,8+1,1))</f>
        <v>0</v>
      </c>
      <c r="D14" s="18" t="n">
        <f aca="false">B14-C14</f>
        <v>0</v>
      </c>
      <c r="E14" s="21" t="n">
        <f aca="false">COUNTIFS('Daily Takings'!$A$6:$A$65,"&gt;="&amp;DATE($B$4,8,1),'Daily Takings'!$A$6:$A$65,"&lt;"&amp;DATE($B$4,8+1,1))</f>
        <v>0</v>
      </c>
    </row>
    <row r="15" customFormat="false" ht="15" hidden="false" customHeight="false" outlineLevel="0" collapsed="false">
      <c r="A15" s="24" t="str">
        <f aca="false">TEXT(DATE(2000,9,1),"mmmm")</f>
        <v>September</v>
      </c>
      <c r="B15" s="18" t="n">
        <f aca="false">SUMIFS('Daily Takings'!$H$6:$H$65,'Daily Takings'!$A$6:$A$65,"&gt;="&amp;DATE($B$4,9,1),'Daily Takings'!$A$6:$A$65,"&lt;"&amp;DATE($B$4,9+1,1))</f>
        <v>0</v>
      </c>
      <c r="C15" s="18" t="n">
        <f aca="false">SUMIFS('Daily Takings'!$G$6:$G$65,'Daily Takings'!$A$6:$A$65,"&gt;="&amp;DATE($B$4,9,1),'Daily Takings'!$A$6:$A$65,"&lt;"&amp;DATE($B$4,9+1,1))</f>
        <v>0</v>
      </c>
      <c r="D15" s="18" t="n">
        <f aca="false">B15-C15</f>
        <v>0</v>
      </c>
      <c r="E15" s="21" t="n">
        <f aca="false">COUNTIFS('Daily Takings'!$A$6:$A$65,"&gt;="&amp;DATE($B$4,9,1),'Daily Takings'!$A$6:$A$65,"&lt;"&amp;DATE($B$4,9+1,1))</f>
        <v>0</v>
      </c>
    </row>
    <row r="16" customFormat="false" ht="15" hidden="false" customHeight="false" outlineLevel="0" collapsed="false">
      <c r="A16" s="24" t="str">
        <f aca="false">TEXT(DATE(2000,10,1),"mmmm")</f>
        <v>October</v>
      </c>
      <c r="B16" s="18" t="n">
        <f aca="false">SUMIFS('Daily Takings'!$H$6:$H$65,'Daily Takings'!$A$6:$A$65,"&gt;="&amp;DATE($B$4,10,1),'Daily Takings'!$A$6:$A$65,"&lt;"&amp;DATE($B$4,10+1,1))</f>
        <v>0</v>
      </c>
      <c r="C16" s="18" t="n">
        <f aca="false">SUMIFS('Daily Takings'!$G$6:$G$65,'Daily Takings'!$A$6:$A$65,"&gt;="&amp;DATE($B$4,10,1),'Daily Takings'!$A$6:$A$65,"&lt;"&amp;DATE($B$4,10+1,1))</f>
        <v>0</v>
      </c>
      <c r="D16" s="18" t="n">
        <f aca="false">B16-C16</f>
        <v>0</v>
      </c>
      <c r="E16" s="21" t="n">
        <f aca="false">COUNTIFS('Daily Takings'!$A$6:$A$65,"&gt;="&amp;DATE($B$4,10,1),'Daily Takings'!$A$6:$A$65,"&lt;"&amp;DATE($B$4,10+1,1))</f>
        <v>0</v>
      </c>
    </row>
    <row r="17" customFormat="false" ht="15" hidden="false" customHeight="false" outlineLevel="0" collapsed="false">
      <c r="A17" s="24" t="str">
        <f aca="false">TEXT(DATE(2000,11,1),"mmmm")</f>
        <v>November</v>
      </c>
      <c r="B17" s="18" t="n">
        <f aca="false">SUMIFS('Daily Takings'!$H$6:$H$65,'Daily Takings'!$A$6:$A$65,"&gt;="&amp;DATE($B$4,11,1),'Daily Takings'!$A$6:$A$65,"&lt;"&amp;DATE($B$4,11+1,1))</f>
        <v>0</v>
      </c>
      <c r="C17" s="18" t="n">
        <f aca="false">SUMIFS('Daily Takings'!$G$6:$G$65,'Daily Takings'!$A$6:$A$65,"&gt;="&amp;DATE($B$4,11,1),'Daily Takings'!$A$6:$A$65,"&lt;"&amp;DATE($B$4,11+1,1))</f>
        <v>0</v>
      </c>
      <c r="D17" s="18" t="n">
        <f aca="false">B17-C17</f>
        <v>0</v>
      </c>
      <c r="E17" s="21" t="n">
        <f aca="false">COUNTIFS('Daily Takings'!$A$6:$A$65,"&gt;="&amp;DATE($B$4,11,1),'Daily Takings'!$A$6:$A$65,"&lt;"&amp;DATE($B$4,11+1,1))</f>
        <v>0</v>
      </c>
    </row>
    <row r="18" customFormat="false" ht="15" hidden="false" customHeight="false" outlineLevel="0" collapsed="false">
      <c r="A18" s="24" t="str">
        <f aca="false">TEXT(DATE(2000,12,1),"mmmm")</f>
        <v>December</v>
      </c>
      <c r="B18" s="18" t="n">
        <f aca="false">SUMIFS('Daily Takings'!$H$6:$H$65,'Daily Takings'!$A$6:$A$65,"&gt;="&amp;DATE($B$4,12,1),'Daily Takings'!$A$6:$A$65,"&lt;"&amp;DATE($B$4,12+1,1))</f>
        <v>0</v>
      </c>
      <c r="C18" s="18" t="n">
        <f aca="false">SUMIFS('Daily Takings'!$G$6:$G$65,'Daily Takings'!$A$6:$A$65,"&gt;="&amp;DATE($B$4,12,1),'Daily Takings'!$A$6:$A$65,"&lt;"&amp;DATE($B$4,12+1,1))</f>
        <v>0</v>
      </c>
      <c r="D18" s="18" t="n">
        <f aca="false">B18-C18</f>
        <v>0</v>
      </c>
      <c r="E18" s="21" t="n">
        <f aca="false">COUNTIFS('Daily Takings'!$A$6:$A$65,"&gt;="&amp;DATE($B$4,12,1),'Daily Takings'!$A$6:$A$65,"&lt;"&amp;DATE($B$4,12+1,1))</f>
        <v>0</v>
      </c>
    </row>
    <row r="19" customFormat="false" ht="15" hidden="false" customHeight="false" outlineLevel="0" collapsed="false">
      <c r="A19" s="22" t="s">
        <v>53</v>
      </c>
      <c r="B19" s="25" t="n">
        <f aca="false">SUM(B7:B18)</f>
        <v>0</v>
      </c>
      <c r="C19" s="25" t="n">
        <f aca="false">SUM(C7:C18)</f>
        <v>0</v>
      </c>
      <c r="D19" s="25" t="n">
        <f aca="false">SUM(D7:D18)</f>
        <v>0</v>
      </c>
      <c r="E19" s="26" t="n">
        <f aca="false">SUM(E7:E18)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2026-08-05T10:14:18Z</dcterms:created>
  <dc:creator>openpyxl</dc:creator>
  <dc:description/>
  <dc:language>en-US</dc:language>
  <cp:lastModifiedBy/>
  <dcterms:modified xsi:type="dcterms:W3CDTF">2026-08-05T10:14:18Z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