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4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Wk1" sheetId="3" state="visible" r:id="rId5"/>
    <sheet name="Wk2" sheetId="4" state="visible" r:id="rId6"/>
    <sheet name="Wk3" sheetId="5" state="visible" r:id="rId7"/>
    <sheet name="Wk4" sheetId="6" state="visible" r:id="rId8"/>
    <sheet name="Wk5" sheetId="7" state="visible" r:id="rId9"/>
    <sheet name="Wk6" sheetId="8" state="visible" r:id="rId10"/>
    <sheet name="Wk7" sheetId="9" state="visible" r:id="rId11"/>
    <sheet name="Wk8" sheetId="10" state="visible" r:id="rId12"/>
    <sheet name="Wk9" sheetId="11" state="visible" r:id="rId13"/>
    <sheet name="Wk10" sheetId="12" state="visible" r:id="rId14"/>
    <sheet name="Wk11" sheetId="13" state="visible" r:id="rId15"/>
    <sheet name="Wk12" sheetId="14" state="visible" r:id="rId16"/>
    <sheet name="Wk13" sheetId="15" state="visible" r:id="rId17"/>
    <sheet name="Wk14" sheetId="16" state="visible" r:id="rId18"/>
    <sheet name="Wk15" sheetId="17" state="visible" r:id="rId19"/>
    <sheet name="Wk16" sheetId="18" state="visible" r:id="rId20"/>
    <sheet name="Wk17" sheetId="19" state="visible" r:id="rId21"/>
    <sheet name="Wk18" sheetId="20" state="visible" r:id="rId22"/>
    <sheet name="Wk19" sheetId="21" state="visible" r:id="rId23"/>
    <sheet name="Wk20" sheetId="22" state="visible" r:id="rId24"/>
    <sheet name="Wk21" sheetId="23" state="visible" r:id="rId25"/>
    <sheet name="Wk22" sheetId="24" state="visible" r:id="rId26"/>
    <sheet name="Wk23" sheetId="25" state="visible" r:id="rId27"/>
    <sheet name="Wk24" sheetId="26" state="visible" r:id="rId28"/>
    <sheet name="Wk25" sheetId="27" state="visible" r:id="rId29"/>
    <sheet name="Wk26" sheetId="28" state="visible" r:id="rId30"/>
    <sheet name="Wk27" sheetId="29" state="visible" r:id="rId31"/>
    <sheet name="Wk28" sheetId="30" state="visible" r:id="rId32"/>
    <sheet name="Wk29" sheetId="31" state="visible" r:id="rId33"/>
    <sheet name="Wk30" sheetId="32" state="visible" r:id="rId34"/>
    <sheet name="Wk31" sheetId="33" state="visible" r:id="rId35"/>
    <sheet name="Wk32" sheetId="34" state="visible" r:id="rId36"/>
    <sheet name="Wk33" sheetId="35" state="visible" r:id="rId37"/>
    <sheet name="Wk34" sheetId="36" state="visible" r:id="rId38"/>
    <sheet name="Wk35" sheetId="37" state="visible" r:id="rId39"/>
    <sheet name="Wk36" sheetId="38" state="visible" r:id="rId40"/>
    <sheet name="Wk37" sheetId="39" state="visible" r:id="rId41"/>
    <sheet name="Wk38" sheetId="40" state="visible" r:id="rId42"/>
    <sheet name="Wk39" sheetId="41" state="visible" r:id="rId43"/>
    <sheet name="Wk40" sheetId="42" state="visible" r:id="rId44"/>
    <sheet name="Wk41" sheetId="43" state="visible" r:id="rId45"/>
    <sheet name="Wk42" sheetId="44" state="visible" r:id="rId46"/>
    <sheet name="Wk43" sheetId="45" state="visible" r:id="rId47"/>
    <sheet name="Wk44" sheetId="46" state="visible" r:id="rId48"/>
    <sheet name="Wk45" sheetId="47" state="visible" r:id="rId49"/>
    <sheet name="Wk46" sheetId="48" state="visible" r:id="rId50"/>
    <sheet name="Wk47" sheetId="49" state="visible" r:id="rId51"/>
    <sheet name="Wk48" sheetId="50" state="visible" r:id="rId52"/>
    <sheet name="Wk49" sheetId="51" state="visible" r:id="rId53"/>
    <sheet name="Wk50" sheetId="52" state="visible" r:id="rId54"/>
    <sheet name="Wk51" sheetId="53" state="visible" r:id="rId55"/>
    <sheet name="Wk52" sheetId="54" state="visible" r:id="rId56"/>
    <sheet name="Daily Report" sheetId="55" state="visible" r:id="rId57"/>
    <sheet name="Weekly Summary" sheetId="56" state="visible" r:id="rId58"/>
    <sheet name="Monthly Summary" sheetId="57" state="visible" r:id="rId59"/>
    <sheet name="P&amp;L" sheetId="58" state="visible" r:id="rId60"/>
    <sheet name="Hourly Averages" sheetId="59" state="visible" r:id="rId61"/>
    <sheet name="Last Year" sheetId="60" state="visible" r:id="rId6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<sst xmlns="http://schemas.openxmlformats.org/spreadsheetml/2006/main" count="10387" uniqueCount="224">
  <si>
    <t xml:space="preserve">The Year-on-Year Sales Workbook</t>
  </si>
  <si>
    <t xml:space="preserve">A blank template from adamreflects.ie — nothing of my shop travels with it.</t>
  </si>
  <si>
    <t xml:space="preserve">What this is</t>
  </si>
  <si>
    <t xml:space="preserve">This is the workbook I keep for my own jewellers, emptied out. It tracks every half hour the shop is open:</t>
  </si>
  <si>
    <t xml:space="preserve">how many people walked in, how many bought, and what they spent. Everything else in here is worked out from</t>
  </si>
  <si>
    <t xml:space="preserve">those three numbers.</t>
  </si>
  <si>
    <t xml:space="preserve">The point of it is comparison. A day's takings on its own tells you almost nothing. The same day against last</t>
  </si>
  <si>
    <t xml:space="preserve">week, and against the same day last year, tells you a lot.</t>
  </si>
  <si>
    <t xml:space="preserve">Do these three things first</t>
  </si>
  <si>
    <t xml:space="preserve">1.  Open the Setup tab and fill in the yellow cells. Start date, your markup, your rent. Two minutes.</t>
  </si>
  <si>
    <t xml:space="preserve">2.  Open the Last Year tab and paste in last year's daily takings, if you have them. If you don't, skip it —</t>
  </si>
  <si>
    <t xml:space="preserve">     everything still works, you just won't get the year-on-year columns until this time next year.</t>
  </si>
  <si>
    <t xml:space="preserve">3.  Go to Wk1 and start filling in the white cells as the day goes.</t>
  </si>
  <si>
    <t xml:space="preserve">What you fill in — and only this</t>
  </si>
  <si>
    <t xml:space="preserve">On each week tab, you only ever type into these columns:</t>
  </si>
  <si>
    <t xml:space="preserve">Customers In      Tick every person who comes through the door in that half hour.</t>
  </si>
  <si>
    <t xml:space="preserve">Sales             How many of them actually bought something.</t>
  </si>
  <si>
    <t xml:space="preserve">Vouchers Used     If you run vouchers. Leave blank if you don't.</t>
  </si>
  <si>
    <t xml:space="preserve">Walk In/Out       People who came in and left inside a minute. Optional, but telling.</t>
  </si>
  <si>
    <t xml:space="preserve">Sale Amount       What was taken in that half hour, in total.</t>
  </si>
  <si>
    <t xml:space="preserve">Tracked Category  Revenue from one category you want to watch separately. I use gold.</t>
  </si>
  <si>
    <t xml:space="preserve">Notes             Anything odd. Weather, a delivery, a match on. You'll thank yourself later.</t>
  </si>
  <si>
    <t xml:space="preserve">Cash              How much of that half hour's takings was cash.</t>
  </si>
  <si>
    <t xml:space="preserve">Every other column works itself out. Don't type in them or you'll break the sums.</t>
  </si>
  <si>
    <t xml:space="preserve">The ONLINE row</t>
  </si>
  <si>
    <t xml:space="preserve">Each day has an ONLINE row at the bottom, above the day's total. Web orders go there, so they count toward the</t>
  </si>
  <si>
    <t xml:space="preserve">day's takings without pretending someone walked into the shop at 3pm.</t>
  </si>
  <si>
    <t xml:space="preserve">The other tabs, in plain English</t>
  </si>
  <si>
    <t xml:space="preserve">Setup             Your numbers. Change these and the whole workbook follows.</t>
  </si>
  <si>
    <t xml:space="preserve">Wk1 – Wk52        One tab per week. This is where the typing happens.</t>
  </si>
  <si>
    <t xml:space="preserve">Daily Report      Every day of the year on one page, against the same day last year.</t>
  </si>
  <si>
    <t xml:space="preserve">Weekly Summary    Every week on one line. The tab I look at most.</t>
  </si>
  <si>
    <t xml:space="preserve">Monthly Summary   Month by month, against last year.</t>
  </si>
  <si>
    <t xml:space="preserve">P&amp;L               Revenue down to profit after tax, month by month.</t>
  </si>
  <si>
    <t xml:space="preserve">Hourly Averages   Which half hours actually earn. Fills itself in as the year goes on.</t>
  </si>
  <si>
    <t xml:space="preserve">Last Year         Where you paste last year's daily totals.</t>
  </si>
  <si>
    <t xml:space="preserve">Two honest warnings</t>
  </si>
  <si>
    <t xml:space="preserve">The first month feels like a chore and tells you nothing. That's normal — the workbook has nothing to compare</t>
  </si>
  <si>
    <t xml:space="preserve">against yet. It starts earning its keep somewhere around week six.</t>
  </si>
  <si>
    <t xml:space="preserve">And the cost figure here is a rough one: revenue divided by your markup. It's not real stock costing and it</t>
  </si>
  <si>
    <t xml:space="preserve">won't match your accountant. It's a decent daily steer, not a set of books.</t>
  </si>
  <si>
    <t xml:space="preserve">If a cell shows a dash</t>
  </si>
  <si>
    <t xml:space="preserve">A dash just means there's nothing there yet. It isn't an error. It'll fill in when you enter data.</t>
  </si>
  <si>
    <t xml:space="preserve">adamreflects.ie · free to use, free to change · built between customers, in a jewellers in Cork</t>
  </si>
  <si>
    <t xml:space="preserve">Setup — fill in the yellow cells</t>
  </si>
  <si>
    <t xml:space="preserve">Everything in the workbook reads from here. Change a number and the whole thing follows.</t>
  </si>
  <si>
    <t xml:space="preserve">YOUR NUMBERS</t>
  </si>
  <si>
    <t xml:space="preserve">Week 1 start date</t>
  </si>
  <si>
    <t xml:space="preserve">The first day of your week 1. Every date in the workbook counts on from this.</t>
  </si>
  <si>
    <t xml:space="preserve">Markup divisor</t>
  </si>
  <si>
    <t xml:space="preserve">Sale price divided by this = rough cost. If you sell at 3x cost, put 3. Mine is 5.2.</t>
  </si>
  <si>
    <t xml:space="preserve">Rent per week (€)</t>
  </si>
  <si>
    <t xml:space="preserve">Leave 0 if you'd rather not track it.</t>
  </si>
  <si>
    <t xml:space="preserve">Rates / service charge per week (€)</t>
  </si>
  <si>
    <t xml:space="preserve">Same again — 0 is fine.</t>
  </si>
  <si>
    <t xml:space="preserve">Packaging &amp; consumables (% of sales)</t>
  </si>
  <si>
    <t xml:space="preserve">Bags, boxes, till roll. 3% is a reasonable guess if you don't know.</t>
  </si>
  <si>
    <t xml:space="preserve">Tax rate (%)</t>
  </si>
  <si>
    <t xml:space="preserve">Only used for the 'after tax' line. A rough steer, not a tax return.</t>
  </si>
  <si>
    <t xml:space="preserve">Last year's week 1 start date</t>
  </si>
  <si>
    <t xml:space="preserve">Defaults to 364 days before your start date, so days of the week line up.</t>
  </si>
  <si>
    <t xml:space="preserve">OPENING HOURS</t>
  </si>
  <si>
    <t xml:space="preserve">The week tabs run 9.00am to 7.00pm in half hours. If you open later or close earlier, just leave those</t>
  </si>
  <si>
    <t xml:space="preserve">rows blank — empty rows add up to nothing and cost you nothing. Don't delete them; the sums use them.</t>
  </si>
  <si>
    <t xml:space="preserve">THE TRACKED CATEGORY</t>
  </si>
  <si>
    <t xml:space="preserve">One column on every week tab is for a category you want to watch on its own. I use gold, because it</t>
  </si>
  <si>
    <t xml:space="preserve">behaves completely differently to silver. Yours might be repairs, or a brand, or anything at all.</t>
  </si>
  <si>
    <t xml:space="preserve">Day</t>
  </si>
  <si>
    <t xml:space="preserve">Date</t>
  </si>
  <si>
    <t xml:space="preserve">Time</t>
  </si>
  <si>
    <t xml:space="preserve">Customers In</t>
  </si>
  <si>
    <t xml:space="preserve">Sales</t>
  </si>
  <si>
    <t xml:space="preserve">Vouchers Used</t>
  </si>
  <si>
    <t xml:space="preserve">Walk In/Out</t>
  </si>
  <si>
    <t xml:space="preserve">Sale Amount</t>
  </si>
  <si>
    <t xml:space="preserve">Conversion</t>
  </si>
  <si>
    <t xml:space="preserve">Avg Sale</t>
  </si>
  <si>
    <t xml:space="preserve">Tracked Category</t>
  </si>
  <si>
    <t xml:space="preserve">Notes</t>
  </si>
  <si>
    <t xml:space="preserve">Cash</t>
  </si>
  <si>
    <t xml:space="preserve">vs Last Wk €</t>
  </si>
  <si>
    <t xml:space="preserve">vs Last Wk Cust</t>
  </si>
  <si>
    <t xml:space="preserve">Est. Cost</t>
  </si>
  <si>
    <t xml:space="preserve">Est. Profit</t>
  </si>
  <si>
    <t xml:space="preserve">Last Year Day</t>
  </si>
  <si>
    <t xml:space="preserve">vs Last Year</t>
  </si>
  <si>
    <t xml:space="preserve">9.00 - 9.30</t>
  </si>
  <si>
    <t xml:space="preserve">9.30 - 10.00</t>
  </si>
  <si>
    <t xml:space="preserve">10.00 - 10.30</t>
  </si>
  <si>
    <t xml:space="preserve">10.30 - 11.00</t>
  </si>
  <si>
    <t xml:space="preserve">11.00 - 11.30</t>
  </si>
  <si>
    <t xml:space="preserve">11.30 - 12.00</t>
  </si>
  <si>
    <t xml:space="preserve">12.00 - 12.30</t>
  </si>
  <si>
    <t xml:space="preserve">12.30 - 13.00</t>
  </si>
  <si>
    <t xml:space="preserve">13.00 - 13.30</t>
  </si>
  <si>
    <t xml:space="preserve">13.30 - 14.00</t>
  </si>
  <si>
    <t xml:space="preserve">14.00 - 14.30</t>
  </si>
  <si>
    <t xml:space="preserve">14.30 - 15.00</t>
  </si>
  <si>
    <t xml:space="preserve">15.00 - 15.30</t>
  </si>
  <si>
    <t xml:space="preserve">15.30 - 16.00</t>
  </si>
  <si>
    <t xml:space="preserve">16.00 - 16.30</t>
  </si>
  <si>
    <t xml:space="preserve">16.30 - 17.00</t>
  </si>
  <si>
    <t xml:space="preserve">17.00 - 17.30</t>
  </si>
  <si>
    <t xml:space="preserve">17.30 - 18.00</t>
  </si>
  <si>
    <t xml:space="preserve">18.00 - 18.30</t>
  </si>
  <si>
    <t xml:space="preserve">18.30 - 19.00</t>
  </si>
  <si>
    <t xml:space="preserve">ONLINE</t>
  </si>
  <si>
    <t xml:space="preserve">TOTAL</t>
  </si>
  <si>
    <t xml:space="preserve">FULL WEEK</t>
  </si>
  <si>
    <t xml:space="preserve">vs last week</t>
  </si>
  <si>
    <t xml:space="preserve">Week profit after rent, rates &amp; consumables</t>
  </si>
  <si>
    <t xml:space="preserve">…and after tax</t>
  </si>
  <si>
    <t xml:space="preserve">SPLIT</t>
  </si>
  <si>
    <t xml:space="preserve">Tracked category revenue</t>
  </si>
  <si>
    <t xml:space="preserve">Everything else</t>
  </si>
  <si>
    <t xml:space="preserve">Week</t>
  </si>
  <si>
    <t xml:space="preserve">Card</t>
  </si>
  <si>
    <t xml:space="preserve">Day Total</t>
  </si>
  <si>
    <t xml:space="preserve">Last Year</t>
  </si>
  <si>
    <t xml:space="preserve">vs LY €</t>
  </si>
  <si>
    <t xml:space="preserve">vs LY %</t>
  </si>
  <si>
    <t xml:space="preserve">Customers</t>
  </si>
  <si>
    <t xml:space="preserve">Tracked Cat.</t>
  </si>
  <si>
    <t xml:space="preserve">Wk1</t>
  </si>
  <si>
    <t xml:space="preserve">Wk2</t>
  </si>
  <si>
    <t xml:space="preserve">Wk3</t>
  </si>
  <si>
    <t xml:space="preserve">Wk4</t>
  </si>
  <si>
    <t xml:space="preserve">Wk5</t>
  </si>
  <si>
    <t xml:space="preserve">Wk6</t>
  </si>
  <si>
    <t xml:space="preserve">Wk7</t>
  </si>
  <si>
    <t xml:space="preserve">Wk8</t>
  </si>
  <si>
    <t xml:space="preserve">Wk9</t>
  </si>
  <si>
    <t xml:space="preserve">Wk10</t>
  </si>
  <si>
    <t xml:space="preserve">Wk11</t>
  </si>
  <si>
    <t xml:space="preserve">Wk12</t>
  </si>
  <si>
    <t xml:space="preserve">Wk13</t>
  </si>
  <si>
    <t xml:space="preserve">Wk14</t>
  </si>
  <si>
    <t xml:space="preserve">Wk15</t>
  </si>
  <si>
    <t xml:space="preserve">Wk16</t>
  </si>
  <si>
    <t xml:space="preserve">Wk17</t>
  </si>
  <si>
    <t xml:space="preserve">Wk18</t>
  </si>
  <si>
    <t xml:space="preserve">Wk19</t>
  </si>
  <si>
    <t xml:space="preserve">Wk20</t>
  </si>
  <si>
    <t xml:space="preserve">Wk21</t>
  </si>
  <si>
    <t xml:space="preserve">Wk22</t>
  </si>
  <si>
    <t xml:space="preserve">Wk23</t>
  </si>
  <si>
    <t xml:space="preserve">Wk24</t>
  </si>
  <si>
    <t xml:space="preserve">Wk25</t>
  </si>
  <si>
    <t xml:space="preserve">Wk26</t>
  </si>
  <si>
    <t xml:space="preserve">Wk27</t>
  </si>
  <si>
    <t xml:space="preserve">Wk28</t>
  </si>
  <si>
    <t xml:space="preserve">Wk29</t>
  </si>
  <si>
    <t xml:space="preserve">Wk30</t>
  </si>
  <si>
    <t xml:space="preserve">Wk31</t>
  </si>
  <si>
    <t xml:space="preserve">Wk32</t>
  </si>
  <si>
    <t xml:space="preserve">Wk33</t>
  </si>
  <si>
    <t xml:space="preserve">Wk34</t>
  </si>
  <si>
    <t xml:space="preserve">Wk35</t>
  </si>
  <si>
    <t xml:space="preserve">Wk36</t>
  </si>
  <si>
    <t xml:space="preserve">Wk37</t>
  </si>
  <si>
    <t xml:space="preserve">Wk38</t>
  </si>
  <si>
    <t xml:space="preserve">Wk39</t>
  </si>
  <si>
    <t xml:space="preserve">Wk40</t>
  </si>
  <si>
    <t xml:space="preserve">Wk41</t>
  </si>
  <si>
    <t xml:space="preserve">Wk42</t>
  </si>
  <si>
    <t xml:space="preserve">Wk43</t>
  </si>
  <si>
    <t xml:space="preserve">Wk44</t>
  </si>
  <si>
    <t xml:space="preserve">Wk45</t>
  </si>
  <si>
    <t xml:space="preserve">Wk46</t>
  </si>
  <si>
    <t xml:space="preserve">Wk47</t>
  </si>
  <si>
    <t xml:space="preserve">Wk48</t>
  </si>
  <si>
    <t xml:space="preserve">Wk49</t>
  </si>
  <si>
    <t xml:space="preserve">Wk50</t>
  </si>
  <si>
    <t xml:space="preserve">Wk51</t>
  </si>
  <si>
    <t xml:space="preserve">Wk52</t>
  </si>
  <si>
    <t xml:space="preserve">Start Date</t>
  </si>
  <si>
    <t xml:space="preserve">Revenue</t>
  </si>
  <si>
    <t xml:space="preserve">Gross Profit</t>
  </si>
  <si>
    <t xml:space="preserve">Fixed Costs</t>
  </si>
  <si>
    <t xml:space="preserve">Consumables</t>
  </si>
  <si>
    <t xml:space="preserve">Net Before Tax</t>
  </si>
  <si>
    <t xml:space="preserve">vs Last Wk %</t>
  </si>
  <si>
    <t xml:space="preserve">YEAR TOTAL</t>
  </si>
  <si>
    <t xml:space="preserve">Month</t>
  </si>
  <si>
    <t xml:space="preserve">From</t>
  </si>
  <si>
    <t xml:space="preserve">To</t>
  </si>
  <si>
    <t xml:space="preserve">Diff €</t>
  </si>
  <si>
    <t xml:space="preserve">Diff %</t>
  </si>
  <si>
    <t xml:space="preserve">Profit &amp; Loss</t>
  </si>
  <si>
    <t xml:space="preserve">Built from the Monthly Summary. A steer, not a set of books — check anything that matters with your accountant.</t>
  </si>
  <si>
    <t xml:space="preserve">FULL YEAR</t>
  </si>
  <si>
    <t xml:space="preserve">REVENUE</t>
  </si>
  <si>
    <t xml:space="preserve">Total revenue</t>
  </si>
  <si>
    <t xml:space="preserve">   Cash</t>
  </si>
  <si>
    <t xml:space="preserve">   Card</t>
  </si>
  <si>
    <t xml:space="preserve">   Tracked category</t>
  </si>
  <si>
    <t xml:space="preserve">   Everything else</t>
  </si>
  <si>
    <t xml:space="preserve">COST OF SALES</t>
  </si>
  <si>
    <t xml:space="preserve">Estimated cost of goods</t>
  </si>
  <si>
    <t xml:space="preserve">GROSS PROFIT</t>
  </si>
  <si>
    <t xml:space="preserve">Gross margin %</t>
  </si>
  <si>
    <t xml:space="preserve">OPERATING COSTS</t>
  </si>
  <si>
    <t xml:space="preserve">Rent</t>
  </si>
  <si>
    <t xml:space="preserve">Rates</t>
  </si>
  <si>
    <t xml:space="preserve">Packaging &amp; consumables</t>
  </si>
  <si>
    <t xml:space="preserve">Total operating costs</t>
  </si>
  <si>
    <t xml:space="preserve">PROFIT BEFORE TAX</t>
  </si>
  <si>
    <t xml:space="preserve">Tax</t>
  </si>
  <si>
    <t xml:space="preserve">NET PROFIT</t>
  </si>
  <si>
    <t xml:space="preserve">Net margin %</t>
  </si>
  <si>
    <t xml:space="preserve">Break-even revenue for the month</t>
  </si>
  <si>
    <t xml:space="preserve">What you'd need to take that month just to cover rent, rates, consumables and the cost of the stock you sold.</t>
  </si>
  <si>
    <t xml:space="preserve">Total Customers</t>
  </si>
  <si>
    <t xml:space="preserve">Total Sales</t>
  </si>
  <si>
    <t xml:space="preserve">Total Revenue</t>
  </si>
  <si>
    <t xml:space="preserve">Total Cash</t>
  </si>
  <si>
    <t xml:space="preserve">Weeks with data</t>
  </si>
  <si>
    <t xml:space="preserve">Avg Customers</t>
  </si>
  <si>
    <t xml:space="preserve">Avg Sales</t>
  </si>
  <si>
    <t xml:space="preserve">Avg Revenue</t>
  </si>
  <si>
    <t xml:space="preserve">Which half hours actually earn. Fills in on its own as the weeks go by.</t>
  </si>
  <si>
    <t xml:space="preserve">Last year's daily takings</t>
  </si>
  <si>
    <t xml:space="preserve">Paste last year's daily totals into the yellow column. The dates fill themselves in from your Setup tab, 364 days back, so the days of the week line up properly.</t>
  </si>
  <si>
    <t xml:space="preserve">If you haven't got last year's figures, leave this tab alone. Everything else still works — the year-on-year columns just stay empty until next year.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</si>
</sst>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0"/>
    <numFmt numFmtId="167" formatCode="\€#,##0.00;[RED]&quot;(€&quot;#,##0.00\);\–"/>
    <numFmt numFmtId="168" formatCode="0.0%;[RED]\-0.0%;\–"/>
    <numFmt numFmtId="169" formatCode="#,##0;[RED]\-#,##0;\–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A17"/>
      <name val="Arial"/>
      <family val="0"/>
      <charset val="1"/>
    </font>
    <font>
      <i val="true"/>
      <sz val="10"/>
      <color rgb="FF6B5D4A"/>
      <name val="Arial"/>
      <family val="0"/>
      <charset val="1"/>
    </font>
    <font>
      <sz val="10"/>
      <color rgb="FF1C1A17"/>
      <name val="Arial"/>
      <family val="0"/>
      <charset val="1"/>
    </font>
    <font>
      <b val="true"/>
      <sz val="11"/>
      <color rgb="FF8A642C"/>
      <name val="Arial"/>
      <family val="0"/>
      <charset val="1"/>
    </font>
    <font>
      <sz val="9"/>
      <color rgb="FF6B5D4A"/>
      <name val="Arial"/>
      <family val="0"/>
      <charset val="1"/>
    </font>
    <font>
      <b val="true"/>
      <sz val="10"/>
      <color rgb="FF1C1A1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8A642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6D9"/>
        <bgColor rgb="FFEFE8DA"/>
      </patternFill>
    </fill>
    <fill>
      <patternFill patternType="solid">
        <fgColor rgb="FF8A642C"/>
        <bgColor rgb="FF6B5D4A"/>
      </patternFill>
    </fill>
    <fill>
      <patternFill patternType="solid">
        <fgColor rgb="FFFFFFFF"/>
        <bgColor rgb="FFFFF6D9"/>
      </patternFill>
    </fill>
    <fill>
      <patternFill patternType="solid">
        <fgColor rgb="FFEFE8DA"/>
        <bgColor rgb="FFFFF6D9"/>
      </patternFill>
    </fill>
    <fill>
      <patternFill patternType="solid">
        <fgColor rgb="FFE3D5B8"/>
        <bgColor rgb="FFD9CDB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DB0"/>
      </left>
      <right style="thin">
        <color rgb="FFD9CDB0"/>
      </right>
      <top style="thin">
        <color rgb="FFD9CDB0"/>
      </top>
      <bottom style="thin">
        <color rgb="FFD9CD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2C"/>
      <rgbColor rgb="FF800080"/>
      <rgbColor rgb="FF008080"/>
      <rgbColor rgb="FFD9CDB0"/>
      <rgbColor rgb="FF808080"/>
      <rgbColor rgb="FF9999FF"/>
      <rgbColor rgb="FF993366"/>
      <rgbColor rgb="FFFFF6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8DA"/>
      <rgbColor rgb="FFFFFF99"/>
      <rgbColor rgb="FF99CCFF"/>
      <rgbColor rgb="FFFF99CC"/>
      <rgbColor rgb="FFCC99FF"/>
      <rgbColor rgb="FFE3D5B8"/>
      <rgbColor rgb="FF3366FF"/>
      <rgbColor rgb="FF33CCCC"/>
      <rgbColor rgb="FF99CC00"/>
      <rgbColor rgb="FFFFCC00"/>
      <rgbColor rgb="FFFF9900"/>
      <rgbColor rgb="FFFF6600"/>
      <rgbColor rgb="FF6B5D4A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642C"/>
    <pageSetUpPr fitToPage="false"/>
  </sheetPr>
  <dimension ref="B2:B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3" t="s">
        <v>17</v>
      </c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3" t="s">
        <v>21</v>
      </c>
    </row>
    <row r="29" customFormat="false" ht="15" hidden="false" customHeight="false" outlineLevel="0" collapsed="false">
      <c r="B29" s="3" t="s">
        <v>22</v>
      </c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3" t="s">
        <v>23</v>
      </c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4" t="s">
        <v>24</v>
      </c>
    </row>
    <row r="34" customFormat="false" ht="15" hidden="false" customHeight="false" outlineLevel="0" collapsed="false">
      <c r="B34" s="3" t="s">
        <v>25</v>
      </c>
    </row>
    <row r="35" customFormat="false" ht="15" hidden="false" customHeight="false" outlineLevel="0" collapsed="false">
      <c r="B35" s="3" t="s">
        <v>26</v>
      </c>
    </row>
    <row r="36" customFormat="false" ht="15" hidden="false" customHeight="false" outlineLevel="0" collapsed="false">
      <c r="B36" s="3"/>
    </row>
    <row r="37" customFormat="false" ht="15" hidden="false" customHeight="false" outlineLevel="0" collapsed="false">
      <c r="B37" s="4" t="s">
        <v>27</v>
      </c>
    </row>
    <row r="38" customFormat="false" ht="15" hidden="false" customHeight="false" outlineLevel="0" collapsed="false">
      <c r="B38" s="3" t="s">
        <v>28</v>
      </c>
    </row>
    <row r="39" customFormat="false" ht="15" hidden="false" customHeight="false" outlineLevel="0" collapsed="false">
      <c r="B39" s="3" t="s">
        <v>29</v>
      </c>
    </row>
    <row r="40" customFormat="false" ht="15" hidden="false" customHeight="false" outlineLevel="0" collapsed="false">
      <c r="B40" s="3" t="s">
        <v>30</v>
      </c>
    </row>
    <row r="41" customFormat="false" ht="15" hidden="false" customHeight="false" outlineLevel="0" collapsed="false">
      <c r="B41" s="3" t="s">
        <v>31</v>
      </c>
    </row>
    <row r="42" customFormat="false" ht="15" hidden="false" customHeight="false" outlineLevel="0" collapsed="false">
      <c r="B42" s="3" t="s">
        <v>32</v>
      </c>
    </row>
    <row r="43" customFormat="false" ht="15" hidden="false" customHeight="false" outlineLevel="0" collapsed="false">
      <c r="B43" s="3" t="s">
        <v>33</v>
      </c>
    </row>
    <row r="44" customFormat="false" ht="15" hidden="false" customHeight="false" outlineLevel="0" collapsed="false">
      <c r="B44" s="3" t="s">
        <v>34</v>
      </c>
    </row>
    <row r="45" customFormat="false" ht="15" hidden="false" customHeight="false" outlineLevel="0" collapsed="false">
      <c r="B45" s="3" t="s">
        <v>35</v>
      </c>
    </row>
    <row r="46" customFormat="false" ht="15" hidden="false" customHeight="false" outlineLevel="0" collapsed="false">
      <c r="B46" s="3"/>
    </row>
    <row r="47" customFormat="false" ht="15" hidden="false" customHeight="false" outlineLevel="0" collapsed="false">
      <c r="B47" s="4" t="s">
        <v>36</v>
      </c>
    </row>
    <row r="48" customFormat="false" ht="15" hidden="false" customHeight="false" outlineLevel="0" collapsed="false">
      <c r="B48" s="3" t="s">
        <v>37</v>
      </c>
    </row>
    <row r="49" customFormat="false" ht="15" hidden="false" customHeight="false" outlineLevel="0" collapsed="false">
      <c r="B49" s="3" t="s">
        <v>38</v>
      </c>
    </row>
    <row r="50" customFormat="false" ht="15" hidden="false" customHeight="false" outlineLevel="0" collapsed="false">
      <c r="B50" s="3"/>
    </row>
    <row r="51" customFormat="false" ht="15" hidden="false" customHeight="false" outlineLevel="0" collapsed="false">
      <c r="B51" s="3" t="s">
        <v>39</v>
      </c>
    </row>
    <row r="52" customFormat="false" ht="15" hidden="false" customHeight="false" outlineLevel="0" collapsed="false">
      <c r="B52" s="3" t="s">
        <v>40</v>
      </c>
    </row>
    <row r="53" customFormat="false" ht="15" hidden="false" customHeight="false" outlineLevel="0" collapsed="false">
      <c r="B53" s="3"/>
    </row>
    <row r="54" customFormat="false" ht="15" hidden="false" customHeight="false" outlineLevel="0" collapsed="false">
      <c r="B54" s="4" t="s">
        <v>41</v>
      </c>
    </row>
    <row r="55" customFormat="false" ht="15" hidden="false" customHeight="false" outlineLevel="0" collapsed="false">
      <c r="B55" s="3" t="s">
        <v>42</v>
      </c>
    </row>
    <row r="56" customFormat="false" ht="15" hidden="false" customHeight="false" outlineLevel="0" collapsed="false">
      <c r="B56" s="3"/>
    </row>
    <row r="57" customFormat="false" ht="15" hidden="false" customHeight="false" outlineLevel="0" collapsed="false">
      <c r="B57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642C"/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74"/>
  </cols>
  <sheetData>
    <row r="2" customFormat="false" ht="19.7" hidden="false" customHeight="false" outlineLevel="0" collapsed="false">
      <c r="B2" s="1" t="s">
        <v>44</v>
      </c>
    </row>
    <row r="3" customFormat="false" ht="15" hidden="false" customHeight="false" outlineLevel="0" collapsed="false">
      <c r="B3" s="5" t="s">
        <v>45</v>
      </c>
    </row>
    <row r="4" customFormat="false" ht="15" hidden="false" customHeight="false" outlineLevel="0" collapsed="false">
      <c r="B4" s="4" t="s">
        <v>46</v>
      </c>
    </row>
    <row r="5" customFormat="false" ht="15" hidden="false" customHeight="false" outlineLevel="0" collapsed="false">
      <c r="B5" s="6" t="s">
        <v>47</v>
      </c>
      <c r="C5" s="7" t="n">
        <v>46027</v>
      </c>
      <c r="D5" s="5" t="s">
        <v>48</v>
      </c>
    </row>
    <row r="6" customFormat="false" ht="15" hidden="false" customHeight="false" outlineLevel="0" collapsed="false">
      <c r="B6" s="6" t="s">
        <v>49</v>
      </c>
      <c r="C6" s="8" t="n">
        <v>5.2</v>
      </c>
      <c r="D6" s="5" t="s">
        <v>50</v>
      </c>
    </row>
    <row r="7" customFormat="false" ht="15" hidden="false" customHeight="false" outlineLevel="0" collapsed="false">
      <c r="B7" s="6" t="s">
        <v>51</v>
      </c>
      <c r="C7" s="9" t="n">
        <v>0</v>
      </c>
      <c r="D7" s="5" t="s">
        <v>52</v>
      </c>
    </row>
    <row r="8" customFormat="false" ht="15" hidden="false" customHeight="false" outlineLevel="0" collapsed="false">
      <c r="B8" s="6" t="s">
        <v>53</v>
      </c>
      <c r="C8" s="9" t="n">
        <v>0</v>
      </c>
      <c r="D8" s="5" t="s">
        <v>54</v>
      </c>
    </row>
    <row r="9" customFormat="false" ht="15" hidden="false" customHeight="false" outlineLevel="0" collapsed="false">
      <c r="B9" s="6" t="s">
        <v>55</v>
      </c>
      <c r="C9" s="10" t="n">
        <v>0.03</v>
      </c>
      <c r="D9" s="5" t="s">
        <v>56</v>
      </c>
    </row>
    <row r="10" customFormat="false" ht="15" hidden="false" customHeight="false" outlineLevel="0" collapsed="false">
      <c r="B10" s="6" t="s">
        <v>57</v>
      </c>
      <c r="C10" s="10" t="n">
        <v>0.3</v>
      </c>
      <c r="D10" s="5" t="s">
        <v>58</v>
      </c>
    </row>
    <row r="11" customFormat="false" ht="15" hidden="false" customHeight="false" outlineLevel="0" collapsed="false">
      <c r="B11" s="6" t="s">
        <v>59</v>
      </c>
      <c r="C11" s="7" t="n">
        <f aca="false">C5-364</f>
        <v>45663</v>
      </c>
      <c r="D11" s="5" t="s">
        <v>60</v>
      </c>
    </row>
    <row r="13" customFormat="false" ht="15" hidden="false" customHeight="false" outlineLevel="0" collapsed="false">
      <c r="B13" s="4" t="s">
        <v>61</v>
      </c>
    </row>
    <row r="14" customFormat="false" ht="15" hidden="false" customHeight="false" outlineLevel="0" collapsed="false">
      <c r="B14" s="3" t="s">
        <v>62</v>
      </c>
    </row>
    <row r="15" customFormat="false" ht="15" hidden="false" customHeight="false" outlineLevel="0" collapsed="false">
      <c r="B15" s="3" t="s">
        <v>63</v>
      </c>
    </row>
    <row r="17" customFormat="false" ht="15" hidden="false" customHeight="false" outlineLevel="0" collapsed="false">
      <c r="B17" s="4" t="s">
        <v>64</v>
      </c>
    </row>
    <row r="18" customFormat="false" ht="15" hidden="false" customHeight="false" outlineLevel="0" collapsed="false">
      <c r="B18" s="3" t="s">
        <v>65</v>
      </c>
    </row>
    <row r="19" customFormat="false" ht="15" hidden="false" customHeight="false" outlineLevel="0" collapsed="false">
      <c r="B19" s="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TEXT(Setup!$C$5+0,"dddd")</f>
        <v>Monday</v>
      </c>
      <c r="B2" s="13" t="n">
        <f aca="false">Setup!$C$5+0</f>
        <v>46027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TEXT(Setup!$C$5+0,"dddd")</f>
        <v>Monday</v>
      </c>
      <c r="B3" s="13" t="n">
        <f aca="false">Setup!$C$5+0</f>
        <v>46027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TEXT(Setup!$C$5+0,"dddd")</f>
        <v>Monday</v>
      </c>
      <c r="B4" s="13" t="n">
        <f aca="false">Setup!$C$5+0</f>
        <v>46027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TEXT(Setup!$C$5+0,"dddd")</f>
        <v>Monday</v>
      </c>
      <c r="B5" s="13" t="n">
        <f aca="false">Setup!$C$5+0</f>
        <v>46027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TEXT(Setup!$C$5+0,"dddd")</f>
        <v>Monday</v>
      </c>
      <c r="B6" s="13" t="n">
        <f aca="false">Setup!$C$5+0</f>
        <v>46027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TEXT(Setup!$C$5+0,"dddd")</f>
        <v>Monday</v>
      </c>
      <c r="B7" s="13" t="n">
        <f aca="false">Setup!$C$5+0</f>
        <v>46027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TEXT(Setup!$C$5+0,"dddd")</f>
        <v>Monday</v>
      </c>
      <c r="B8" s="13" t="n">
        <f aca="false">Setup!$C$5+0</f>
        <v>46027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TEXT(Setup!$C$5+0,"dddd")</f>
        <v>Monday</v>
      </c>
      <c r="B9" s="13" t="n">
        <f aca="false">Setup!$C$5+0</f>
        <v>46027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TEXT(Setup!$C$5+0,"dddd")</f>
        <v>Monday</v>
      </c>
      <c r="B10" s="13" t="n">
        <f aca="false">Setup!$C$5+0</f>
        <v>46027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TEXT(Setup!$C$5+0,"dddd")</f>
        <v>Monday</v>
      </c>
      <c r="B11" s="13" t="n">
        <f aca="false">Setup!$C$5+0</f>
        <v>46027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TEXT(Setup!$C$5+0,"dddd")</f>
        <v>Monday</v>
      </c>
      <c r="B12" s="13" t="n">
        <f aca="false">Setup!$C$5+0</f>
        <v>46027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TEXT(Setup!$C$5+0,"dddd")</f>
        <v>Monday</v>
      </c>
      <c r="B13" s="13" t="n">
        <f aca="false">Setup!$C$5+0</f>
        <v>46027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TEXT(Setup!$C$5+0,"dddd")</f>
        <v>Monday</v>
      </c>
      <c r="B14" s="13" t="n">
        <f aca="false">Setup!$C$5+0</f>
        <v>46027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TEXT(Setup!$C$5+0,"dddd")</f>
        <v>Monday</v>
      </c>
      <c r="B15" s="13" t="n">
        <f aca="false">Setup!$C$5+0</f>
        <v>46027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TEXT(Setup!$C$5+0,"dddd")</f>
        <v>Monday</v>
      </c>
      <c r="B16" s="13" t="n">
        <f aca="false">Setup!$C$5+0</f>
        <v>46027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TEXT(Setup!$C$5+0,"dddd")</f>
        <v>Monday</v>
      </c>
      <c r="B17" s="13" t="n">
        <f aca="false">Setup!$C$5+0</f>
        <v>46027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TEXT(Setup!$C$5+0,"dddd")</f>
        <v>Monday</v>
      </c>
      <c r="B18" s="13" t="n">
        <f aca="false">Setup!$C$5+0</f>
        <v>46027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TEXT(Setup!$C$5+0,"dddd")</f>
        <v>Monday</v>
      </c>
      <c r="B19" s="13" t="n">
        <f aca="false">Setup!$C$5+0</f>
        <v>46027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TEXT(Setup!$C$5+0,"dddd")</f>
        <v>Monday</v>
      </c>
      <c r="B20" s="13" t="n">
        <f aca="false">Setup!$C$5+0</f>
        <v>46027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TEXT(Setup!$C$5+0,"dddd")</f>
        <v>Monday</v>
      </c>
      <c r="B21" s="13" t="n">
        <f aca="false">Setup!$C$5+0</f>
        <v>46027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TEXT(Setup!$C$5+0,"dddd")</f>
        <v>Monday</v>
      </c>
      <c r="B22" s="13" t="n">
        <f aca="false">Setup!$C$5+0</f>
        <v>46027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TEXT(Setup!$C$5+0,"dddd")</f>
        <v>Monday</v>
      </c>
      <c r="B23" s="23" t="n">
        <f aca="false">Setup!$C$5+0</f>
        <v>46027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/>
      <c r="O23" s="24"/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TEXT(Setup!$C$5+1,"dddd")</f>
        <v>Tuesday</v>
      </c>
      <c r="B24" s="13" t="n">
        <f aca="false">Setup!$C$5+1</f>
        <v>46028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TEXT(Setup!$C$5+1,"dddd")</f>
        <v>Tuesday</v>
      </c>
      <c r="B25" s="13" t="n">
        <f aca="false">Setup!$C$5+1</f>
        <v>46028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TEXT(Setup!$C$5+1,"dddd")</f>
        <v>Tuesday</v>
      </c>
      <c r="B26" s="13" t="n">
        <f aca="false">Setup!$C$5+1</f>
        <v>46028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TEXT(Setup!$C$5+1,"dddd")</f>
        <v>Tuesday</v>
      </c>
      <c r="B27" s="13" t="n">
        <f aca="false">Setup!$C$5+1</f>
        <v>46028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TEXT(Setup!$C$5+1,"dddd")</f>
        <v>Tuesday</v>
      </c>
      <c r="B28" s="13" t="n">
        <f aca="false">Setup!$C$5+1</f>
        <v>46028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TEXT(Setup!$C$5+1,"dddd")</f>
        <v>Tuesday</v>
      </c>
      <c r="B29" s="13" t="n">
        <f aca="false">Setup!$C$5+1</f>
        <v>46028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TEXT(Setup!$C$5+1,"dddd")</f>
        <v>Tuesday</v>
      </c>
      <c r="B30" s="13" t="n">
        <f aca="false">Setup!$C$5+1</f>
        <v>46028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TEXT(Setup!$C$5+1,"dddd")</f>
        <v>Tuesday</v>
      </c>
      <c r="B31" s="13" t="n">
        <f aca="false">Setup!$C$5+1</f>
        <v>46028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TEXT(Setup!$C$5+1,"dddd")</f>
        <v>Tuesday</v>
      </c>
      <c r="B32" s="13" t="n">
        <f aca="false">Setup!$C$5+1</f>
        <v>46028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TEXT(Setup!$C$5+1,"dddd")</f>
        <v>Tuesday</v>
      </c>
      <c r="B33" s="13" t="n">
        <f aca="false">Setup!$C$5+1</f>
        <v>46028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TEXT(Setup!$C$5+1,"dddd")</f>
        <v>Tuesday</v>
      </c>
      <c r="B34" s="13" t="n">
        <f aca="false">Setup!$C$5+1</f>
        <v>46028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TEXT(Setup!$C$5+1,"dddd")</f>
        <v>Tuesday</v>
      </c>
      <c r="B35" s="13" t="n">
        <f aca="false">Setup!$C$5+1</f>
        <v>46028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TEXT(Setup!$C$5+1,"dddd")</f>
        <v>Tuesday</v>
      </c>
      <c r="B36" s="13" t="n">
        <f aca="false">Setup!$C$5+1</f>
        <v>46028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TEXT(Setup!$C$5+1,"dddd")</f>
        <v>Tuesday</v>
      </c>
      <c r="B37" s="13" t="n">
        <f aca="false">Setup!$C$5+1</f>
        <v>46028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TEXT(Setup!$C$5+1,"dddd")</f>
        <v>Tuesday</v>
      </c>
      <c r="B38" s="13" t="n">
        <f aca="false">Setup!$C$5+1</f>
        <v>46028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TEXT(Setup!$C$5+1,"dddd")</f>
        <v>Tuesday</v>
      </c>
      <c r="B39" s="13" t="n">
        <f aca="false">Setup!$C$5+1</f>
        <v>46028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TEXT(Setup!$C$5+1,"dddd")</f>
        <v>Tuesday</v>
      </c>
      <c r="B40" s="13" t="n">
        <f aca="false">Setup!$C$5+1</f>
        <v>46028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TEXT(Setup!$C$5+1,"dddd")</f>
        <v>Tuesday</v>
      </c>
      <c r="B41" s="13" t="n">
        <f aca="false">Setup!$C$5+1</f>
        <v>46028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TEXT(Setup!$C$5+1,"dddd")</f>
        <v>Tuesday</v>
      </c>
      <c r="B42" s="13" t="n">
        <f aca="false">Setup!$C$5+1</f>
        <v>46028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TEXT(Setup!$C$5+1,"dddd")</f>
        <v>Tuesday</v>
      </c>
      <c r="B43" s="13" t="n">
        <f aca="false">Setup!$C$5+1</f>
        <v>46028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TEXT(Setup!$C$5+1,"dddd")</f>
        <v>Tuesday</v>
      </c>
      <c r="B44" s="13" t="n">
        <f aca="false">Setup!$C$5+1</f>
        <v>46028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TEXT(Setup!$C$5+1,"dddd")</f>
        <v>Tuesday</v>
      </c>
      <c r="B45" s="23" t="n">
        <f aca="false">Setup!$C$5+1</f>
        <v>46028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/>
      <c r="O45" s="24"/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TEXT(Setup!$C$5+2,"dddd")</f>
        <v>Wednesday</v>
      </c>
      <c r="B46" s="13" t="n">
        <f aca="false">Setup!$C$5+2</f>
        <v>46029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TEXT(Setup!$C$5+2,"dddd")</f>
        <v>Wednesday</v>
      </c>
      <c r="B47" s="13" t="n">
        <f aca="false">Setup!$C$5+2</f>
        <v>46029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TEXT(Setup!$C$5+2,"dddd")</f>
        <v>Wednesday</v>
      </c>
      <c r="B48" s="13" t="n">
        <f aca="false">Setup!$C$5+2</f>
        <v>46029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TEXT(Setup!$C$5+2,"dddd")</f>
        <v>Wednesday</v>
      </c>
      <c r="B49" s="13" t="n">
        <f aca="false">Setup!$C$5+2</f>
        <v>46029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TEXT(Setup!$C$5+2,"dddd")</f>
        <v>Wednesday</v>
      </c>
      <c r="B50" s="13" t="n">
        <f aca="false">Setup!$C$5+2</f>
        <v>46029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TEXT(Setup!$C$5+2,"dddd")</f>
        <v>Wednesday</v>
      </c>
      <c r="B51" s="13" t="n">
        <f aca="false">Setup!$C$5+2</f>
        <v>46029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TEXT(Setup!$C$5+2,"dddd")</f>
        <v>Wednesday</v>
      </c>
      <c r="B52" s="13" t="n">
        <f aca="false">Setup!$C$5+2</f>
        <v>46029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TEXT(Setup!$C$5+2,"dddd")</f>
        <v>Wednesday</v>
      </c>
      <c r="B53" s="13" t="n">
        <f aca="false">Setup!$C$5+2</f>
        <v>46029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TEXT(Setup!$C$5+2,"dddd")</f>
        <v>Wednesday</v>
      </c>
      <c r="B54" s="13" t="n">
        <f aca="false">Setup!$C$5+2</f>
        <v>46029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TEXT(Setup!$C$5+2,"dddd")</f>
        <v>Wednesday</v>
      </c>
      <c r="B55" s="13" t="n">
        <f aca="false">Setup!$C$5+2</f>
        <v>46029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TEXT(Setup!$C$5+2,"dddd")</f>
        <v>Wednesday</v>
      </c>
      <c r="B56" s="13" t="n">
        <f aca="false">Setup!$C$5+2</f>
        <v>46029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TEXT(Setup!$C$5+2,"dddd")</f>
        <v>Wednesday</v>
      </c>
      <c r="B57" s="13" t="n">
        <f aca="false">Setup!$C$5+2</f>
        <v>46029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TEXT(Setup!$C$5+2,"dddd")</f>
        <v>Wednesday</v>
      </c>
      <c r="B58" s="13" t="n">
        <f aca="false">Setup!$C$5+2</f>
        <v>46029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TEXT(Setup!$C$5+2,"dddd")</f>
        <v>Wednesday</v>
      </c>
      <c r="B59" s="13" t="n">
        <f aca="false">Setup!$C$5+2</f>
        <v>46029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TEXT(Setup!$C$5+2,"dddd")</f>
        <v>Wednesday</v>
      </c>
      <c r="B60" s="13" t="n">
        <f aca="false">Setup!$C$5+2</f>
        <v>46029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TEXT(Setup!$C$5+2,"dddd")</f>
        <v>Wednesday</v>
      </c>
      <c r="B61" s="13" t="n">
        <f aca="false">Setup!$C$5+2</f>
        <v>46029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TEXT(Setup!$C$5+2,"dddd")</f>
        <v>Wednesday</v>
      </c>
      <c r="B62" s="13" t="n">
        <f aca="false">Setup!$C$5+2</f>
        <v>46029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TEXT(Setup!$C$5+2,"dddd")</f>
        <v>Wednesday</v>
      </c>
      <c r="B63" s="13" t="n">
        <f aca="false">Setup!$C$5+2</f>
        <v>46029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TEXT(Setup!$C$5+2,"dddd")</f>
        <v>Wednesday</v>
      </c>
      <c r="B64" s="13" t="n">
        <f aca="false">Setup!$C$5+2</f>
        <v>46029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TEXT(Setup!$C$5+2,"dddd")</f>
        <v>Wednesday</v>
      </c>
      <c r="B65" s="13" t="n">
        <f aca="false">Setup!$C$5+2</f>
        <v>46029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TEXT(Setup!$C$5+2,"dddd")</f>
        <v>Wednesday</v>
      </c>
      <c r="B66" s="13" t="n">
        <f aca="false">Setup!$C$5+2</f>
        <v>46029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TEXT(Setup!$C$5+2,"dddd")</f>
        <v>Wednesday</v>
      </c>
      <c r="B67" s="23" t="n">
        <f aca="false">Setup!$C$5+2</f>
        <v>46029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/>
      <c r="O67" s="24"/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TEXT(Setup!$C$5+3,"dddd")</f>
        <v>Thursday</v>
      </c>
      <c r="B68" s="13" t="n">
        <f aca="false">Setup!$C$5+3</f>
        <v>46030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TEXT(Setup!$C$5+3,"dddd")</f>
        <v>Thursday</v>
      </c>
      <c r="B69" s="13" t="n">
        <f aca="false">Setup!$C$5+3</f>
        <v>46030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TEXT(Setup!$C$5+3,"dddd")</f>
        <v>Thursday</v>
      </c>
      <c r="B70" s="13" t="n">
        <f aca="false">Setup!$C$5+3</f>
        <v>46030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TEXT(Setup!$C$5+3,"dddd")</f>
        <v>Thursday</v>
      </c>
      <c r="B71" s="13" t="n">
        <f aca="false">Setup!$C$5+3</f>
        <v>46030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TEXT(Setup!$C$5+3,"dddd")</f>
        <v>Thursday</v>
      </c>
      <c r="B72" s="13" t="n">
        <f aca="false">Setup!$C$5+3</f>
        <v>46030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TEXT(Setup!$C$5+3,"dddd")</f>
        <v>Thursday</v>
      </c>
      <c r="B73" s="13" t="n">
        <f aca="false">Setup!$C$5+3</f>
        <v>46030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TEXT(Setup!$C$5+3,"dddd")</f>
        <v>Thursday</v>
      </c>
      <c r="B74" s="13" t="n">
        <f aca="false">Setup!$C$5+3</f>
        <v>46030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TEXT(Setup!$C$5+3,"dddd")</f>
        <v>Thursday</v>
      </c>
      <c r="B75" s="13" t="n">
        <f aca="false">Setup!$C$5+3</f>
        <v>46030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TEXT(Setup!$C$5+3,"dddd")</f>
        <v>Thursday</v>
      </c>
      <c r="B76" s="13" t="n">
        <f aca="false">Setup!$C$5+3</f>
        <v>46030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TEXT(Setup!$C$5+3,"dddd")</f>
        <v>Thursday</v>
      </c>
      <c r="B77" s="13" t="n">
        <f aca="false">Setup!$C$5+3</f>
        <v>46030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TEXT(Setup!$C$5+3,"dddd")</f>
        <v>Thursday</v>
      </c>
      <c r="B78" s="13" t="n">
        <f aca="false">Setup!$C$5+3</f>
        <v>46030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TEXT(Setup!$C$5+3,"dddd")</f>
        <v>Thursday</v>
      </c>
      <c r="B79" s="13" t="n">
        <f aca="false">Setup!$C$5+3</f>
        <v>46030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TEXT(Setup!$C$5+3,"dddd")</f>
        <v>Thursday</v>
      </c>
      <c r="B80" s="13" t="n">
        <f aca="false">Setup!$C$5+3</f>
        <v>46030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TEXT(Setup!$C$5+3,"dddd")</f>
        <v>Thursday</v>
      </c>
      <c r="B81" s="13" t="n">
        <f aca="false">Setup!$C$5+3</f>
        <v>46030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TEXT(Setup!$C$5+3,"dddd")</f>
        <v>Thursday</v>
      </c>
      <c r="B82" s="13" t="n">
        <f aca="false">Setup!$C$5+3</f>
        <v>46030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TEXT(Setup!$C$5+3,"dddd")</f>
        <v>Thursday</v>
      </c>
      <c r="B83" s="13" t="n">
        <f aca="false">Setup!$C$5+3</f>
        <v>46030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TEXT(Setup!$C$5+3,"dddd")</f>
        <v>Thursday</v>
      </c>
      <c r="B84" s="13" t="n">
        <f aca="false">Setup!$C$5+3</f>
        <v>46030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TEXT(Setup!$C$5+3,"dddd")</f>
        <v>Thursday</v>
      </c>
      <c r="B85" s="13" t="n">
        <f aca="false">Setup!$C$5+3</f>
        <v>46030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TEXT(Setup!$C$5+3,"dddd")</f>
        <v>Thursday</v>
      </c>
      <c r="B86" s="13" t="n">
        <f aca="false">Setup!$C$5+3</f>
        <v>46030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TEXT(Setup!$C$5+3,"dddd")</f>
        <v>Thursday</v>
      </c>
      <c r="B87" s="13" t="n">
        <f aca="false">Setup!$C$5+3</f>
        <v>46030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TEXT(Setup!$C$5+3,"dddd")</f>
        <v>Thursday</v>
      </c>
      <c r="B88" s="13" t="n">
        <f aca="false">Setup!$C$5+3</f>
        <v>46030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TEXT(Setup!$C$5+3,"dddd")</f>
        <v>Thursday</v>
      </c>
      <c r="B89" s="23" t="n">
        <f aca="false">Setup!$C$5+3</f>
        <v>46030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/>
      <c r="O89" s="24"/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TEXT(Setup!$C$5+4,"dddd")</f>
        <v>Friday</v>
      </c>
      <c r="B90" s="13" t="n">
        <f aca="false">Setup!$C$5+4</f>
        <v>46031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TEXT(Setup!$C$5+4,"dddd")</f>
        <v>Friday</v>
      </c>
      <c r="B91" s="13" t="n">
        <f aca="false">Setup!$C$5+4</f>
        <v>46031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TEXT(Setup!$C$5+4,"dddd")</f>
        <v>Friday</v>
      </c>
      <c r="B92" s="13" t="n">
        <f aca="false">Setup!$C$5+4</f>
        <v>46031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TEXT(Setup!$C$5+4,"dddd")</f>
        <v>Friday</v>
      </c>
      <c r="B93" s="13" t="n">
        <f aca="false">Setup!$C$5+4</f>
        <v>46031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TEXT(Setup!$C$5+4,"dddd")</f>
        <v>Friday</v>
      </c>
      <c r="B94" s="13" t="n">
        <f aca="false">Setup!$C$5+4</f>
        <v>46031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TEXT(Setup!$C$5+4,"dddd")</f>
        <v>Friday</v>
      </c>
      <c r="B95" s="13" t="n">
        <f aca="false">Setup!$C$5+4</f>
        <v>46031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TEXT(Setup!$C$5+4,"dddd")</f>
        <v>Friday</v>
      </c>
      <c r="B96" s="13" t="n">
        <f aca="false">Setup!$C$5+4</f>
        <v>46031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TEXT(Setup!$C$5+4,"dddd")</f>
        <v>Friday</v>
      </c>
      <c r="B97" s="13" t="n">
        <f aca="false">Setup!$C$5+4</f>
        <v>46031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TEXT(Setup!$C$5+4,"dddd")</f>
        <v>Friday</v>
      </c>
      <c r="B98" s="13" t="n">
        <f aca="false">Setup!$C$5+4</f>
        <v>46031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TEXT(Setup!$C$5+4,"dddd")</f>
        <v>Friday</v>
      </c>
      <c r="B99" s="13" t="n">
        <f aca="false">Setup!$C$5+4</f>
        <v>46031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TEXT(Setup!$C$5+4,"dddd")</f>
        <v>Friday</v>
      </c>
      <c r="B100" s="13" t="n">
        <f aca="false">Setup!$C$5+4</f>
        <v>46031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TEXT(Setup!$C$5+4,"dddd")</f>
        <v>Friday</v>
      </c>
      <c r="B101" s="13" t="n">
        <f aca="false">Setup!$C$5+4</f>
        <v>46031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TEXT(Setup!$C$5+4,"dddd")</f>
        <v>Friday</v>
      </c>
      <c r="B102" s="13" t="n">
        <f aca="false">Setup!$C$5+4</f>
        <v>46031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TEXT(Setup!$C$5+4,"dddd")</f>
        <v>Friday</v>
      </c>
      <c r="B103" s="13" t="n">
        <f aca="false">Setup!$C$5+4</f>
        <v>46031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TEXT(Setup!$C$5+4,"dddd")</f>
        <v>Friday</v>
      </c>
      <c r="B104" s="13" t="n">
        <f aca="false">Setup!$C$5+4</f>
        <v>46031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TEXT(Setup!$C$5+4,"dddd")</f>
        <v>Friday</v>
      </c>
      <c r="B105" s="13" t="n">
        <f aca="false">Setup!$C$5+4</f>
        <v>46031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TEXT(Setup!$C$5+4,"dddd")</f>
        <v>Friday</v>
      </c>
      <c r="B106" s="13" t="n">
        <f aca="false">Setup!$C$5+4</f>
        <v>46031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TEXT(Setup!$C$5+4,"dddd")</f>
        <v>Friday</v>
      </c>
      <c r="B107" s="13" t="n">
        <f aca="false">Setup!$C$5+4</f>
        <v>46031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TEXT(Setup!$C$5+4,"dddd")</f>
        <v>Friday</v>
      </c>
      <c r="B108" s="13" t="n">
        <f aca="false">Setup!$C$5+4</f>
        <v>46031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TEXT(Setup!$C$5+4,"dddd")</f>
        <v>Friday</v>
      </c>
      <c r="B109" s="13" t="n">
        <f aca="false">Setup!$C$5+4</f>
        <v>46031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TEXT(Setup!$C$5+4,"dddd")</f>
        <v>Friday</v>
      </c>
      <c r="B110" s="13" t="n">
        <f aca="false">Setup!$C$5+4</f>
        <v>46031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TEXT(Setup!$C$5+4,"dddd")</f>
        <v>Friday</v>
      </c>
      <c r="B111" s="23" t="n">
        <f aca="false">Setup!$C$5+4</f>
        <v>46031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/>
      <c r="O111" s="24"/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TEXT(Setup!$C$5+5,"dddd")</f>
        <v>Saturday</v>
      </c>
      <c r="B112" s="13" t="n">
        <f aca="false">Setup!$C$5+5</f>
        <v>46032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TEXT(Setup!$C$5+5,"dddd")</f>
        <v>Saturday</v>
      </c>
      <c r="B113" s="13" t="n">
        <f aca="false">Setup!$C$5+5</f>
        <v>46032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TEXT(Setup!$C$5+5,"dddd")</f>
        <v>Saturday</v>
      </c>
      <c r="B114" s="13" t="n">
        <f aca="false">Setup!$C$5+5</f>
        <v>46032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TEXT(Setup!$C$5+5,"dddd")</f>
        <v>Saturday</v>
      </c>
      <c r="B115" s="13" t="n">
        <f aca="false">Setup!$C$5+5</f>
        <v>46032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TEXT(Setup!$C$5+5,"dddd")</f>
        <v>Saturday</v>
      </c>
      <c r="B116" s="13" t="n">
        <f aca="false">Setup!$C$5+5</f>
        <v>46032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TEXT(Setup!$C$5+5,"dddd")</f>
        <v>Saturday</v>
      </c>
      <c r="B117" s="13" t="n">
        <f aca="false">Setup!$C$5+5</f>
        <v>46032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TEXT(Setup!$C$5+5,"dddd")</f>
        <v>Saturday</v>
      </c>
      <c r="B118" s="13" t="n">
        <f aca="false">Setup!$C$5+5</f>
        <v>46032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TEXT(Setup!$C$5+5,"dddd")</f>
        <v>Saturday</v>
      </c>
      <c r="B119" s="13" t="n">
        <f aca="false">Setup!$C$5+5</f>
        <v>46032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TEXT(Setup!$C$5+5,"dddd")</f>
        <v>Saturday</v>
      </c>
      <c r="B120" s="13" t="n">
        <f aca="false">Setup!$C$5+5</f>
        <v>46032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TEXT(Setup!$C$5+5,"dddd")</f>
        <v>Saturday</v>
      </c>
      <c r="B121" s="13" t="n">
        <f aca="false">Setup!$C$5+5</f>
        <v>46032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TEXT(Setup!$C$5+5,"dddd")</f>
        <v>Saturday</v>
      </c>
      <c r="B122" s="13" t="n">
        <f aca="false">Setup!$C$5+5</f>
        <v>46032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TEXT(Setup!$C$5+5,"dddd")</f>
        <v>Saturday</v>
      </c>
      <c r="B123" s="13" t="n">
        <f aca="false">Setup!$C$5+5</f>
        <v>46032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TEXT(Setup!$C$5+5,"dddd")</f>
        <v>Saturday</v>
      </c>
      <c r="B124" s="13" t="n">
        <f aca="false">Setup!$C$5+5</f>
        <v>46032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TEXT(Setup!$C$5+5,"dddd")</f>
        <v>Saturday</v>
      </c>
      <c r="B125" s="13" t="n">
        <f aca="false">Setup!$C$5+5</f>
        <v>46032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TEXT(Setup!$C$5+5,"dddd")</f>
        <v>Saturday</v>
      </c>
      <c r="B126" s="13" t="n">
        <f aca="false">Setup!$C$5+5</f>
        <v>46032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TEXT(Setup!$C$5+5,"dddd")</f>
        <v>Saturday</v>
      </c>
      <c r="B127" s="13" t="n">
        <f aca="false">Setup!$C$5+5</f>
        <v>46032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TEXT(Setup!$C$5+5,"dddd")</f>
        <v>Saturday</v>
      </c>
      <c r="B128" s="13" t="n">
        <f aca="false">Setup!$C$5+5</f>
        <v>46032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TEXT(Setup!$C$5+5,"dddd")</f>
        <v>Saturday</v>
      </c>
      <c r="B129" s="13" t="n">
        <f aca="false">Setup!$C$5+5</f>
        <v>46032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TEXT(Setup!$C$5+5,"dddd")</f>
        <v>Saturday</v>
      </c>
      <c r="B130" s="13" t="n">
        <f aca="false">Setup!$C$5+5</f>
        <v>46032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TEXT(Setup!$C$5+5,"dddd")</f>
        <v>Saturday</v>
      </c>
      <c r="B131" s="13" t="n">
        <f aca="false">Setup!$C$5+5</f>
        <v>46032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TEXT(Setup!$C$5+5,"dddd")</f>
        <v>Saturday</v>
      </c>
      <c r="B132" s="13" t="n">
        <f aca="false">Setup!$C$5+5</f>
        <v>46032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TEXT(Setup!$C$5+5,"dddd")</f>
        <v>Saturday</v>
      </c>
      <c r="B133" s="23" t="n">
        <f aca="false">Setup!$C$5+5</f>
        <v>46032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/>
      <c r="O133" s="24"/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TEXT(Setup!$C$5+6,"dddd")</f>
        <v>Sunday</v>
      </c>
      <c r="B134" s="13" t="n">
        <f aca="false">Setup!$C$5+6</f>
        <v>46033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TEXT(Setup!$C$5+6,"dddd")</f>
        <v>Sunday</v>
      </c>
      <c r="B135" s="13" t="n">
        <f aca="false">Setup!$C$5+6</f>
        <v>46033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TEXT(Setup!$C$5+6,"dddd")</f>
        <v>Sunday</v>
      </c>
      <c r="B136" s="13" t="n">
        <f aca="false">Setup!$C$5+6</f>
        <v>46033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TEXT(Setup!$C$5+6,"dddd")</f>
        <v>Sunday</v>
      </c>
      <c r="B137" s="13" t="n">
        <f aca="false">Setup!$C$5+6</f>
        <v>46033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TEXT(Setup!$C$5+6,"dddd")</f>
        <v>Sunday</v>
      </c>
      <c r="B138" s="13" t="n">
        <f aca="false">Setup!$C$5+6</f>
        <v>46033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TEXT(Setup!$C$5+6,"dddd")</f>
        <v>Sunday</v>
      </c>
      <c r="B139" s="13" t="n">
        <f aca="false">Setup!$C$5+6</f>
        <v>46033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TEXT(Setup!$C$5+6,"dddd")</f>
        <v>Sunday</v>
      </c>
      <c r="B140" s="13" t="n">
        <f aca="false">Setup!$C$5+6</f>
        <v>46033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TEXT(Setup!$C$5+6,"dddd")</f>
        <v>Sunday</v>
      </c>
      <c r="B141" s="13" t="n">
        <f aca="false">Setup!$C$5+6</f>
        <v>46033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TEXT(Setup!$C$5+6,"dddd")</f>
        <v>Sunday</v>
      </c>
      <c r="B142" s="13" t="n">
        <f aca="false">Setup!$C$5+6</f>
        <v>46033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TEXT(Setup!$C$5+6,"dddd")</f>
        <v>Sunday</v>
      </c>
      <c r="B143" s="13" t="n">
        <f aca="false">Setup!$C$5+6</f>
        <v>46033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TEXT(Setup!$C$5+6,"dddd")</f>
        <v>Sunday</v>
      </c>
      <c r="B144" s="13" t="n">
        <f aca="false">Setup!$C$5+6</f>
        <v>46033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TEXT(Setup!$C$5+6,"dddd")</f>
        <v>Sunday</v>
      </c>
      <c r="B145" s="13" t="n">
        <f aca="false">Setup!$C$5+6</f>
        <v>46033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TEXT(Setup!$C$5+6,"dddd")</f>
        <v>Sunday</v>
      </c>
      <c r="B146" s="13" t="n">
        <f aca="false">Setup!$C$5+6</f>
        <v>46033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TEXT(Setup!$C$5+6,"dddd")</f>
        <v>Sunday</v>
      </c>
      <c r="B147" s="13" t="n">
        <f aca="false">Setup!$C$5+6</f>
        <v>46033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TEXT(Setup!$C$5+6,"dddd")</f>
        <v>Sunday</v>
      </c>
      <c r="B148" s="13" t="n">
        <f aca="false">Setup!$C$5+6</f>
        <v>46033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TEXT(Setup!$C$5+6,"dddd")</f>
        <v>Sunday</v>
      </c>
      <c r="B149" s="13" t="n">
        <f aca="false">Setup!$C$5+6</f>
        <v>46033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TEXT(Setup!$C$5+6,"dddd")</f>
        <v>Sunday</v>
      </c>
      <c r="B150" s="13" t="n">
        <f aca="false">Setup!$C$5+6</f>
        <v>46033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TEXT(Setup!$C$5+6,"dddd")</f>
        <v>Sunday</v>
      </c>
      <c r="B151" s="13" t="n">
        <f aca="false">Setup!$C$5+6</f>
        <v>46033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TEXT(Setup!$C$5+6,"dddd")</f>
        <v>Sunday</v>
      </c>
      <c r="B152" s="13" t="n">
        <f aca="false">Setup!$C$5+6</f>
        <v>46033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TEXT(Setup!$C$5+6,"dddd")</f>
        <v>Sunday</v>
      </c>
      <c r="B153" s="13" t="n">
        <f aca="false">Setup!$C$5+6</f>
        <v>46033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TEXT(Setup!$C$5+6,"dddd")</f>
        <v>Sunday</v>
      </c>
      <c r="B154" s="13" t="n">
        <f aca="false">Setup!$C$5+6</f>
        <v>46033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TEXT(Setup!$C$5+6,"dddd")</f>
        <v>Sunday</v>
      </c>
      <c r="B155" s="23" t="n">
        <f aca="false">Setup!$C$5+6</f>
        <v>46033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/>
      <c r="O155" s="24"/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TEXT(Setup!$C$5+7,"dddd")</f>
        <v>Monday</v>
      </c>
      <c r="B2" s="13" t="n">
        <f aca="false">Setup!$C$5+7</f>
        <v>46034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TEXT(Setup!$C$5+7,"dddd")</f>
        <v>Monday</v>
      </c>
      <c r="B3" s="13" t="n">
        <f aca="false">Setup!$C$5+7</f>
        <v>46034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TEXT(Setup!$C$5+7,"dddd")</f>
        <v>Monday</v>
      </c>
      <c r="B4" s="13" t="n">
        <f aca="false">Setup!$C$5+7</f>
        <v>46034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TEXT(Setup!$C$5+7,"dddd")</f>
        <v>Monday</v>
      </c>
      <c r="B5" s="13" t="n">
        <f aca="false">Setup!$C$5+7</f>
        <v>46034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TEXT(Setup!$C$5+7,"dddd")</f>
        <v>Monday</v>
      </c>
      <c r="B6" s="13" t="n">
        <f aca="false">Setup!$C$5+7</f>
        <v>46034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TEXT(Setup!$C$5+7,"dddd")</f>
        <v>Monday</v>
      </c>
      <c r="B7" s="13" t="n">
        <f aca="false">Setup!$C$5+7</f>
        <v>46034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TEXT(Setup!$C$5+7,"dddd")</f>
        <v>Monday</v>
      </c>
      <c r="B8" s="13" t="n">
        <f aca="false">Setup!$C$5+7</f>
        <v>46034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TEXT(Setup!$C$5+7,"dddd")</f>
        <v>Monday</v>
      </c>
      <c r="B9" s="13" t="n">
        <f aca="false">Setup!$C$5+7</f>
        <v>46034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TEXT(Setup!$C$5+7,"dddd")</f>
        <v>Monday</v>
      </c>
      <c r="B10" s="13" t="n">
        <f aca="false">Setup!$C$5+7</f>
        <v>46034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TEXT(Setup!$C$5+7,"dddd")</f>
        <v>Monday</v>
      </c>
      <c r="B11" s="13" t="n">
        <f aca="false">Setup!$C$5+7</f>
        <v>46034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TEXT(Setup!$C$5+7,"dddd")</f>
        <v>Monday</v>
      </c>
      <c r="B12" s="13" t="n">
        <f aca="false">Setup!$C$5+7</f>
        <v>46034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TEXT(Setup!$C$5+7,"dddd")</f>
        <v>Monday</v>
      </c>
      <c r="B13" s="13" t="n">
        <f aca="false">Setup!$C$5+7</f>
        <v>46034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TEXT(Setup!$C$5+7,"dddd")</f>
        <v>Monday</v>
      </c>
      <c r="B14" s="13" t="n">
        <f aca="false">Setup!$C$5+7</f>
        <v>46034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TEXT(Setup!$C$5+7,"dddd")</f>
        <v>Monday</v>
      </c>
      <c r="B15" s="13" t="n">
        <f aca="false">Setup!$C$5+7</f>
        <v>46034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TEXT(Setup!$C$5+7,"dddd")</f>
        <v>Monday</v>
      </c>
      <c r="B16" s="13" t="n">
        <f aca="false">Setup!$C$5+7</f>
        <v>46034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TEXT(Setup!$C$5+7,"dddd")</f>
        <v>Monday</v>
      </c>
      <c r="B17" s="13" t="n">
        <f aca="false">Setup!$C$5+7</f>
        <v>46034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TEXT(Setup!$C$5+7,"dddd")</f>
        <v>Monday</v>
      </c>
      <c r="B18" s="13" t="n">
        <f aca="false">Setup!$C$5+7</f>
        <v>46034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TEXT(Setup!$C$5+7,"dddd")</f>
        <v>Monday</v>
      </c>
      <c r="B19" s="13" t="n">
        <f aca="false">Setup!$C$5+7</f>
        <v>46034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TEXT(Setup!$C$5+7,"dddd")</f>
        <v>Monday</v>
      </c>
      <c r="B20" s="13" t="n">
        <f aca="false">Setup!$C$5+7</f>
        <v>46034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TEXT(Setup!$C$5+7,"dddd")</f>
        <v>Monday</v>
      </c>
      <c r="B21" s="13" t="n">
        <f aca="false">Setup!$C$5+7</f>
        <v>46034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TEXT(Setup!$C$5+7,"dddd")</f>
        <v>Monday</v>
      </c>
      <c r="B22" s="13" t="n">
        <f aca="false">Setup!$C$5+7</f>
        <v>46034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TEXT(Setup!$C$5+7,"dddd")</f>
        <v>Monday</v>
      </c>
      <c r="B23" s="23" t="n">
        <f aca="false">Setup!$C$5+7</f>
        <v>46034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IFERROR(H23-Wk1!H23,"")</f>
        <v>0</v>
      </c>
      <c r="O23" s="24" t="n">
        <f aca="false">IFERROR(D23-Wk1!D23,"")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TEXT(Setup!$C$5+8,"dddd")</f>
        <v>Tuesday</v>
      </c>
      <c r="B24" s="13" t="n">
        <f aca="false">Setup!$C$5+8</f>
        <v>46035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TEXT(Setup!$C$5+8,"dddd")</f>
        <v>Tuesday</v>
      </c>
      <c r="B25" s="13" t="n">
        <f aca="false">Setup!$C$5+8</f>
        <v>46035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TEXT(Setup!$C$5+8,"dddd")</f>
        <v>Tuesday</v>
      </c>
      <c r="B26" s="13" t="n">
        <f aca="false">Setup!$C$5+8</f>
        <v>46035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TEXT(Setup!$C$5+8,"dddd")</f>
        <v>Tuesday</v>
      </c>
      <c r="B27" s="13" t="n">
        <f aca="false">Setup!$C$5+8</f>
        <v>46035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TEXT(Setup!$C$5+8,"dddd")</f>
        <v>Tuesday</v>
      </c>
      <c r="B28" s="13" t="n">
        <f aca="false">Setup!$C$5+8</f>
        <v>46035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TEXT(Setup!$C$5+8,"dddd")</f>
        <v>Tuesday</v>
      </c>
      <c r="B29" s="13" t="n">
        <f aca="false">Setup!$C$5+8</f>
        <v>46035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TEXT(Setup!$C$5+8,"dddd")</f>
        <v>Tuesday</v>
      </c>
      <c r="B30" s="13" t="n">
        <f aca="false">Setup!$C$5+8</f>
        <v>46035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TEXT(Setup!$C$5+8,"dddd")</f>
        <v>Tuesday</v>
      </c>
      <c r="B31" s="13" t="n">
        <f aca="false">Setup!$C$5+8</f>
        <v>46035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TEXT(Setup!$C$5+8,"dddd")</f>
        <v>Tuesday</v>
      </c>
      <c r="B32" s="13" t="n">
        <f aca="false">Setup!$C$5+8</f>
        <v>46035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TEXT(Setup!$C$5+8,"dddd")</f>
        <v>Tuesday</v>
      </c>
      <c r="B33" s="13" t="n">
        <f aca="false">Setup!$C$5+8</f>
        <v>46035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TEXT(Setup!$C$5+8,"dddd")</f>
        <v>Tuesday</v>
      </c>
      <c r="B34" s="13" t="n">
        <f aca="false">Setup!$C$5+8</f>
        <v>46035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TEXT(Setup!$C$5+8,"dddd")</f>
        <v>Tuesday</v>
      </c>
      <c r="B35" s="13" t="n">
        <f aca="false">Setup!$C$5+8</f>
        <v>46035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TEXT(Setup!$C$5+8,"dddd")</f>
        <v>Tuesday</v>
      </c>
      <c r="B36" s="13" t="n">
        <f aca="false">Setup!$C$5+8</f>
        <v>46035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TEXT(Setup!$C$5+8,"dddd")</f>
        <v>Tuesday</v>
      </c>
      <c r="B37" s="13" t="n">
        <f aca="false">Setup!$C$5+8</f>
        <v>46035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TEXT(Setup!$C$5+8,"dddd")</f>
        <v>Tuesday</v>
      </c>
      <c r="B38" s="13" t="n">
        <f aca="false">Setup!$C$5+8</f>
        <v>46035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TEXT(Setup!$C$5+8,"dddd")</f>
        <v>Tuesday</v>
      </c>
      <c r="B39" s="13" t="n">
        <f aca="false">Setup!$C$5+8</f>
        <v>46035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TEXT(Setup!$C$5+8,"dddd")</f>
        <v>Tuesday</v>
      </c>
      <c r="B40" s="13" t="n">
        <f aca="false">Setup!$C$5+8</f>
        <v>46035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TEXT(Setup!$C$5+8,"dddd")</f>
        <v>Tuesday</v>
      </c>
      <c r="B41" s="13" t="n">
        <f aca="false">Setup!$C$5+8</f>
        <v>46035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TEXT(Setup!$C$5+8,"dddd")</f>
        <v>Tuesday</v>
      </c>
      <c r="B42" s="13" t="n">
        <f aca="false">Setup!$C$5+8</f>
        <v>46035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TEXT(Setup!$C$5+8,"dddd")</f>
        <v>Tuesday</v>
      </c>
      <c r="B43" s="13" t="n">
        <f aca="false">Setup!$C$5+8</f>
        <v>46035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TEXT(Setup!$C$5+8,"dddd")</f>
        <v>Tuesday</v>
      </c>
      <c r="B44" s="13" t="n">
        <f aca="false">Setup!$C$5+8</f>
        <v>46035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TEXT(Setup!$C$5+8,"dddd")</f>
        <v>Tuesday</v>
      </c>
      <c r="B45" s="23" t="n">
        <f aca="false">Setup!$C$5+8</f>
        <v>46035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IFERROR(H45-Wk1!H45,"")</f>
        <v>0</v>
      </c>
      <c r="O45" s="24" t="n">
        <f aca="false">IFERROR(D45-Wk1!D45,"")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TEXT(Setup!$C$5+9,"dddd")</f>
        <v>Wednesday</v>
      </c>
      <c r="B46" s="13" t="n">
        <f aca="false">Setup!$C$5+9</f>
        <v>46036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TEXT(Setup!$C$5+9,"dddd")</f>
        <v>Wednesday</v>
      </c>
      <c r="B47" s="13" t="n">
        <f aca="false">Setup!$C$5+9</f>
        <v>46036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TEXT(Setup!$C$5+9,"dddd")</f>
        <v>Wednesday</v>
      </c>
      <c r="B48" s="13" t="n">
        <f aca="false">Setup!$C$5+9</f>
        <v>46036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TEXT(Setup!$C$5+9,"dddd")</f>
        <v>Wednesday</v>
      </c>
      <c r="B49" s="13" t="n">
        <f aca="false">Setup!$C$5+9</f>
        <v>46036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TEXT(Setup!$C$5+9,"dddd")</f>
        <v>Wednesday</v>
      </c>
      <c r="B50" s="13" t="n">
        <f aca="false">Setup!$C$5+9</f>
        <v>46036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TEXT(Setup!$C$5+9,"dddd")</f>
        <v>Wednesday</v>
      </c>
      <c r="B51" s="13" t="n">
        <f aca="false">Setup!$C$5+9</f>
        <v>46036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TEXT(Setup!$C$5+9,"dddd")</f>
        <v>Wednesday</v>
      </c>
      <c r="B52" s="13" t="n">
        <f aca="false">Setup!$C$5+9</f>
        <v>46036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TEXT(Setup!$C$5+9,"dddd")</f>
        <v>Wednesday</v>
      </c>
      <c r="B53" s="13" t="n">
        <f aca="false">Setup!$C$5+9</f>
        <v>46036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TEXT(Setup!$C$5+9,"dddd")</f>
        <v>Wednesday</v>
      </c>
      <c r="B54" s="13" t="n">
        <f aca="false">Setup!$C$5+9</f>
        <v>46036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TEXT(Setup!$C$5+9,"dddd")</f>
        <v>Wednesday</v>
      </c>
      <c r="B55" s="13" t="n">
        <f aca="false">Setup!$C$5+9</f>
        <v>46036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TEXT(Setup!$C$5+9,"dddd")</f>
        <v>Wednesday</v>
      </c>
      <c r="B56" s="13" t="n">
        <f aca="false">Setup!$C$5+9</f>
        <v>46036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TEXT(Setup!$C$5+9,"dddd")</f>
        <v>Wednesday</v>
      </c>
      <c r="B57" s="13" t="n">
        <f aca="false">Setup!$C$5+9</f>
        <v>46036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TEXT(Setup!$C$5+9,"dddd")</f>
        <v>Wednesday</v>
      </c>
      <c r="B58" s="13" t="n">
        <f aca="false">Setup!$C$5+9</f>
        <v>46036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TEXT(Setup!$C$5+9,"dddd")</f>
        <v>Wednesday</v>
      </c>
      <c r="B59" s="13" t="n">
        <f aca="false">Setup!$C$5+9</f>
        <v>46036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TEXT(Setup!$C$5+9,"dddd")</f>
        <v>Wednesday</v>
      </c>
      <c r="B60" s="13" t="n">
        <f aca="false">Setup!$C$5+9</f>
        <v>46036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TEXT(Setup!$C$5+9,"dddd")</f>
        <v>Wednesday</v>
      </c>
      <c r="B61" s="13" t="n">
        <f aca="false">Setup!$C$5+9</f>
        <v>46036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TEXT(Setup!$C$5+9,"dddd")</f>
        <v>Wednesday</v>
      </c>
      <c r="B62" s="13" t="n">
        <f aca="false">Setup!$C$5+9</f>
        <v>46036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TEXT(Setup!$C$5+9,"dddd")</f>
        <v>Wednesday</v>
      </c>
      <c r="B63" s="13" t="n">
        <f aca="false">Setup!$C$5+9</f>
        <v>46036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TEXT(Setup!$C$5+9,"dddd")</f>
        <v>Wednesday</v>
      </c>
      <c r="B64" s="13" t="n">
        <f aca="false">Setup!$C$5+9</f>
        <v>46036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TEXT(Setup!$C$5+9,"dddd")</f>
        <v>Wednesday</v>
      </c>
      <c r="B65" s="13" t="n">
        <f aca="false">Setup!$C$5+9</f>
        <v>46036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TEXT(Setup!$C$5+9,"dddd")</f>
        <v>Wednesday</v>
      </c>
      <c r="B66" s="13" t="n">
        <f aca="false">Setup!$C$5+9</f>
        <v>46036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TEXT(Setup!$C$5+9,"dddd")</f>
        <v>Wednesday</v>
      </c>
      <c r="B67" s="23" t="n">
        <f aca="false">Setup!$C$5+9</f>
        <v>46036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IFERROR(H67-Wk1!H67,"")</f>
        <v>0</v>
      </c>
      <c r="O67" s="24" t="n">
        <f aca="false">IFERROR(D67-Wk1!D67,"")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TEXT(Setup!$C$5+10,"dddd")</f>
        <v>Thursday</v>
      </c>
      <c r="B68" s="13" t="n">
        <f aca="false">Setup!$C$5+10</f>
        <v>46037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TEXT(Setup!$C$5+10,"dddd")</f>
        <v>Thursday</v>
      </c>
      <c r="B69" s="13" t="n">
        <f aca="false">Setup!$C$5+10</f>
        <v>46037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TEXT(Setup!$C$5+10,"dddd")</f>
        <v>Thursday</v>
      </c>
      <c r="B70" s="13" t="n">
        <f aca="false">Setup!$C$5+10</f>
        <v>46037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TEXT(Setup!$C$5+10,"dddd")</f>
        <v>Thursday</v>
      </c>
      <c r="B71" s="13" t="n">
        <f aca="false">Setup!$C$5+10</f>
        <v>46037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TEXT(Setup!$C$5+10,"dddd")</f>
        <v>Thursday</v>
      </c>
      <c r="B72" s="13" t="n">
        <f aca="false">Setup!$C$5+10</f>
        <v>46037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TEXT(Setup!$C$5+10,"dddd")</f>
        <v>Thursday</v>
      </c>
      <c r="B73" s="13" t="n">
        <f aca="false">Setup!$C$5+10</f>
        <v>46037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TEXT(Setup!$C$5+10,"dddd")</f>
        <v>Thursday</v>
      </c>
      <c r="B74" s="13" t="n">
        <f aca="false">Setup!$C$5+10</f>
        <v>46037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TEXT(Setup!$C$5+10,"dddd")</f>
        <v>Thursday</v>
      </c>
      <c r="B75" s="13" t="n">
        <f aca="false">Setup!$C$5+10</f>
        <v>46037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TEXT(Setup!$C$5+10,"dddd")</f>
        <v>Thursday</v>
      </c>
      <c r="B76" s="13" t="n">
        <f aca="false">Setup!$C$5+10</f>
        <v>46037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TEXT(Setup!$C$5+10,"dddd")</f>
        <v>Thursday</v>
      </c>
      <c r="B77" s="13" t="n">
        <f aca="false">Setup!$C$5+10</f>
        <v>46037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TEXT(Setup!$C$5+10,"dddd")</f>
        <v>Thursday</v>
      </c>
      <c r="B78" s="13" t="n">
        <f aca="false">Setup!$C$5+10</f>
        <v>46037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TEXT(Setup!$C$5+10,"dddd")</f>
        <v>Thursday</v>
      </c>
      <c r="B79" s="13" t="n">
        <f aca="false">Setup!$C$5+10</f>
        <v>46037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TEXT(Setup!$C$5+10,"dddd")</f>
        <v>Thursday</v>
      </c>
      <c r="B80" s="13" t="n">
        <f aca="false">Setup!$C$5+10</f>
        <v>46037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TEXT(Setup!$C$5+10,"dddd")</f>
        <v>Thursday</v>
      </c>
      <c r="B81" s="13" t="n">
        <f aca="false">Setup!$C$5+10</f>
        <v>46037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TEXT(Setup!$C$5+10,"dddd")</f>
        <v>Thursday</v>
      </c>
      <c r="B82" s="13" t="n">
        <f aca="false">Setup!$C$5+10</f>
        <v>46037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TEXT(Setup!$C$5+10,"dddd")</f>
        <v>Thursday</v>
      </c>
      <c r="B83" s="13" t="n">
        <f aca="false">Setup!$C$5+10</f>
        <v>46037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TEXT(Setup!$C$5+10,"dddd")</f>
        <v>Thursday</v>
      </c>
      <c r="B84" s="13" t="n">
        <f aca="false">Setup!$C$5+10</f>
        <v>46037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TEXT(Setup!$C$5+10,"dddd")</f>
        <v>Thursday</v>
      </c>
      <c r="B85" s="13" t="n">
        <f aca="false">Setup!$C$5+10</f>
        <v>46037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TEXT(Setup!$C$5+10,"dddd")</f>
        <v>Thursday</v>
      </c>
      <c r="B86" s="13" t="n">
        <f aca="false">Setup!$C$5+10</f>
        <v>46037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TEXT(Setup!$C$5+10,"dddd")</f>
        <v>Thursday</v>
      </c>
      <c r="B87" s="13" t="n">
        <f aca="false">Setup!$C$5+10</f>
        <v>46037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TEXT(Setup!$C$5+10,"dddd")</f>
        <v>Thursday</v>
      </c>
      <c r="B88" s="13" t="n">
        <f aca="false">Setup!$C$5+10</f>
        <v>46037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TEXT(Setup!$C$5+10,"dddd")</f>
        <v>Thursday</v>
      </c>
      <c r="B89" s="23" t="n">
        <f aca="false">Setup!$C$5+10</f>
        <v>46037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IFERROR(H89-Wk1!H89,"")</f>
        <v>0</v>
      </c>
      <c r="O89" s="24" t="n">
        <f aca="false">IFERROR(D89-Wk1!D89,"")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TEXT(Setup!$C$5+11,"dddd")</f>
        <v>Friday</v>
      </c>
      <c r="B90" s="13" t="n">
        <f aca="false">Setup!$C$5+11</f>
        <v>46038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TEXT(Setup!$C$5+11,"dddd")</f>
        <v>Friday</v>
      </c>
      <c r="B91" s="13" t="n">
        <f aca="false">Setup!$C$5+11</f>
        <v>46038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TEXT(Setup!$C$5+11,"dddd")</f>
        <v>Friday</v>
      </c>
      <c r="B92" s="13" t="n">
        <f aca="false">Setup!$C$5+11</f>
        <v>46038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TEXT(Setup!$C$5+11,"dddd")</f>
        <v>Friday</v>
      </c>
      <c r="B93" s="13" t="n">
        <f aca="false">Setup!$C$5+11</f>
        <v>46038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TEXT(Setup!$C$5+11,"dddd")</f>
        <v>Friday</v>
      </c>
      <c r="B94" s="13" t="n">
        <f aca="false">Setup!$C$5+11</f>
        <v>46038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TEXT(Setup!$C$5+11,"dddd")</f>
        <v>Friday</v>
      </c>
      <c r="B95" s="13" t="n">
        <f aca="false">Setup!$C$5+11</f>
        <v>46038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TEXT(Setup!$C$5+11,"dddd")</f>
        <v>Friday</v>
      </c>
      <c r="B96" s="13" t="n">
        <f aca="false">Setup!$C$5+11</f>
        <v>46038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TEXT(Setup!$C$5+11,"dddd")</f>
        <v>Friday</v>
      </c>
      <c r="B97" s="13" t="n">
        <f aca="false">Setup!$C$5+11</f>
        <v>46038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TEXT(Setup!$C$5+11,"dddd")</f>
        <v>Friday</v>
      </c>
      <c r="B98" s="13" t="n">
        <f aca="false">Setup!$C$5+11</f>
        <v>46038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TEXT(Setup!$C$5+11,"dddd")</f>
        <v>Friday</v>
      </c>
      <c r="B99" s="13" t="n">
        <f aca="false">Setup!$C$5+11</f>
        <v>46038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TEXT(Setup!$C$5+11,"dddd")</f>
        <v>Friday</v>
      </c>
      <c r="B100" s="13" t="n">
        <f aca="false">Setup!$C$5+11</f>
        <v>46038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TEXT(Setup!$C$5+11,"dddd")</f>
        <v>Friday</v>
      </c>
      <c r="B101" s="13" t="n">
        <f aca="false">Setup!$C$5+11</f>
        <v>46038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TEXT(Setup!$C$5+11,"dddd")</f>
        <v>Friday</v>
      </c>
      <c r="B102" s="13" t="n">
        <f aca="false">Setup!$C$5+11</f>
        <v>46038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TEXT(Setup!$C$5+11,"dddd")</f>
        <v>Friday</v>
      </c>
      <c r="B103" s="13" t="n">
        <f aca="false">Setup!$C$5+11</f>
        <v>46038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TEXT(Setup!$C$5+11,"dddd")</f>
        <v>Friday</v>
      </c>
      <c r="B104" s="13" t="n">
        <f aca="false">Setup!$C$5+11</f>
        <v>46038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TEXT(Setup!$C$5+11,"dddd")</f>
        <v>Friday</v>
      </c>
      <c r="B105" s="13" t="n">
        <f aca="false">Setup!$C$5+11</f>
        <v>46038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TEXT(Setup!$C$5+11,"dddd")</f>
        <v>Friday</v>
      </c>
      <c r="B106" s="13" t="n">
        <f aca="false">Setup!$C$5+11</f>
        <v>46038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TEXT(Setup!$C$5+11,"dddd")</f>
        <v>Friday</v>
      </c>
      <c r="B107" s="13" t="n">
        <f aca="false">Setup!$C$5+11</f>
        <v>46038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TEXT(Setup!$C$5+11,"dddd")</f>
        <v>Friday</v>
      </c>
      <c r="B108" s="13" t="n">
        <f aca="false">Setup!$C$5+11</f>
        <v>46038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TEXT(Setup!$C$5+11,"dddd")</f>
        <v>Friday</v>
      </c>
      <c r="B109" s="13" t="n">
        <f aca="false">Setup!$C$5+11</f>
        <v>46038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TEXT(Setup!$C$5+11,"dddd")</f>
        <v>Friday</v>
      </c>
      <c r="B110" s="13" t="n">
        <f aca="false">Setup!$C$5+11</f>
        <v>46038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TEXT(Setup!$C$5+11,"dddd")</f>
        <v>Friday</v>
      </c>
      <c r="B111" s="23" t="n">
        <f aca="false">Setup!$C$5+11</f>
        <v>46038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IFERROR(H111-Wk1!H111,"")</f>
        <v>0</v>
      </c>
      <c r="O111" s="24" t="n">
        <f aca="false">IFERROR(D111-Wk1!D111,"")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TEXT(Setup!$C$5+12,"dddd")</f>
        <v>Saturday</v>
      </c>
      <c r="B112" s="13" t="n">
        <f aca="false">Setup!$C$5+12</f>
        <v>46039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TEXT(Setup!$C$5+12,"dddd")</f>
        <v>Saturday</v>
      </c>
      <c r="B113" s="13" t="n">
        <f aca="false">Setup!$C$5+12</f>
        <v>46039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TEXT(Setup!$C$5+12,"dddd")</f>
        <v>Saturday</v>
      </c>
      <c r="B114" s="13" t="n">
        <f aca="false">Setup!$C$5+12</f>
        <v>46039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TEXT(Setup!$C$5+12,"dddd")</f>
        <v>Saturday</v>
      </c>
      <c r="B115" s="13" t="n">
        <f aca="false">Setup!$C$5+12</f>
        <v>46039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TEXT(Setup!$C$5+12,"dddd")</f>
        <v>Saturday</v>
      </c>
      <c r="B116" s="13" t="n">
        <f aca="false">Setup!$C$5+12</f>
        <v>46039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TEXT(Setup!$C$5+12,"dddd")</f>
        <v>Saturday</v>
      </c>
      <c r="B117" s="13" t="n">
        <f aca="false">Setup!$C$5+12</f>
        <v>46039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TEXT(Setup!$C$5+12,"dddd")</f>
        <v>Saturday</v>
      </c>
      <c r="B118" s="13" t="n">
        <f aca="false">Setup!$C$5+12</f>
        <v>46039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TEXT(Setup!$C$5+12,"dddd")</f>
        <v>Saturday</v>
      </c>
      <c r="B119" s="13" t="n">
        <f aca="false">Setup!$C$5+12</f>
        <v>46039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TEXT(Setup!$C$5+12,"dddd")</f>
        <v>Saturday</v>
      </c>
      <c r="B120" s="13" t="n">
        <f aca="false">Setup!$C$5+12</f>
        <v>46039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TEXT(Setup!$C$5+12,"dddd")</f>
        <v>Saturday</v>
      </c>
      <c r="B121" s="13" t="n">
        <f aca="false">Setup!$C$5+12</f>
        <v>46039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TEXT(Setup!$C$5+12,"dddd")</f>
        <v>Saturday</v>
      </c>
      <c r="B122" s="13" t="n">
        <f aca="false">Setup!$C$5+12</f>
        <v>46039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TEXT(Setup!$C$5+12,"dddd")</f>
        <v>Saturday</v>
      </c>
      <c r="B123" s="13" t="n">
        <f aca="false">Setup!$C$5+12</f>
        <v>46039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TEXT(Setup!$C$5+12,"dddd")</f>
        <v>Saturday</v>
      </c>
      <c r="B124" s="13" t="n">
        <f aca="false">Setup!$C$5+12</f>
        <v>46039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TEXT(Setup!$C$5+12,"dddd")</f>
        <v>Saturday</v>
      </c>
      <c r="B125" s="13" t="n">
        <f aca="false">Setup!$C$5+12</f>
        <v>46039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TEXT(Setup!$C$5+12,"dddd")</f>
        <v>Saturday</v>
      </c>
      <c r="B126" s="13" t="n">
        <f aca="false">Setup!$C$5+12</f>
        <v>46039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TEXT(Setup!$C$5+12,"dddd")</f>
        <v>Saturday</v>
      </c>
      <c r="B127" s="13" t="n">
        <f aca="false">Setup!$C$5+12</f>
        <v>46039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TEXT(Setup!$C$5+12,"dddd")</f>
        <v>Saturday</v>
      </c>
      <c r="B128" s="13" t="n">
        <f aca="false">Setup!$C$5+12</f>
        <v>46039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TEXT(Setup!$C$5+12,"dddd")</f>
        <v>Saturday</v>
      </c>
      <c r="B129" s="13" t="n">
        <f aca="false">Setup!$C$5+12</f>
        <v>46039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TEXT(Setup!$C$5+12,"dddd")</f>
        <v>Saturday</v>
      </c>
      <c r="B130" s="13" t="n">
        <f aca="false">Setup!$C$5+12</f>
        <v>46039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TEXT(Setup!$C$5+12,"dddd")</f>
        <v>Saturday</v>
      </c>
      <c r="B131" s="13" t="n">
        <f aca="false">Setup!$C$5+12</f>
        <v>46039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TEXT(Setup!$C$5+12,"dddd")</f>
        <v>Saturday</v>
      </c>
      <c r="B132" s="13" t="n">
        <f aca="false">Setup!$C$5+12</f>
        <v>46039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TEXT(Setup!$C$5+12,"dddd")</f>
        <v>Saturday</v>
      </c>
      <c r="B133" s="23" t="n">
        <f aca="false">Setup!$C$5+12</f>
        <v>46039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IFERROR(H133-Wk1!H133,"")</f>
        <v>0</v>
      </c>
      <c r="O133" s="24" t="n">
        <f aca="false">IFERROR(D133-Wk1!D133,"")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TEXT(Setup!$C$5+13,"dddd")</f>
        <v>Sunday</v>
      </c>
      <c r="B134" s="13" t="n">
        <f aca="false">Setup!$C$5+13</f>
        <v>46040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TEXT(Setup!$C$5+13,"dddd")</f>
        <v>Sunday</v>
      </c>
      <c r="B135" s="13" t="n">
        <f aca="false">Setup!$C$5+13</f>
        <v>46040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TEXT(Setup!$C$5+13,"dddd")</f>
        <v>Sunday</v>
      </c>
      <c r="B136" s="13" t="n">
        <f aca="false">Setup!$C$5+13</f>
        <v>46040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TEXT(Setup!$C$5+13,"dddd")</f>
        <v>Sunday</v>
      </c>
      <c r="B137" s="13" t="n">
        <f aca="false">Setup!$C$5+13</f>
        <v>46040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TEXT(Setup!$C$5+13,"dddd")</f>
        <v>Sunday</v>
      </c>
      <c r="B138" s="13" t="n">
        <f aca="false">Setup!$C$5+13</f>
        <v>46040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TEXT(Setup!$C$5+13,"dddd")</f>
        <v>Sunday</v>
      </c>
      <c r="B139" s="13" t="n">
        <f aca="false">Setup!$C$5+13</f>
        <v>46040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TEXT(Setup!$C$5+13,"dddd")</f>
        <v>Sunday</v>
      </c>
      <c r="B140" s="13" t="n">
        <f aca="false">Setup!$C$5+13</f>
        <v>46040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TEXT(Setup!$C$5+13,"dddd")</f>
        <v>Sunday</v>
      </c>
      <c r="B141" s="13" t="n">
        <f aca="false">Setup!$C$5+13</f>
        <v>46040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TEXT(Setup!$C$5+13,"dddd")</f>
        <v>Sunday</v>
      </c>
      <c r="B142" s="13" t="n">
        <f aca="false">Setup!$C$5+13</f>
        <v>46040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TEXT(Setup!$C$5+13,"dddd")</f>
        <v>Sunday</v>
      </c>
      <c r="B143" s="13" t="n">
        <f aca="false">Setup!$C$5+13</f>
        <v>46040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TEXT(Setup!$C$5+13,"dddd")</f>
        <v>Sunday</v>
      </c>
      <c r="B144" s="13" t="n">
        <f aca="false">Setup!$C$5+13</f>
        <v>46040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TEXT(Setup!$C$5+13,"dddd")</f>
        <v>Sunday</v>
      </c>
      <c r="B145" s="13" t="n">
        <f aca="false">Setup!$C$5+13</f>
        <v>46040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TEXT(Setup!$C$5+13,"dddd")</f>
        <v>Sunday</v>
      </c>
      <c r="B146" s="13" t="n">
        <f aca="false">Setup!$C$5+13</f>
        <v>46040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TEXT(Setup!$C$5+13,"dddd")</f>
        <v>Sunday</v>
      </c>
      <c r="B147" s="13" t="n">
        <f aca="false">Setup!$C$5+13</f>
        <v>46040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TEXT(Setup!$C$5+13,"dddd")</f>
        <v>Sunday</v>
      </c>
      <c r="B148" s="13" t="n">
        <f aca="false">Setup!$C$5+13</f>
        <v>46040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TEXT(Setup!$C$5+13,"dddd")</f>
        <v>Sunday</v>
      </c>
      <c r="B149" s="13" t="n">
        <f aca="false">Setup!$C$5+13</f>
        <v>46040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TEXT(Setup!$C$5+13,"dddd")</f>
        <v>Sunday</v>
      </c>
      <c r="B150" s="13" t="n">
        <f aca="false">Setup!$C$5+13</f>
        <v>46040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TEXT(Setup!$C$5+13,"dddd")</f>
        <v>Sunday</v>
      </c>
      <c r="B151" s="13" t="n">
        <f aca="false">Setup!$C$5+13</f>
        <v>46040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TEXT(Setup!$C$5+13,"dddd")</f>
        <v>Sunday</v>
      </c>
      <c r="B152" s="13" t="n">
        <f aca="false">Setup!$C$5+13</f>
        <v>46040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TEXT(Setup!$C$5+13,"dddd")</f>
        <v>Sunday</v>
      </c>
      <c r="B153" s="13" t="n">
        <f aca="false">Setup!$C$5+13</f>
        <v>46040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TEXT(Setup!$C$5+13,"dddd")</f>
        <v>Sunday</v>
      </c>
      <c r="B154" s="13" t="n">
        <f aca="false">Setup!$C$5+13</f>
        <v>46040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TEXT(Setup!$C$5+13,"dddd")</f>
        <v>Sunday</v>
      </c>
      <c r="B155" s="23" t="n">
        <f aca="false">Setup!$C$5+13</f>
        <v>46040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IFERROR(H155-Wk1!H155,"")</f>
        <v>0</v>
      </c>
      <c r="O155" s="24" t="n">
        <f aca="false">IFERROR(D155-Wk1!D155,"")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IFERROR(D156-Wk1!D156,"")</f>
        <v>0</v>
      </c>
      <c r="E157" s="34" t="n">
        <f aca="false">IFERROR(E156-Wk1!E156,"")</f>
        <v>0</v>
      </c>
      <c r="H157" s="32" t="n">
        <f aca="false">IFERROR(H156-Wk1!H156,"")</f>
        <v>0</v>
      </c>
      <c r="K157" s="32" t="n">
        <f aca="false">IFERROR(K156-Wk1!K156,"")</f>
        <v>0</v>
      </c>
      <c r="M157" s="32" t="n">
        <f aca="false">IFERROR(M156-Wk1!M156,"")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TEXT(Setup!$C$5+14,"dddd")</f>
        <v>Monday</v>
      </c>
      <c r="B2" s="13" t="n">
        <f aca="false">Setup!$C$5+14</f>
        <v>46041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TEXT(Setup!$C$5+14,"dddd")</f>
        <v>Monday</v>
      </c>
      <c r="B3" s="13" t="n">
        <f aca="false">Setup!$C$5+14</f>
        <v>46041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TEXT(Setup!$C$5+14,"dddd")</f>
        <v>Monday</v>
      </c>
      <c r="B4" s="13" t="n">
        <f aca="false">Setup!$C$5+14</f>
        <v>46041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TEXT(Setup!$C$5+14,"dddd")</f>
        <v>Monday</v>
      </c>
      <c r="B5" s="13" t="n">
        <f aca="false">Setup!$C$5+14</f>
        <v>46041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TEXT(Setup!$C$5+14,"dddd")</f>
        <v>Monday</v>
      </c>
      <c r="B6" s="13" t="n">
        <f aca="false">Setup!$C$5+14</f>
        <v>46041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TEXT(Setup!$C$5+14,"dddd")</f>
        <v>Monday</v>
      </c>
      <c r="B7" s="13" t="n">
        <f aca="false">Setup!$C$5+14</f>
        <v>46041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TEXT(Setup!$C$5+14,"dddd")</f>
        <v>Monday</v>
      </c>
      <c r="B8" s="13" t="n">
        <f aca="false">Setup!$C$5+14</f>
        <v>46041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TEXT(Setup!$C$5+14,"dddd")</f>
        <v>Monday</v>
      </c>
      <c r="B9" s="13" t="n">
        <f aca="false">Setup!$C$5+14</f>
        <v>46041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TEXT(Setup!$C$5+14,"dddd")</f>
        <v>Monday</v>
      </c>
      <c r="B10" s="13" t="n">
        <f aca="false">Setup!$C$5+14</f>
        <v>46041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TEXT(Setup!$C$5+14,"dddd")</f>
        <v>Monday</v>
      </c>
      <c r="B11" s="13" t="n">
        <f aca="false">Setup!$C$5+14</f>
        <v>46041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TEXT(Setup!$C$5+14,"dddd")</f>
        <v>Monday</v>
      </c>
      <c r="B12" s="13" t="n">
        <f aca="false">Setup!$C$5+14</f>
        <v>46041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TEXT(Setup!$C$5+14,"dddd")</f>
        <v>Monday</v>
      </c>
      <c r="B13" s="13" t="n">
        <f aca="false">Setup!$C$5+14</f>
        <v>46041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TEXT(Setup!$C$5+14,"dddd")</f>
        <v>Monday</v>
      </c>
      <c r="B14" s="13" t="n">
        <f aca="false">Setup!$C$5+14</f>
        <v>46041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TEXT(Setup!$C$5+14,"dddd")</f>
        <v>Monday</v>
      </c>
      <c r="B15" s="13" t="n">
        <f aca="false">Setup!$C$5+14</f>
        <v>46041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TEXT(Setup!$C$5+14,"dddd")</f>
        <v>Monday</v>
      </c>
      <c r="B16" s="13" t="n">
        <f aca="false">Setup!$C$5+14</f>
        <v>46041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TEXT(Setup!$C$5+14,"dddd")</f>
        <v>Monday</v>
      </c>
      <c r="B17" s="13" t="n">
        <f aca="false">Setup!$C$5+14</f>
        <v>46041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TEXT(Setup!$C$5+14,"dddd")</f>
        <v>Monday</v>
      </c>
      <c r="B18" s="13" t="n">
        <f aca="false">Setup!$C$5+14</f>
        <v>46041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TEXT(Setup!$C$5+14,"dddd")</f>
        <v>Monday</v>
      </c>
      <c r="B19" s="13" t="n">
        <f aca="false">Setup!$C$5+14</f>
        <v>46041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TEXT(Setup!$C$5+14,"dddd")</f>
        <v>Monday</v>
      </c>
      <c r="B20" s="13" t="n">
        <f aca="false">Setup!$C$5+14</f>
        <v>46041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TEXT(Setup!$C$5+14,"dddd")</f>
        <v>Monday</v>
      </c>
      <c r="B21" s="13" t="n">
        <f aca="false">Setup!$C$5+14</f>
        <v>46041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TEXT(Setup!$C$5+14,"dddd")</f>
        <v>Monday</v>
      </c>
      <c r="B22" s="13" t="n">
        <f aca="false">Setup!$C$5+14</f>
        <v>46041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TEXT(Setup!$C$5+14,"dddd")</f>
        <v>Monday</v>
      </c>
      <c r="B23" s="23" t="n">
        <f aca="false">Setup!$C$5+14</f>
        <v>46041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IFERROR(H23-Wk2!H23,"")</f>
        <v>0</v>
      </c>
      <c r="O23" s="24" t="n">
        <f aca="false">IFERROR(D23-Wk2!D23,"")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TEXT(Setup!$C$5+15,"dddd")</f>
        <v>Tuesday</v>
      </c>
      <c r="B24" s="13" t="n">
        <f aca="false">Setup!$C$5+15</f>
        <v>46042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TEXT(Setup!$C$5+15,"dddd")</f>
        <v>Tuesday</v>
      </c>
      <c r="B25" s="13" t="n">
        <f aca="false">Setup!$C$5+15</f>
        <v>46042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TEXT(Setup!$C$5+15,"dddd")</f>
        <v>Tuesday</v>
      </c>
      <c r="B26" s="13" t="n">
        <f aca="false">Setup!$C$5+15</f>
        <v>46042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TEXT(Setup!$C$5+15,"dddd")</f>
        <v>Tuesday</v>
      </c>
      <c r="B27" s="13" t="n">
        <f aca="false">Setup!$C$5+15</f>
        <v>46042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TEXT(Setup!$C$5+15,"dddd")</f>
        <v>Tuesday</v>
      </c>
      <c r="B28" s="13" t="n">
        <f aca="false">Setup!$C$5+15</f>
        <v>46042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TEXT(Setup!$C$5+15,"dddd")</f>
        <v>Tuesday</v>
      </c>
      <c r="B29" s="13" t="n">
        <f aca="false">Setup!$C$5+15</f>
        <v>46042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TEXT(Setup!$C$5+15,"dddd")</f>
        <v>Tuesday</v>
      </c>
      <c r="B30" s="13" t="n">
        <f aca="false">Setup!$C$5+15</f>
        <v>46042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TEXT(Setup!$C$5+15,"dddd")</f>
        <v>Tuesday</v>
      </c>
      <c r="B31" s="13" t="n">
        <f aca="false">Setup!$C$5+15</f>
        <v>46042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TEXT(Setup!$C$5+15,"dddd")</f>
        <v>Tuesday</v>
      </c>
      <c r="B32" s="13" t="n">
        <f aca="false">Setup!$C$5+15</f>
        <v>46042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TEXT(Setup!$C$5+15,"dddd")</f>
        <v>Tuesday</v>
      </c>
      <c r="B33" s="13" t="n">
        <f aca="false">Setup!$C$5+15</f>
        <v>46042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TEXT(Setup!$C$5+15,"dddd")</f>
        <v>Tuesday</v>
      </c>
      <c r="B34" s="13" t="n">
        <f aca="false">Setup!$C$5+15</f>
        <v>46042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TEXT(Setup!$C$5+15,"dddd")</f>
        <v>Tuesday</v>
      </c>
      <c r="B35" s="13" t="n">
        <f aca="false">Setup!$C$5+15</f>
        <v>46042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TEXT(Setup!$C$5+15,"dddd")</f>
        <v>Tuesday</v>
      </c>
      <c r="B36" s="13" t="n">
        <f aca="false">Setup!$C$5+15</f>
        <v>46042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TEXT(Setup!$C$5+15,"dddd")</f>
        <v>Tuesday</v>
      </c>
      <c r="B37" s="13" t="n">
        <f aca="false">Setup!$C$5+15</f>
        <v>46042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TEXT(Setup!$C$5+15,"dddd")</f>
        <v>Tuesday</v>
      </c>
      <c r="B38" s="13" t="n">
        <f aca="false">Setup!$C$5+15</f>
        <v>46042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TEXT(Setup!$C$5+15,"dddd")</f>
        <v>Tuesday</v>
      </c>
      <c r="B39" s="13" t="n">
        <f aca="false">Setup!$C$5+15</f>
        <v>46042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TEXT(Setup!$C$5+15,"dddd")</f>
        <v>Tuesday</v>
      </c>
      <c r="B40" s="13" t="n">
        <f aca="false">Setup!$C$5+15</f>
        <v>46042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TEXT(Setup!$C$5+15,"dddd")</f>
        <v>Tuesday</v>
      </c>
      <c r="B41" s="13" t="n">
        <f aca="false">Setup!$C$5+15</f>
        <v>46042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TEXT(Setup!$C$5+15,"dddd")</f>
        <v>Tuesday</v>
      </c>
      <c r="B42" s="13" t="n">
        <f aca="false">Setup!$C$5+15</f>
        <v>46042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TEXT(Setup!$C$5+15,"dddd")</f>
        <v>Tuesday</v>
      </c>
      <c r="B43" s="13" t="n">
        <f aca="false">Setup!$C$5+15</f>
        <v>46042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TEXT(Setup!$C$5+15,"dddd")</f>
        <v>Tuesday</v>
      </c>
      <c r="B44" s="13" t="n">
        <f aca="false">Setup!$C$5+15</f>
        <v>46042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TEXT(Setup!$C$5+15,"dddd")</f>
        <v>Tuesday</v>
      </c>
      <c r="B45" s="23" t="n">
        <f aca="false">Setup!$C$5+15</f>
        <v>46042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IFERROR(H45-Wk2!H45,"")</f>
        <v>0</v>
      </c>
      <c r="O45" s="24" t="n">
        <f aca="false">IFERROR(D45-Wk2!D45,"")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TEXT(Setup!$C$5+16,"dddd")</f>
        <v>Wednesday</v>
      </c>
      <c r="B46" s="13" t="n">
        <f aca="false">Setup!$C$5+16</f>
        <v>46043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TEXT(Setup!$C$5+16,"dddd")</f>
        <v>Wednesday</v>
      </c>
      <c r="B47" s="13" t="n">
        <f aca="false">Setup!$C$5+16</f>
        <v>46043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TEXT(Setup!$C$5+16,"dddd")</f>
        <v>Wednesday</v>
      </c>
      <c r="B48" s="13" t="n">
        <f aca="false">Setup!$C$5+16</f>
        <v>46043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TEXT(Setup!$C$5+16,"dddd")</f>
        <v>Wednesday</v>
      </c>
      <c r="B49" s="13" t="n">
        <f aca="false">Setup!$C$5+16</f>
        <v>46043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TEXT(Setup!$C$5+16,"dddd")</f>
        <v>Wednesday</v>
      </c>
      <c r="B50" s="13" t="n">
        <f aca="false">Setup!$C$5+16</f>
        <v>46043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TEXT(Setup!$C$5+16,"dddd")</f>
        <v>Wednesday</v>
      </c>
      <c r="B51" s="13" t="n">
        <f aca="false">Setup!$C$5+16</f>
        <v>46043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TEXT(Setup!$C$5+16,"dddd")</f>
        <v>Wednesday</v>
      </c>
      <c r="B52" s="13" t="n">
        <f aca="false">Setup!$C$5+16</f>
        <v>46043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TEXT(Setup!$C$5+16,"dddd")</f>
        <v>Wednesday</v>
      </c>
      <c r="B53" s="13" t="n">
        <f aca="false">Setup!$C$5+16</f>
        <v>46043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TEXT(Setup!$C$5+16,"dddd")</f>
        <v>Wednesday</v>
      </c>
      <c r="B54" s="13" t="n">
        <f aca="false">Setup!$C$5+16</f>
        <v>46043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TEXT(Setup!$C$5+16,"dddd")</f>
        <v>Wednesday</v>
      </c>
      <c r="B55" s="13" t="n">
        <f aca="false">Setup!$C$5+16</f>
        <v>46043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TEXT(Setup!$C$5+16,"dddd")</f>
        <v>Wednesday</v>
      </c>
      <c r="B56" s="13" t="n">
        <f aca="false">Setup!$C$5+16</f>
        <v>46043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TEXT(Setup!$C$5+16,"dddd")</f>
        <v>Wednesday</v>
      </c>
      <c r="B57" s="13" t="n">
        <f aca="false">Setup!$C$5+16</f>
        <v>46043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TEXT(Setup!$C$5+16,"dddd")</f>
        <v>Wednesday</v>
      </c>
      <c r="B58" s="13" t="n">
        <f aca="false">Setup!$C$5+16</f>
        <v>46043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TEXT(Setup!$C$5+16,"dddd")</f>
        <v>Wednesday</v>
      </c>
      <c r="B59" s="13" t="n">
        <f aca="false">Setup!$C$5+16</f>
        <v>46043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TEXT(Setup!$C$5+16,"dddd")</f>
        <v>Wednesday</v>
      </c>
      <c r="B60" s="13" t="n">
        <f aca="false">Setup!$C$5+16</f>
        <v>46043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TEXT(Setup!$C$5+16,"dddd")</f>
        <v>Wednesday</v>
      </c>
      <c r="B61" s="13" t="n">
        <f aca="false">Setup!$C$5+16</f>
        <v>46043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TEXT(Setup!$C$5+16,"dddd")</f>
        <v>Wednesday</v>
      </c>
      <c r="B62" s="13" t="n">
        <f aca="false">Setup!$C$5+16</f>
        <v>46043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TEXT(Setup!$C$5+16,"dddd")</f>
        <v>Wednesday</v>
      </c>
      <c r="B63" s="13" t="n">
        <f aca="false">Setup!$C$5+16</f>
        <v>46043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TEXT(Setup!$C$5+16,"dddd")</f>
        <v>Wednesday</v>
      </c>
      <c r="B64" s="13" t="n">
        <f aca="false">Setup!$C$5+16</f>
        <v>46043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TEXT(Setup!$C$5+16,"dddd")</f>
        <v>Wednesday</v>
      </c>
      <c r="B65" s="13" t="n">
        <f aca="false">Setup!$C$5+16</f>
        <v>46043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TEXT(Setup!$C$5+16,"dddd")</f>
        <v>Wednesday</v>
      </c>
      <c r="B66" s="13" t="n">
        <f aca="false">Setup!$C$5+16</f>
        <v>46043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TEXT(Setup!$C$5+16,"dddd")</f>
        <v>Wednesday</v>
      </c>
      <c r="B67" s="23" t="n">
        <f aca="false">Setup!$C$5+16</f>
        <v>46043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IFERROR(H67-Wk2!H67,"")</f>
        <v>0</v>
      </c>
      <c r="O67" s="24" t="n">
        <f aca="false">IFERROR(D67-Wk2!D67,"")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TEXT(Setup!$C$5+17,"dddd")</f>
        <v>Thursday</v>
      </c>
      <c r="B68" s="13" t="n">
        <f aca="false">Setup!$C$5+17</f>
        <v>46044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TEXT(Setup!$C$5+17,"dddd")</f>
        <v>Thursday</v>
      </c>
      <c r="B69" s="13" t="n">
        <f aca="false">Setup!$C$5+17</f>
        <v>46044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TEXT(Setup!$C$5+17,"dddd")</f>
        <v>Thursday</v>
      </c>
      <c r="B70" s="13" t="n">
        <f aca="false">Setup!$C$5+17</f>
        <v>46044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TEXT(Setup!$C$5+17,"dddd")</f>
        <v>Thursday</v>
      </c>
      <c r="B71" s="13" t="n">
        <f aca="false">Setup!$C$5+17</f>
        <v>46044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TEXT(Setup!$C$5+17,"dddd")</f>
        <v>Thursday</v>
      </c>
      <c r="B72" s="13" t="n">
        <f aca="false">Setup!$C$5+17</f>
        <v>46044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TEXT(Setup!$C$5+17,"dddd")</f>
        <v>Thursday</v>
      </c>
      <c r="B73" s="13" t="n">
        <f aca="false">Setup!$C$5+17</f>
        <v>46044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TEXT(Setup!$C$5+17,"dddd")</f>
        <v>Thursday</v>
      </c>
      <c r="B74" s="13" t="n">
        <f aca="false">Setup!$C$5+17</f>
        <v>46044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TEXT(Setup!$C$5+17,"dddd")</f>
        <v>Thursday</v>
      </c>
      <c r="B75" s="13" t="n">
        <f aca="false">Setup!$C$5+17</f>
        <v>46044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TEXT(Setup!$C$5+17,"dddd")</f>
        <v>Thursday</v>
      </c>
      <c r="B76" s="13" t="n">
        <f aca="false">Setup!$C$5+17</f>
        <v>46044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TEXT(Setup!$C$5+17,"dddd")</f>
        <v>Thursday</v>
      </c>
      <c r="B77" s="13" t="n">
        <f aca="false">Setup!$C$5+17</f>
        <v>46044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TEXT(Setup!$C$5+17,"dddd")</f>
        <v>Thursday</v>
      </c>
      <c r="B78" s="13" t="n">
        <f aca="false">Setup!$C$5+17</f>
        <v>46044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TEXT(Setup!$C$5+17,"dddd")</f>
        <v>Thursday</v>
      </c>
      <c r="B79" s="13" t="n">
        <f aca="false">Setup!$C$5+17</f>
        <v>46044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TEXT(Setup!$C$5+17,"dddd")</f>
        <v>Thursday</v>
      </c>
      <c r="B80" s="13" t="n">
        <f aca="false">Setup!$C$5+17</f>
        <v>46044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TEXT(Setup!$C$5+17,"dddd")</f>
        <v>Thursday</v>
      </c>
      <c r="B81" s="13" t="n">
        <f aca="false">Setup!$C$5+17</f>
        <v>46044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TEXT(Setup!$C$5+17,"dddd")</f>
        <v>Thursday</v>
      </c>
      <c r="B82" s="13" t="n">
        <f aca="false">Setup!$C$5+17</f>
        <v>46044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TEXT(Setup!$C$5+17,"dddd")</f>
        <v>Thursday</v>
      </c>
      <c r="B83" s="13" t="n">
        <f aca="false">Setup!$C$5+17</f>
        <v>46044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TEXT(Setup!$C$5+17,"dddd")</f>
        <v>Thursday</v>
      </c>
      <c r="B84" s="13" t="n">
        <f aca="false">Setup!$C$5+17</f>
        <v>46044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TEXT(Setup!$C$5+17,"dddd")</f>
        <v>Thursday</v>
      </c>
      <c r="B85" s="13" t="n">
        <f aca="false">Setup!$C$5+17</f>
        <v>46044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TEXT(Setup!$C$5+17,"dddd")</f>
        <v>Thursday</v>
      </c>
      <c r="B86" s="13" t="n">
        <f aca="false">Setup!$C$5+17</f>
        <v>46044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TEXT(Setup!$C$5+17,"dddd")</f>
        <v>Thursday</v>
      </c>
      <c r="B87" s="13" t="n">
        <f aca="false">Setup!$C$5+17</f>
        <v>46044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TEXT(Setup!$C$5+17,"dddd")</f>
        <v>Thursday</v>
      </c>
      <c r="B88" s="13" t="n">
        <f aca="false">Setup!$C$5+17</f>
        <v>46044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TEXT(Setup!$C$5+17,"dddd")</f>
        <v>Thursday</v>
      </c>
      <c r="B89" s="23" t="n">
        <f aca="false">Setup!$C$5+17</f>
        <v>46044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IFERROR(H89-Wk2!H89,"")</f>
        <v>0</v>
      </c>
      <c r="O89" s="24" t="n">
        <f aca="false">IFERROR(D89-Wk2!D89,"")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TEXT(Setup!$C$5+18,"dddd")</f>
        <v>Friday</v>
      </c>
      <c r="B90" s="13" t="n">
        <f aca="false">Setup!$C$5+18</f>
        <v>46045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TEXT(Setup!$C$5+18,"dddd")</f>
        <v>Friday</v>
      </c>
      <c r="B91" s="13" t="n">
        <f aca="false">Setup!$C$5+18</f>
        <v>46045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TEXT(Setup!$C$5+18,"dddd")</f>
        <v>Friday</v>
      </c>
      <c r="B92" s="13" t="n">
        <f aca="false">Setup!$C$5+18</f>
        <v>46045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TEXT(Setup!$C$5+18,"dddd")</f>
        <v>Friday</v>
      </c>
      <c r="B93" s="13" t="n">
        <f aca="false">Setup!$C$5+18</f>
        <v>46045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TEXT(Setup!$C$5+18,"dddd")</f>
        <v>Friday</v>
      </c>
      <c r="B94" s="13" t="n">
        <f aca="false">Setup!$C$5+18</f>
        <v>46045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TEXT(Setup!$C$5+18,"dddd")</f>
        <v>Friday</v>
      </c>
      <c r="B95" s="13" t="n">
        <f aca="false">Setup!$C$5+18</f>
        <v>46045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TEXT(Setup!$C$5+18,"dddd")</f>
        <v>Friday</v>
      </c>
      <c r="B96" s="13" t="n">
        <f aca="false">Setup!$C$5+18</f>
        <v>46045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TEXT(Setup!$C$5+18,"dddd")</f>
        <v>Friday</v>
      </c>
      <c r="B97" s="13" t="n">
        <f aca="false">Setup!$C$5+18</f>
        <v>46045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TEXT(Setup!$C$5+18,"dddd")</f>
        <v>Friday</v>
      </c>
      <c r="B98" s="13" t="n">
        <f aca="false">Setup!$C$5+18</f>
        <v>46045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TEXT(Setup!$C$5+18,"dddd")</f>
        <v>Friday</v>
      </c>
      <c r="B99" s="13" t="n">
        <f aca="false">Setup!$C$5+18</f>
        <v>46045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TEXT(Setup!$C$5+18,"dddd")</f>
        <v>Friday</v>
      </c>
      <c r="B100" s="13" t="n">
        <f aca="false">Setup!$C$5+18</f>
        <v>46045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TEXT(Setup!$C$5+18,"dddd")</f>
        <v>Friday</v>
      </c>
      <c r="B101" s="13" t="n">
        <f aca="false">Setup!$C$5+18</f>
        <v>46045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TEXT(Setup!$C$5+18,"dddd")</f>
        <v>Friday</v>
      </c>
      <c r="B102" s="13" t="n">
        <f aca="false">Setup!$C$5+18</f>
        <v>46045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TEXT(Setup!$C$5+18,"dddd")</f>
        <v>Friday</v>
      </c>
      <c r="B103" s="13" t="n">
        <f aca="false">Setup!$C$5+18</f>
        <v>46045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TEXT(Setup!$C$5+18,"dddd")</f>
        <v>Friday</v>
      </c>
      <c r="B104" s="13" t="n">
        <f aca="false">Setup!$C$5+18</f>
        <v>46045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TEXT(Setup!$C$5+18,"dddd")</f>
        <v>Friday</v>
      </c>
      <c r="B105" s="13" t="n">
        <f aca="false">Setup!$C$5+18</f>
        <v>46045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TEXT(Setup!$C$5+18,"dddd")</f>
        <v>Friday</v>
      </c>
      <c r="B106" s="13" t="n">
        <f aca="false">Setup!$C$5+18</f>
        <v>46045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TEXT(Setup!$C$5+18,"dddd")</f>
        <v>Friday</v>
      </c>
      <c r="B107" s="13" t="n">
        <f aca="false">Setup!$C$5+18</f>
        <v>46045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TEXT(Setup!$C$5+18,"dddd")</f>
        <v>Friday</v>
      </c>
      <c r="B108" s="13" t="n">
        <f aca="false">Setup!$C$5+18</f>
        <v>46045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TEXT(Setup!$C$5+18,"dddd")</f>
        <v>Friday</v>
      </c>
      <c r="B109" s="13" t="n">
        <f aca="false">Setup!$C$5+18</f>
        <v>46045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TEXT(Setup!$C$5+18,"dddd")</f>
        <v>Friday</v>
      </c>
      <c r="B110" s="13" t="n">
        <f aca="false">Setup!$C$5+18</f>
        <v>46045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TEXT(Setup!$C$5+18,"dddd")</f>
        <v>Friday</v>
      </c>
      <c r="B111" s="23" t="n">
        <f aca="false">Setup!$C$5+18</f>
        <v>46045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IFERROR(H111-Wk2!H111,"")</f>
        <v>0</v>
      </c>
      <c r="O111" s="24" t="n">
        <f aca="false">IFERROR(D111-Wk2!D111,"")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TEXT(Setup!$C$5+19,"dddd")</f>
        <v>Saturday</v>
      </c>
      <c r="B112" s="13" t="n">
        <f aca="false">Setup!$C$5+19</f>
        <v>46046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TEXT(Setup!$C$5+19,"dddd")</f>
        <v>Saturday</v>
      </c>
      <c r="B113" s="13" t="n">
        <f aca="false">Setup!$C$5+19</f>
        <v>46046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TEXT(Setup!$C$5+19,"dddd")</f>
        <v>Saturday</v>
      </c>
      <c r="B114" s="13" t="n">
        <f aca="false">Setup!$C$5+19</f>
        <v>46046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TEXT(Setup!$C$5+19,"dddd")</f>
        <v>Saturday</v>
      </c>
      <c r="B115" s="13" t="n">
        <f aca="false">Setup!$C$5+19</f>
        <v>46046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TEXT(Setup!$C$5+19,"dddd")</f>
        <v>Saturday</v>
      </c>
      <c r="B116" s="13" t="n">
        <f aca="false">Setup!$C$5+19</f>
        <v>46046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TEXT(Setup!$C$5+19,"dddd")</f>
        <v>Saturday</v>
      </c>
      <c r="B117" s="13" t="n">
        <f aca="false">Setup!$C$5+19</f>
        <v>46046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TEXT(Setup!$C$5+19,"dddd")</f>
        <v>Saturday</v>
      </c>
      <c r="B118" s="13" t="n">
        <f aca="false">Setup!$C$5+19</f>
        <v>46046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TEXT(Setup!$C$5+19,"dddd")</f>
        <v>Saturday</v>
      </c>
      <c r="B119" s="13" t="n">
        <f aca="false">Setup!$C$5+19</f>
        <v>46046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TEXT(Setup!$C$5+19,"dddd")</f>
        <v>Saturday</v>
      </c>
      <c r="B120" s="13" t="n">
        <f aca="false">Setup!$C$5+19</f>
        <v>46046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TEXT(Setup!$C$5+19,"dddd")</f>
        <v>Saturday</v>
      </c>
      <c r="B121" s="13" t="n">
        <f aca="false">Setup!$C$5+19</f>
        <v>46046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TEXT(Setup!$C$5+19,"dddd")</f>
        <v>Saturday</v>
      </c>
      <c r="B122" s="13" t="n">
        <f aca="false">Setup!$C$5+19</f>
        <v>46046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TEXT(Setup!$C$5+19,"dddd")</f>
        <v>Saturday</v>
      </c>
      <c r="B123" s="13" t="n">
        <f aca="false">Setup!$C$5+19</f>
        <v>46046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TEXT(Setup!$C$5+19,"dddd")</f>
        <v>Saturday</v>
      </c>
      <c r="B124" s="13" t="n">
        <f aca="false">Setup!$C$5+19</f>
        <v>46046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TEXT(Setup!$C$5+19,"dddd")</f>
        <v>Saturday</v>
      </c>
      <c r="B125" s="13" t="n">
        <f aca="false">Setup!$C$5+19</f>
        <v>46046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TEXT(Setup!$C$5+19,"dddd")</f>
        <v>Saturday</v>
      </c>
      <c r="B126" s="13" t="n">
        <f aca="false">Setup!$C$5+19</f>
        <v>46046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TEXT(Setup!$C$5+19,"dddd")</f>
        <v>Saturday</v>
      </c>
      <c r="B127" s="13" t="n">
        <f aca="false">Setup!$C$5+19</f>
        <v>46046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TEXT(Setup!$C$5+19,"dddd")</f>
        <v>Saturday</v>
      </c>
      <c r="B128" s="13" t="n">
        <f aca="false">Setup!$C$5+19</f>
        <v>46046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TEXT(Setup!$C$5+19,"dddd")</f>
        <v>Saturday</v>
      </c>
      <c r="B129" s="13" t="n">
        <f aca="false">Setup!$C$5+19</f>
        <v>46046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TEXT(Setup!$C$5+19,"dddd")</f>
        <v>Saturday</v>
      </c>
      <c r="B130" s="13" t="n">
        <f aca="false">Setup!$C$5+19</f>
        <v>46046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TEXT(Setup!$C$5+19,"dddd")</f>
        <v>Saturday</v>
      </c>
      <c r="B131" s="13" t="n">
        <f aca="false">Setup!$C$5+19</f>
        <v>46046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TEXT(Setup!$C$5+19,"dddd")</f>
        <v>Saturday</v>
      </c>
      <c r="B132" s="13" t="n">
        <f aca="false">Setup!$C$5+19</f>
        <v>46046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TEXT(Setup!$C$5+19,"dddd")</f>
        <v>Saturday</v>
      </c>
      <c r="B133" s="23" t="n">
        <f aca="false">Setup!$C$5+19</f>
        <v>46046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IFERROR(H133-Wk2!H133,"")</f>
        <v>0</v>
      </c>
      <c r="O133" s="24" t="n">
        <f aca="false">IFERROR(D133-Wk2!D133,"")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TEXT(Setup!$C$5+20,"dddd")</f>
        <v>Sunday</v>
      </c>
      <c r="B134" s="13" t="n">
        <f aca="false">Setup!$C$5+20</f>
        <v>46047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TEXT(Setup!$C$5+20,"dddd")</f>
        <v>Sunday</v>
      </c>
      <c r="B135" s="13" t="n">
        <f aca="false">Setup!$C$5+20</f>
        <v>46047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TEXT(Setup!$C$5+20,"dddd")</f>
        <v>Sunday</v>
      </c>
      <c r="B136" s="13" t="n">
        <f aca="false">Setup!$C$5+20</f>
        <v>46047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TEXT(Setup!$C$5+20,"dddd")</f>
        <v>Sunday</v>
      </c>
      <c r="B137" s="13" t="n">
        <f aca="false">Setup!$C$5+20</f>
        <v>46047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TEXT(Setup!$C$5+20,"dddd")</f>
        <v>Sunday</v>
      </c>
      <c r="B138" s="13" t="n">
        <f aca="false">Setup!$C$5+20</f>
        <v>46047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TEXT(Setup!$C$5+20,"dddd")</f>
        <v>Sunday</v>
      </c>
      <c r="B139" s="13" t="n">
        <f aca="false">Setup!$C$5+20</f>
        <v>46047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TEXT(Setup!$C$5+20,"dddd")</f>
        <v>Sunday</v>
      </c>
      <c r="B140" s="13" t="n">
        <f aca="false">Setup!$C$5+20</f>
        <v>46047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TEXT(Setup!$C$5+20,"dddd")</f>
        <v>Sunday</v>
      </c>
      <c r="B141" s="13" t="n">
        <f aca="false">Setup!$C$5+20</f>
        <v>46047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TEXT(Setup!$C$5+20,"dddd")</f>
        <v>Sunday</v>
      </c>
      <c r="B142" s="13" t="n">
        <f aca="false">Setup!$C$5+20</f>
        <v>46047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TEXT(Setup!$C$5+20,"dddd")</f>
        <v>Sunday</v>
      </c>
      <c r="B143" s="13" t="n">
        <f aca="false">Setup!$C$5+20</f>
        <v>46047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TEXT(Setup!$C$5+20,"dddd")</f>
        <v>Sunday</v>
      </c>
      <c r="B144" s="13" t="n">
        <f aca="false">Setup!$C$5+20</f>
        <v>46047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TEXT(Setup!$C$5+20,"dddd")</f>
        <v>Sunday</v>
      </c>
      <c r="B145" s="13" t="n">
        <f aca="false">Setup!$C$5+20</f>
        <v>46047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TEXT(Setup!$C$5+20,"dddd")</f>
        <v>Sunday</v>
      </c>
      <c r="B146" s="13" t="n">
        <f aca="false">Setup!$C$5+20</f>
        <v>46047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TEXT(Setup!$C$5+20,"dddd")</f>
        <v>Sunday</v>
      </c>
      <c r="B147" s="13" t="n">
        <f aca="false">Setup!$C$5+20</f>
        <v>46047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TEXT(Setup!$C$5+20,"dddd")</f>
        <v>Sunday</v>
      </c>
      <c r="B148" s="13" t="n">
        <f aca="false">Setup!$C$5+20</f>
        <v>46047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TEXT(Setup!$C$5+20,"dddd")</f>
        <v>Sunday</v>
      </c>
      <c r="B149" s="13" t="n">
        <f aca="false">Setup!$C$5+20</f>
        <v>46047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TEXT(Setup!$C$5+20,"dddd")</f>
        <v>Sunday</v>
      </c>
      <c r="B150" s="13" t="n">
        <f aca="false">Setup!$C$5+20</f>
        <v>46047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TEXT(Setup!$C$5+20,"dddd")</f>
        <v>Sunday</v>
      </c>
      <c r="B151" s="13" t="n">
        <f aca="false">Setup!$C$5+20</f>
        <v>46047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TEXT(Setup!$C$5+20,"dddd")</f>
        <v>Sunday</v>
      </c>
      <c r="B152" s="13" t="n">
        <f aca="false">Setup!$C$5+20</f>
        <v>46047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TEXT(Setup!$C$5+20,"dddd")</f>
        <v>Sunday</v>
      </c>
      <c r="B153" s="13" t="n">
        <f aca="false">Setup!$C$5+20</f>
        <v>46047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TEXT(Setup!$C$5+20,"dddd")</f>
        <v>Sunday</v>
      </c>
      <c r="B154" s="13" t="n">
        <f aca="false">Setup!$C$5+20</f>
        <v>46047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TEXT(Setup!$C$5+20,"dddd")</f>
        <v>Sunday</v>
      </c>
      <c r="B155" s="23" t="n">
        <f aca="false">Setup!$C$5+20</f>
        <v>46047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IFERROR(H155-Wk2!H155,"")</f>
        <v>0</v>
      </c>
      <c r="O155" s="24" t="n">
        <f aca="false">IFERROR(D155-Wk2!D155,"")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IFERROR(D156-Wk2!D156,"")</f>
        <v>0</v>
      </c>
      <c r="E157" s="34" t="n">
        <f aca="false">IFERROR(E156-Wk2!E156,"")</f>
        <v>0</v>
      </c>
      <c r="H157" s="32" t="n">
        <f aca="false">IFERROR(H156-Wk2!H156,"")</f>
        <v>0</v>
      </c>
      <c r="K157" s="32" t="n">
        <f aca="false">IFERROR(K156-Wk2!K156,"")</f>
        <v>0</v>
      </c>
      <c r="M157" s="32" t="n">
        <f aca="false">IFERROR(M156-Wk2!M156,"")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TEXT(Setup!$C$5+21,"dddd")</f>
        <v>Monday</v>
      </c>
      <c r="B2" s="13" t="n">
        <f aca="false">Setup!$C$5+21</f>
        <v>46048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TEXT(Setup!$C$5+21,"dddd")</f>
        <v>Monday</v>
      </c>
      <c r="B3" s="13" t="n">
        <f aca="false">Setup!$C$5+21</f>
        <v>46048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TEXT(Setup!$C$5+21,"dddd")</f>
        <v>Monday</v>
      </c>
      <c r="B4" s="13" t="n">
        <f aca="false">Setup!$C$5+21</f>
        <v>46048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TEXT(Setup!$C$5+21,"dddd")</f>
        <v>Monday</v>
      </c>
      <c r="B5" s="13" t="n">
        <f aca="false">Setup!$C$5+21</f>
        <v>46048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TEXT(Setup!$C$5+21,"dddd")</f>
        <v>Monday</v>
      </c>
      <c r="B6" s="13" t="n">
        <f aca="false">Setup!$C$5+21</f>
        <v>46048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TEXT(Setup!$C$5+21,"dddd")</f>
        <v>Monday</v>
      </c>
      <c r="B7" s="13" t="n">
        <f aca="false">Setup!$C$5+21</f>
        <v>46048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TEXT(Setup!$C$5+21,"dddd")</f>
        <v>Monday</v>
      </c>
      <c r="B8" s="13" t="n">
        <f aca="false">Setup!$C$5+21</f>
        <v>46048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TEXT(Setup!$C$5+21,"dddd")</f>
        <v>Monday</v>
      </c>
      <c r="B9" s="13" t="n">
        <f aca="false">Setup!$C$5+21</f>
        <v>46048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TEXT(Setup!$C$5+21,"dddd")</f>
        <v>Monday</v>
      </c>
      <c r="B10" s="13" t="n">
        <f aca="false">Setup!$C$5+21</f>
        <v>46048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TEXT(Setup!$C$5+21,"dddd")</f>
        <v>Monday</v>
      </c>
      <c r="B11" s="13" t="n">
        <f aca="false">Setup!$C$5+21</f>
        <v>46048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TEXT(Setup!$C$5+21,"dddd")</f>
        <v>Monday</v>
      </c>
      <c r="B12" s="13" t="n">
        <f aca="false">Setup!$C$5+21</f>
        <v>46048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TEXT(Setup!$C$5+21,"dddd")</f>
        <v>Monday</v>
      </c>
      <c r="B13" s="13" t="n">
        <f aca="false">Setup!$C$5+21</f>
        <v>46048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TEXT(Setup!$C$5+21,"dddd")</f>
        <v>Monday</v>
      </c>
      <c r="B14" s="13" t="n">
        <f aca="false">Setup!$C$5+21</f>
        <v>46048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TEXT(Setup!$C$5+21,"dddd")</f>
        <v>Monday</v>
      </c>
      <c r="B15" s="13" t="n">
        <f aca="false">Setup!$C$5+21</f>
        <v>46048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TEXT(Setup!$C$5+21,"dddd")</f>
        <v>Monday</v>
      </c>
      <c r="B16" s="13" t="n">
        <f aca="false">Setup!$C$5+21</f>
        <v>46048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TEXT(Setup!$C$5+21,"dddd")</f>
        <v>Monday</v>
      </c>
      <c r="B17" s="13" t="n">
        <f aca="false">Setup!$C$5+21</f>
        <v>46048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TEXT(Setup!$C$5+21,"dddd")</f>
        <v>Monday</v>
      </c>
      <c r="B18" s="13" t="n">
        <f aca="false">Setup!$C$5+21</f>
        <v>46048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TEXT(Setup!$C$5+21,"dddd")</f>
        <v>Monday</v>
      </c>
      <c r="B19" s="13" t="n">
        <f aca="false">Setup!$C$5+21</f>
        <v>46048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TEXT(Setup!$C$5+21,"dddd")</f>
        <v>Monday</v>
      </c>
      <c r="B20" s="13" t="n">
        <f aca="false">Setup!$C$5+21</f>
        <v>46048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TEXT(Setup!$C$5+21,"dddd")</f>
        <v>Monday</v>
      </c>
      <c r="B21" s="13" t="n">
        <f aca="false">Setup!$C$5+21</f>
        <v>46048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TEXT(Setup!$C$5+21,"dddd")</f>
        <v>Monday</v>
      </c>
      <c r="B22" s="13" t="n">
        <f aca="false">Setup!$C$5+21</f>
        <v>46048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TEXT(Setup!$C$5+21,"dddd")</f>
        <v>Monday</v>
      </c>
      <c r="B23" s="23" t="n">
        <f aca="false">Setup!$C$5+21</f>
        <v>46048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IFERROR(H23-Wk3!H23,"")</f>
        <v>0</v>
      </c>
      <c r="O23" s="24" t="n">
        <f aca="false">IFERROR(D23-Wk3!D23,"")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TEXT(Setup!$C$5+22,"dddd")</f>
        <v>Tuesday</v>
      </c>
      <c r="B24" s="13" t="n">
        <f aca="false">Setup!$C$5+22</f>
        <v>46049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TEXT(Setup!$C$5+22,"dddd")</f>
        <v>Tuesday</v>
      </c>
      <c r="B25" s="13" t="n">
        <f aca="false">Setup!$C$5+22</f>
        <v>46049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TEXT(Setup!$C$5+22,"dddd")</f>
        <v>Tuesday</v>
      </c>
      <c r="B26" s="13" t="n">
        <f aca="false">Setup!$C$5+22</f>
        <v>46049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TEXT(Setup!$C$5+22,"dddd")</f>
        <v>Tuesday</v>
      </c>
      <c r="B27" s="13" t="n">
        <f aca="false">Setup!$C$5+22</f>
        <v>46049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TEXT(Setup!$C$5+22,"dddd")</f>
        <v>Tuesday</v>
      </c>
      <c r="B28" s="13" t="n">
        <f aca="false">Setup!$C$5+22</f>
        <v>46049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TEXT(Setup!$C$5+22,"dddd")</f>
        <v>Tuesday</v>
      </c>
      <c r="B29" s="13" t="n">
        <f aca="false">Setup!$C$5+22</f>
        <v>46049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TEXT(Setup!$C$5+22,"dddd")</f>
        <v>Tuesday</v>
      </c>
      <c r="B30" s="13" t="n">
        <f aca="false">Setup!$C$5+22</f>
        <v>46049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TEXT(Setup!$C$5+22,"dddd")</f>
        <v>Tuesday</v>
      </c>
      <c r="B31" s="13" t="n">
        <f aca="false">Setup!$C$5+22</f>
        <v>46049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TEXT(Setup!$C$5+22,"dddd")</f>
        <v>Tuesday</v>
      </c>
      <c r="B32" s="13" t="n">
        <f aca="false">Setup!$C$5+22</f>
        <v>46049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TEXT(Setup!$C$5+22,"dddd")</f>
        <v>Tuesday</v>
      </c>
      <c r="B33" s="13" t="n">
        <f aca="false">Setup!$C$5+22</f>
        <v>46049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TEXT(Setup!$C$5+22,"dddd")</f>
        <v>Tuesday</v>
      </c>
      <c r="B34" s="13" t="n">
        <f aca="false">Setup!$C$5+22</f>
        <v>46049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TEXT(Setup!$C$5+22,"dddd")</f>
        <v>Tuesday</v>
      </c>
      <c r="B35" s="13" t="n">
        <f aca="false">Setup!$C$5+22</f>
        <v>46049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TEXT(Setup!$C$5+22,"dddd")</f>
        <v>Tuesday</v>
      </c>
      <c r="B36" s="13" t="n">
        <f aca="false">Setup!$C$5+22</f>
        <v>46049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TEXT(Setup!$C$5+22,"dddd")</f>
        <v>Tuesday</v>
      </c>
      <c r="B37" s="13" t="n">
        <f aca="false">Setup!$C$5+22</f>
        <v>46049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TEXT(Setup!$C$5+22,"dddd")</f>
        <v>Tuesday</v>
      </c>
      <c r="B38" s="13" t="n">
        <f aca="false">Setup!$C$5+22</f>
        <v>46049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TEXT(Setup!$C$5+22,"dddd")</f>
        <v>Tuesday</v>
      </c>
      <c r="B39" s="13" t="n">
        <f aca="false">Setup!$C$5+22</f>
        <v>46049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TEXT(Setup!$C$5+22,"dddd")</f>
        <v>Tuesday</v>
      </c>
      <c r="B40" s="13" t="n">
        <f aca="false">Setup!$C$5+22</f>
        <v>46049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TEXT(Setup!$C$5+22,"dddd")</f>
        <v>Tuesday</v>
      </c>
      <c r="B41" s="13" t="n">
        <f aca="false">Setup!$C$5+22</f>
        <v>46049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TEXT(Setup!$C$5+22,"dddd")</f>
        <v>Tuesday</v>
      </c>
      <c r="B42" s="13" t="n">
        <f aca="false">Setup!$C$5+22</f>
        <v>46049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TEXT(Setup!$C$5+22,"dddd")</f>
        <v>Tuesday</v>
      </c>
      <c r="B43" s="13" t="n">
        <f aca="false">Setup!$C$5+22</f>
        <v>46049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TEXT(Setup!$C$5+22,"dddd")</f>
        <v>Tuesday</v>
      </c>
      <c r="B44" s="13" t="n">
        <f aca="false">Setup!$C$5+22</f>
        <v>46049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TEXT(Setup!$C$5+22,"dddd")</f>
        <v>Tuesday</v>
      </c>
      <c r="B45" s="23" t="n">
        <f aca="false">Setup!$C$5+22</f>
        <v>46049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IFERROR(H45-Wk3!H45,"")</f>
        <v>0</v>
      </c>
      <c r="O45" s="24" t="n">
        <f aca="false">IFERROR(D45-Wk3!D45,"")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TEXT(Setup!$C$5+23,"dddd")</f>
        <v>Wednesday</v>
      </c>
      <c r="B46" s="13" t="n">
        <f aca="false">Setup!$C$5+23</f>
        <v>46050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TEXT(Setup!$C$5+23,"dddd")</f>
        <v>Wednesday</v>
      </c>
      <c r="B47" s="13" t="n">
        <f aca="false">Setup!$C$5+23</f>
        <v>46050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TEXT(Setup!$C$5+23,"dddd")</f>
        <v>Wednesday</v>
      </c>
      <c r="B48" s="13" t="n">
        <f aca="false">Setup!$C$5+23</f>
        <v>46050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TEXT(Setup!$C$5+23,"dddd")</f>
        <v>Wednesday</v>
      </c>
      <c r="B49" s="13" t="n">
        <f aca="false">Setup!$C$5+23</f>
        <v>46050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TEXT(Setup!$C$5+23,"dddd")</f>
        <v>Wednesday</v>
      </c>
      <c r="B50" s="13" t="n">
        <f aca="false">Setup!$C$5+23</f>
        <v>46050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TEXT(Setup!$C$5+23,"dddd")</f>
        <v>Wednesday</v>
      </c>
      <c r="B51" s="13" t="n">
        <f aca="false">Setup!$C$5+23</f>
        <v>46050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TEXT(Setup!$C$5+23,"dddd")</f>
        <v>Wednesday</v>
      </c>
      <c r="B52" s="13" t="n">
        <f aca="false">Setup!$C$5+23</f>
        <v>46050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TEXT(Setup!$C$5+23,"dddd")</f>
        <v>Wednesday</v>
      </c>
      <c r="B53" s="13" t="n">
        <f aca="false">Setup!$C$5+23</f>
        <v>46050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TEXT(Setup!$C$5+23,"dddd")</f>
        <v>Wednesday</v>
      </c>
      <c r="B54" s="13" t="n">
        <f aca="false">Setup!$C$5+23</f>
        <v>46050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TEXT(Setup!$C$5+23,"dddd")</f>
        <v>Wednesday</v>
      </c>
      <c r="B55" s="13" t="n">
        <f aca="false">Setup!$C$5+23</f>
        <v>46050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TEXT(Setup!$C$5+23,"dddd")</f>
        <v>Wednesday</v>
      </c>
      <c r="B56" s="13" t="n">
        <f aca="false">Setup!$C$5+23</f>
        <v>46050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TEXT(Setup!$C$5+23,"dddd")</f>
        <v>Wednesday</v>
      </c>
      <c r="B57" s="13" t="n">
        <f aca="false">Setup!$C$5+23</f>
        <v>46050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TEXT(Setup!$C$5+23,"dddd")</f>
        <v>Wednesday</v>
      </c>
      <c r="B58" s="13" t="n">
        <f aca="false">Setup!$C$5+23</f>
        <v>46050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TEXT(Setup!$C$5+23,"dddd")</f>
        <v>Wednesday</v>
      </c>
      <c r="B59" s="13" t="n">
        <f aca="false">Setup!$C$5+23</f>
        <v>46050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TEXT(Setup!$C$5+23,"dddd")</f>
        <v>Wednesday</v>
      </c>
      <c r="B60" s="13" t="n">
        <f aca="false">Setup!$C$5+23</f>
        <v>46050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TEXT(Setup!$C$5+23,"dddd")</f>
        <v>Wednesday</v>
      </c>
      <c r="B61" s="13" t="n">
        <f aca="false">Setup!$C$5+23</f>
        <v>46050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TEXT(Setup!$C$5+23,"dddd")</f>
        <v>Wednesday</v>
      </c>
      <c r="B62" s="13" t="n">
        <f aca="false">Setup!$C$5+23</f>
        <v>46050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TEXT(Setup!$C$5+23,"dddd")</f>
        <v>Wednesday</v>
      </c>
      <c r="B63" s="13" t="n">
        <f aca="false">Setup!$C$5+23</f>
        <v>46050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TEXT(Setup!$C$5+23,"dddd")</f>
        <v>Wednesday</v>
      </c>
      <c r="B64" s="13" t="n">
        <f aca="false">Setup!$C$5+23</f>
        <v>46050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TEXT(Setup!$C$5+23,"dddd")</f>
        <v>Wednesday</v>
      </c>
      <c r="B65" s="13" t="n">
        <f aca="false">Setup!$C$5+23</f>
        <v>46050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TEXT(Setup!$C$5+23,"dddd")</f>
        <v>Wednesday</v>
      </c>
      <c r="B66" s="13" t="n">
        <f aca="false">Setup!$C$5+23</f>
        <v>46050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TEXT(Setup!$C$5+23,"dddd")</f>
        <v>Wednesday</v>
      </c>
      <c r="B67" s="23" t="n">
        <f aca="false">Setup!$C$5+23</f>
        <v>46050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IFERROR(H67-Wk3!H67,"")</f>
        <v>0</v>
      </c>
      <c r="O67" s="24" t="n">
        <f aca="false">IFERROR(D67-Wk3!D67,"")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TEXT(Setup!$C$5+24,"dddd")</f>
        <v>Thursday</v>
      </c>
      <c r="B68" s="13" t="n">
        <f aca="false">Setup!$C$5+24</f>
        <v>46051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TEXT(Setup!$C$5+24,"dddd")</f>
        <v>Thursday</v>
      </c>
      <c r="B69" s="13" t="n">
        <f aca="false">Setup!$C$5+24</f>
        <v>46051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TEXT(Setup!$C$5+24,"dddd")</f>
        <v>Thursday</v>
      </c>
      <c r="B70" s="13" t="n">
        <f aca="false">Setup!$C$5+24</f>
        <v>46051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TEXT(Setup!$C$5+24,"dddd")</f>
        <v>Thursday</v>
      </c>
      <c r="B71" s="13" t="n">
        <f aca="false">Setup!$C$5+24</f>
        <v>46051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TEXT(Setup!$C$5+24,"dddd")</f>
        <v>Thursday</v>
      </c>
      <c r="B72" s="13" t="n">
        <f aca="false">Setup!$C$5+24</f>
        <v>46051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TEXT(Setup!$C$5+24,"dddd")</f>
        <v>Thursday</v>
      </c>
      <c r="B73" s="13" t="n">
        <f aca="false">Setup!$C$5+24</f>
        <v>46051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TEXT(Setup!$C$5+24,"dddd")</f>
        <v>Thursday</v>
      </c>
      <c r="B74" s="13" t="n">
        <f aca="false">Setup!$C$5+24</f>
        <v>46051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TEXT(Setup!$C$5+24,"dddd")</f>
        <v>Thursday</v>
      </c>
      <c r="B75" s="13" t="n">
        <f aca="false">Setup!$C$5+24</f>
        <v>46051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TEXT(Setup!$C$5+24,"dddd")</f>
        <v>Thursday</v>
      </c>
      <c r="B76" s="13" t="n">
        <f aca="false">Setup!$C$5+24</f>
        <v>46051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TEXT(Setup!$C$5+24,"dddd")</f>
        <v>Thursday</v>
      </c>
      <c r="B77" s="13" t="n">
        <f aca="false">Setup!$C$5+24</f>
        <v>46051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TEXT(Setup!$C$5+24,"dddd")</f>
        <v>Thursday</v>
      </c>
      <c r="B78" s="13" t="n">
        <f aca="false">Setup!$C$5+24</f>
        <v>46051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TEXT(Setup!$C$5+24,"dddd")</f>
        <v>Thursday</v>
      </c>
      <c r="B79" s="13" t="n">
        <f aca="false">Setup!$C$5+24</f>
        <v>46051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TEXT(Setup!$C$5+24,"dddd")</f>
        <v>Thursday</v>
      </c>
      <c r="B80" s="13" t="n">
        <f aca="false">Setup!$C$5+24</f>
        <v>46051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TEXT(Setup!$C$5+24,"dddd")</f>
        <v>Thursday</v>
      </c>
      <c r="B81" s="13" t="n">
        <f aca="false">Setup!$C$5+24</f>
        <v>46051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TEXT(Setup!$C$5+24,"dddd")</f>
        <v>Thursday</v>
      </c>
      <c r="B82" s="13" t="n">
        <f aca="false">Setup!$C$5+24</f>
        <v>46051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TEXT(Setup!$C$5+24,"dddd")</f>
        <v>Thursday</v>
      </c>
      <c r="B83" s="13" t="n">
        <f aca="false">Setup!$C$5+24</f>
        <v>46051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TEXT(Setup!$C$5+24,"dddd")</f>
        <v>Thursday</v>
      </c>
      <c r="B84" s="13" t="n">
        <f aca="false">Setup!$C$5+24</f>
        <v>46051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TEXT(Setup!$C$5+24,"dddd")</f>
        <v>Thursday</v>
      </c>
      <c r="B85" s="13" t="n">
        <f aca="false">Setup!$C$5+24</f>
        <v>46051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TEXT(Setup!$C$5+24,"dddd")</f>
        <v>Thursday</v>
      </c>
      <c r="B86" s="13" t="n">
        <f aca="false">Setup!$C$5+24</f>
        <v>46051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TEXT(Setup!$C$5+24,"dddd")</f>
        <v>Thursday</v>
      </c>
      <c r="B87" s="13" t="n">
        <f aca="false">Setup!$C$5+24</f>
        <v>46051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TEXT(Setup!$C$5+24,"dddd")</f>
        <v>Thursday</v>
      </c>
      <c r="B88" s="13" t="n">
        <f aca="false">Setup!$C$5+24</f>
        <v>46051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TEXT(Setup!$C$5+24,"dddd")</f>
        <v>Thursday</v>
      </c>
      <c r="B89" s="23" t="n">
        <f aca="false">Setup!$C$5+24</f>
        <v>46051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IFERROR(H89-Wk3!H89,"")</f>
        <v>0</v>
      </c>
      <c r="O89" s="24" t="n">
        <f aca="false">IFERROR(D89-Wk3!D89,"")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TEXT(Setup!$C$5+25,"dddd")</f>
        <v>Friday</v>
      </c>
      <c r="B90" s="13" t="n">
        <f aca="false">Setup!$C$5+25</f>
        <v>46052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TEXT(Setup!$C$5+25,"dddd")</f>
        <v>Friday</v>
      </c>
      <c r="B91" s="13" t="n">
        <f aca="false">Setup!$C$5+25</f>
        <v>46052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TEXT(Setup!$C$5+25,"dddd")</f>
        <v>Friday</v>
      </c>
      <c r="B92" s="13" t="n">
        <f aca="false">Setup!$C$5+25</f>
        <v>46052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TEXT(Setup!$C$5+25,"dddd")</f>
        <v>Friday</v>
      </c>
      <c r="B93" s="13" t="n">
        <f aca="false">Setup!$C$5+25</f>
        <v>46052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TEXT(Setup!$C$5+25,"dddd")</f>
        <v>Friday</v>
      </c>
      <c r="B94" s="13" t="n">
        <f aca="false">Setup!$C$5+25</f>
        <v>46052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TEXT(Setup!$C$5+25,"dddd")</f>
        <v>Friday</v>
      </c>
      <c r="B95" s="13" t="n">
        <f aca="false">Setup!$C$5+25</f>
        <v>46052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TEXT(Setup!$C$5+25,"dddd")</f>
        <v>Friday</v>
      </c>
      <c r="B96" s="13" t="n">
        <f aca="false">Setup!$C$5+25</f>
        <v>46052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TEXT(Setup!$C$5+25,"dddd")</f>
        <v>Friday</v>
      </c>
      <c r="B97" s="13" t="n">
        <f aca="false">Setup!$C$5+25</f>
        <v>46052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TEXT(Setup!$C$5+25,"dddd")</f>
        <v>Friday</v>
      </c>
      <c r="B98" s="13" t="n">
        <f aca="false">Setup!$C$5+25</f>
        <v>46052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TEXT(Setup!$C$5+25,"dddd")</f>
        <v>Friday</v>
      </c>
      <c r="B99" s="13" t="n">
        <f aca="false">Setup!$C$5+25</f>
        <v>46052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TEXT(Setup!$C$5+25,"dddd")</f>
        <v>Friday</v>
      </c>
      <c r="B100" s="13" t="n">
        <f aca="false">Setup!$C$5+25</f>
        <v>46052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TEXT(Setup!$C$5+25,"dddd")</f>
        <v>Friday</v>
      </c>
      <c r="B101" s="13" t="n">
        <f aca="false">Setup!$C$5+25</f>
        <v>46052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TEXT(Setup!$C$5+25,"dddd")</f>
        <v>Friday</v>
      </c>
      <c r="B102" s="13" t="n">
        <f aca="false">Setup!$C$5+25</f>
        <v>46052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TEXT(Setup!$C$5+25,"dddd")</f>
        <v>Friday</v>
      </c>
      <c r="B103" s="13" t="n">
        <f aca="false">Setup!$C$5+25</f>
        <v>46052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TEXT(Setup!$C$5+25,"dddd")</f>
        <v>Friday</v>
      </c>
      <c r="B104" s="13" t="n">
        <f aca="false">Setup!$C$5+25</f>
        <v>46052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TEXT(Setup!$C$5+25,"dddd")</f>
        <v>Friday</v>
      </c>
      <c r="B105" s="13" t="n">
        <f aca="false">Setup!$C$5+25</f>
        <v>46052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TEXT(Setup!$C$5+25,"dddd")</f>
        <v>Friday</v>
      </c>
      <c r="B106" s="13" t="n">
        <f aca="false">Setup!$C$5+25</f>
        <v>46052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TEXT(Setup!$C$5+25,"dddd")</f>
        <v>Friday</v>
      </c>
      <c r="B107" s="13" t="n">
        <f aca="false">Setup!$C$5+25</f>
        <v>46052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TEXT(Setup!$C$5+25,"dddd")</f>
        <v>Friday</v>
      </c>
      <c r="B108" s="13" t="n">
        <f aca="false">Setup!$C$5+25</f>
        <v>46052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TEXT(Setup!$C$5+25,"dddd")</f>
        <v>Friday</v>
      </c>
      <c r="B109" s="13" t="n">
        <f aca="false">Setup!$C$5+25</f>
        <v>46052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TEXT(Setup!$C$5+25,"dddd")</f>
        <v>Friday</v>
      </c>
      <c r="B110" s="13" t="n">
        <f aca="false">Setup!$C$5+25</f>
        <v>46052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TEXT(Setup!$C$5+25,"dddd")</f>
        <v>Friday</v>
      </c>
      <c r="B111" s="23" t="n">
        <f aca="false">Setup!$C$5+25</f>
        <v>46052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IFERROR(H111-Wk3!H111,"")</f>
        <v>0</v>
      </c>
      <c r="O111" s="24" t="n">
        <f aca="false">IFERROR(D111-Wk3!D111,"")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TEXT(Setup!$C$5+26,"dddd")</f>
        <v>Saturday</v>
      </c>
      <c r="B112" s="13" t="n">
        <f aca="false">Setup!$C$5+26</f>
        <v>46053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TEXT(Setup!$C$5+26,"dddd")</f>
        <v>Saturday</v>
      </c>
      <c r="B113" s="13" t="n">
        <f aca="false">Setup!$C$5+26</f>
        <v>46053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TEXT(Setup!$C$5+26,"dddd")</f>
        <v>Saturday</v>
      </c>
      <c r="B114" s="13" t="n">
        <f aca="false">Setup!$C$5+26</f>
        <v>46053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TEXT(Setup!$C$5+26,"dddd")</f>
        <v>Saturday</v>
      </c>
      <c r="B115" s="13" t="n">
        <f aca="false">Setup!$C$5+26</f>
        <v>46053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TEXT(Setup!$C$5+26,"dddd")</f>
        <v>Saturday</v>
      </c>
      <c r="B116" s="13" t="n">
        <f aca="false">Setup!$C$5+26</f>
        <v>46053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TEXT(Setup!$C$5+26,"dddd")</f>
        <v>Saturday</v>
      </c>
      <c r="B117" s="13" t="n">
        <f aca="false">Setup!$C$5+26</f>
        <v>46053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TEXT(Setup!$C$5+26,"dddd")</f>
        <v>Saturday</v>
      </c>
      <c r="B118" s="13" t="n">
        <f aca="false">Setup!$C$5+26</f>
        <v>46053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TEXT(Setup!$C$5+26,"dddd")</f>
        <v>Saturday</v>
      </c>
      <c r="B119" s="13" t="n">
        <f aca="false">Setup!$C$5+26</f>
        <v>46053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TEXT(Setup!$C$5+26,"dddd")</f>
        <v>Saturday</v>
      </c>
      <c r="B120" s="13" t="n">
        <f aca="false">Setup!$C$5+26</f>
        <v>46053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TEXT(Setup!$C$5+26,"dddd")</f>
        <v>Saturday</v>
      </c>
      <c r="B121" s="13" t="n">
        <f aca="false">Setup!$C$5+26</f>
        <v>46053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TEXT(Setup!$C$5+26,"dddd")</f>
        <v>Saturday</v>
      </c>
      <c r="B122" s="13" t="n">
        <f aca="false">Setup!$C$5+26</f>
        <v>46053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TEXT(Setup!$C$5+26,"dddd")</f>
        <v>Saturday</v>
      </c>
      <c r="B123" s="13" t="n">
        <f aca="false">Setup!$C$5+26</f>
        <v>46053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TEXT(Setup!$C$5+26,"dddd")</f>
        <v>Saturday</v>
      </c>
      <c r="B124" s="13" t="n">
        <f aca="false">Setup!$C$5+26</f>
        <v>46053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TEXT(Setup!$C$5+26,"dddd")</f>
        <v>Saturday</v>
      </c>
      <c r="B125" s="13" t="n">
        <f aca="false">Setup!$C$5+26</f>
        <v>46053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TEXT(Setup!$C$5+26,"dddd")</f>
        <v>Saturday</v>
      </c>
      <c r="B126" s="13" t="n">
        <f aca="false">Setup!$C$5+26</f>
        <v>46053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TEXT(Setup!$C$5+26,"dddd")</f>
        <v>Saturday</v>
      </c>
      <c r="B127" s="13" t="n">
        <f aca="false">Setup!$C$5+26</f>
        <v>46053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TEXT(Setup!$C$5+26,"dddd")</f>
        <v>Saturday</v>
      </c>
      <c r="B128" s="13" t="n">
        <f aca="false">Setup!$C$5+26</f>
        <v>46053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TEXT(Setup!$C$5+26,"dddd")</f>
        <v>Saturday</v>
      </c>
      <c r="B129" s="13" t="n">
        <f aca="false">Setup!$C$5+26</f>
        <v>46053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TEXT(Setup!$C$5+26,"dddd")</f>
        <v>Saturday</v>
      </c>
      <c r="B130" s="13" t="n">
        <f aca="false">Setup!$C$5+26</f>
        <v>46053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TEXT(Setup!$C$5+26,"dddd")</f>
        <v>Saturday</v>
      </c>
      <c r="B131" s="13" t="n">
        <f aca="false">Setup!$C$5+26</f>
        <v>46053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TEXT(Setup!$C$5+26,"dddd")</f>
        <v>Saturday</v>
      </c>
      <c r="B132" s="13" t="n">
        <f aca="false">Setup!$C$5+26</f>
        <v>46053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TEXT(Setup!$C$5+26,"dddd")</f>
        <v>Saturday</v>
      </c>
      <c r="B133" s="23" t="n">
        <f aca="false">Setup!$C$5+26</f>
        <v>46053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IFERROR(H133-Wk3!H133,"")</f>
        <v>0</v>
      </c>
      <c r="O133" s="24" t="n">
        <f aca="false">IFERROR(D133-Wk3!D133,"")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TEXT(Setup!$C$5+27,"dddd")</f>
        <v>Sunday</v>
      </c>
      <c r="B134" s="13" t="n">
        <f aca="false">Setup!$C$5+27</f>
        <v>46054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TEXT(Setup!$C$5+27,"dddd")</f>
        <v>Sunday</v>
      </c>
      <c r="B135" s="13" t="n">
        <f aca="false">Setup!$C$5+27</f>
        <v>46054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TEXT(Setup!$C$5+27,"dddd")</f>
        <v>Sunday</v>
      </c>
      <c r="B136" s="13" t="n">
        <f aca="false">Setup!$C$5+27</f>
        <v>46054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TEXT(Setup!$C$5+27,"dddd")</f>
        <v>Sunday</v>
      </c>
      <c r="B137" s="13" t="n">
        <f aca="false">Setup!$C$5+27</f>
        <v>46054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TEXT(Setup!$C$5+27,"dddd")</f>
        <v>Sunday</v>
      </c>
      <c r="B138" s="13" t="n">
        <f aca="false">Setup!$C$5+27</f>
        <v>46054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TEXT(Setup!$C$5+27,"dddd")</f>
        <v>Sunday</v>
      </c>
      <c r="B139" s="13" t="n">
        <f aca="false">Setup!$C$5+27</f>
        <v>46054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TEXT(Setup!$C$5+27,"dddd")</f>
        <v>Sunday</v>
      </c>
      <c r="B140" s="13" t="n">
        <f aca="false">Setup!$C$5+27</f>
        <v>46054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TEXT(Setup!$C$5+27,"dddd")</f>
        <v>Sunday</v>
      </c>
      <c r="B141" s="13" t="n">
        <f aca="false">Setup!$C$5+27</f>
        <v>46054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TEXT(Setup!$C$5+27,"dddd")</f>
        <v>Sunday</v>
      </c>
      <c r="B142" s="13" t="n">
        <f aca="false">Setup!$C$5+27</f>
        <v>46054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TEXT(Setup!$C$5+27,"dddd")</f>
        <v>Sunday</v>
      </c>
      <c r="B143" s="13" t="n">
        <f aca="false">Setup!$C$5+27</f>
        <v>46054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TEXT(Setup!$C$5+27,"dddd")</f>
        <v>Sunday</v>
      </c>
      <c r="B144" s="13" t="n">
        <f aca="false">Setup!$C$5+27</f>
        <v>46054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TEXT(Setup!$C$5+27,"dddd")</f>
        <v>Sunday</v>
      </c>
      <c r="B145" s="13" t="n">
        <f aca="false">Setup!$C$5+27</f>
        <v>46054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TEXT(Setup!$C$5+27,"dddd")</f>
        <v>Sunday</v>
      </c>
      <c r="B146" s="13" t="n">
        <f aca="false">Setup!$C$5+27</f>
        <v>46054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TEXT(Setup!$C$5+27,"dddd")</f>
        <v>Sunday</v>
      </c>
      <c r="B147" s="13" t="n">
        <f aca="false">Setup!$C$5+27</f>
        <v>46054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TEXT(Setup!$C$5+27,"dddd")</f>
        <v>Sunday</v>
      </c>
      <c r="B148" s="13" t="n">
        <f aca="false">Setup!$C$5+27</f>
        <v>46054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TEXT(Setup!$C$5+27,"dddd")</f>
        <v>Sunday</v>
      </c>
      <c r="B149" s="13" t="n">
        <f aca="false">Setup!$C$5+27</f>
        <v>46054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TEXT(Setup!$C$5+27,"dddd")</f>
        <v>Sunday</v>
      </c>
      <c r="B150" s="13" t="n">
        <f aca="false">Setup!$C$5+27</f>
        <v>46054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TEXT(Setup!$C$5+27,"dddd")</f>
        <v>Sunday</v>
      </c>
      <c r="B151" s="13" t="n">
        <f aca="false">Setup!$C$5+27</f>
        <v>46054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TEXT(Setup!$C$5+27,"dddd")</f>
        <v>Sunday</v>
      </c>
      <c r="B152" s="13" t="n">
        <f aca="false">Setup!$C$5+27</f>
        <v>46054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TEXT(Setup!$C$5+27,"dddd")</f>
        <v>Sunday</v>
      </c>
      <c r="B153" s="13" t="n">
        <f aca="false">Setup!$C$5+27</f>
        <v>46054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TEXT(Setup!$C$5+27,"dddd")</f>
        <v>Sunday</v>
      </c>
      <c r="B154" s="13" t="n">
        <f aca="false">Setup!$C$5+27</f>
        <v>46054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TEXT(Setup!$C$5+27,"dddd")</f>
        <v>Sunday</v>
      </c>
      <c r="B155" s="23" t="n">
        <f aca="false">Setup!$C$5+27</f>
        <v>46054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IFERROR(H155-Wk3!H155,"")</f>
        <v>0</v>
      </c>
      <c r="O155" s="24" t="n">
        <f aca="false">IFERROR(D155-Wk3!D155,"")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IFERROR(D156-Wk3!D156,"")</f>
        <v>0</v>
      </c>
      <c r="E157" s="34" t="n">
        <f aca="false">IFERROR(E156-Wk3!E156,"")</f>
        <v>0</v>
      </c>
      <c r="H157" s="32" t="n">
        <f aca="false">IFERROR(H156-Wk3!H156,"")</f>
        <v>0</v>
      </c>
      <c r="K157" s="32" t="n">
        <f aca="false">IFERROR(K156-Wk3!K156,"")</f>
        <v>0</v>
      </c>
      <c r="M157" s="32" t="n">
        <f aca="false">IFERROR(M156-Wk3!M156,"")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TEXT(Setup!$C$5+28,"dddd")</f>
        <v>Monday</v>
      </c>
      <c r="B2" s="13" t="n">
        <f aca="false">Setup!$C$5+28</f>
        <v>46055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TEXT(Setup!$C$5+28,"dddd")</f>
        <v>Monday</v>
      </c>
      <c r="B3" s="13" t="n">
        <f aca="false">Setup!$C$5+28</f>
        <v>46055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TEXT(Setup!$C$5+28,"dddd")</f>
        <v>Monday</v>
      </c>
      <c r="B4" s="13" t="n">
        <f aca="false">Setup!$C$5+28</f>
        <v>46055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TEXT(Setup!$C$5+28,"dddd")</f>
        <v>Monday</v>
      </c>
      <c r="B5" s="13" t="n">
        <f aca="false">Setup!$C$5+28</f>
        <v>46055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TEXT(Setup!$C$5+28,"dddd")</f>
        <v>Monday</v>
      </c>
      <c r="B6" s="13" t="n">
        <f aca="false">Setup!$C$5+28</f>
        <v>46055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TEXT(Setup!$C$5+28,"dddd")</f>
        <v>Monday</v>
      </c>
      <c r="B7" s="13" t="n">
        <f aca="false">Setup!$C$5+28</f>
        <v>46055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TEXT(Setup!$C$5+28,"dddd")</f>
        <v>Monday</v>
      </c>
      <c r="B8" s="13" t="n">
        <f aca="false">Setup!$C$5+28</f>
        <v>46055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TEXT(Setup!$C$5+28,"dddd")</f>
        <v>Monday</v>
      </c>
      <c r="B9" s="13" t="n">
        <f aca="false">Setup!$C$5+28</f>
        <v>46055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TEXT(Setup!$C$5+28,"dddd")</f>
        <v>Monday</v>
      </c>
      <c r="B10" s="13" t="n">
        <f aca="false">Setup!$C$5+28</f>
        <v>46055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TEXT(Setup!$C$5+28,"dddd")</f>
        <v>Monday</v>
      </c>
      <c r="B11" s="13" t="n">
        <f aca="false">Setup!$C$5+28</f>
        <v>46055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TEXT(Setup!$C$5+28,"dddd")</f>
        <v>Monday</v>
      </c>
      <c r="B12" s="13" t="n">
        <f aca="false">Setup!$C$5+28</f>
        <v>46055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TEXT(Setup!$C$5+28,"dddd")</f>
        <v>Monday</v>
      </c>
      <c r="B13" s="13" t="n">
        <f aca="false">Setup!$C$5+28</f>
        <v>46055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TEXT(Setup!$C$5+28,"dddd")</f>
        <v>Monday</v>
      </c>
      <c r="B14" s="13" t="n">
        <f aca="false">Setup!$C$5+28</f>
        <v>46055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TEXT(Setup!$C$5+28,"dddd")</f>
        <v>Monday</v>
      </c>
      <c r="B15" s="13" t="n">
        <f aca="false">Setup!$C$5+28</f>
        <v>46055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TEXT(Setup!$C$5+28,"dddd")</f>
        <v>Monday</v>
      </c>
      <c r="B16" s="13" t="n">
        <f aca="false">Setup!$C$5+28</f>
        <v>46055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TEXT(Setup!$C$5+28,"dddd")</f>
        <v>Monday</v>
      </c>
      <c r="B17" s="13" t="n">
        <f aca="false">Setup!$C$5+28</f>
        <v>46055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TEXT(Setup!$C$5+28,"dddd")</f>
        <v>Monday</v>
      </c>
      <c r="B18" s="13" t="n">
        <f aca="false">Setup!$C$5+28</f>
        <v>46055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TEXT(Setup!$C$5+28,"dddd")</f>
        <v>Monday</v>
      </c>
      <c r="B19" s="13" t="n">
        <f aca="false">Setup!$C$5+28</f>
        <v>46055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TEXT(Setup!$C$5+28,"dddd")</f>
        <v>Monday</v>
      </c>
      <c r="B20" s="13" t="n">
        <f aca="false">Setup!$C$5+28</f>
        <v>46055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TEXT(Setup!$C$5+28,"dddd")</f>
        <v>Monday</v>
      </c>
      <c r="B21" s="13" t="n">
        <f aca="false">Setup!$C$5+28</f>
        <v>46055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TEXT(Setup!$C$5+28,"dddd")</f>
        <v>Monday</v>
      </c>
      <c r="B22" s="13" t="n">
        <f aca="false">Setup!$C$5+28</f>
        <v>46055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TEXT(Setup!$C$5+28,"dddd")</f>
        <v>Monday</v>
      </c>
      <c r="B23" s="23" t="n">
        <f aca="false">Setup!$C$5+28</f>
        <v>46055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IFERROR(H23-Wk4!H23,"")</f>
        <v>0</v>
      </c>
      <c r="O23" s="24" t="n">
        <f aca="false">IFERROR(D23-Wk4!D23,"")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TEXT(Setup!$C$5+29,"dddd")</f>
        <v>Tuesday</v>
      </c>
      <c r="B24" s="13" t="n">
        <f aca="false">Setup!$C$5+29</f>
        <v>46056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TEXT(Setup!$C$5+29,"dddd")</f>
        <v>Tuesday</v>
      </c>
      <c r="B25" s="13" t="n">
        <f aca="false">Setup!$C$5+29</f>
        <v>46056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TEXT(Setup!$C$5+29,"dddd")</f>
        <v>Tuesday</v>
      </c>
      <c r="B26" s="13" t="n">
        <f aca="false">Setup!$C$5+29</f>
        <v>46056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TEXT(Setup!$C$5+29,"dddd")</f>
        <v>Tuesday</v>
      </c>
      <c r="B27" s="13" t="n">
        <f aca="false">Setup!$C$5+29</f>
        <v>46056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TEXT(Setup!$C$5+29,"dddd")</f>
        <v>Tuesday</v>
      </c>
      <c r="B28" s="13" t="n">
        <f aca="false">Setup!$C$5+29</f>
        <v>46056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TEXT(Setup!$C$5+29,"dddd")</f>
        <v>Tuesday</v>
      </c>
      <c r="B29" s="13" t="n">
        <f aca="false">Setup!$C$5+29</f>
        <v>46056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TEXT(Setup!$C$5+29,"dddd")</f>
        <v>Tuesday</v>
      </c>
      <c r="B30" s="13" t="n">
        <f aca="false">Setup!$C$5+29</f>
        <v>46056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TEXT(Setup!$C$5+29,"dddd")</f>
        <v>Tuesday</v>
      </c>
      <c r="B31" s="13" t="n">
        <f aca="false">Setup!$C$5+29</f>
        <v>46056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TEXT(Setup!$C$5+29,"dddd")</f>
        <v>Tuesday</v>
      </c>
      <c r="B32" s="13" t="n">
        <f aca="false">Setup!$C$5+29</f>
        <v>46056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TEXT(Setup!$C$5+29,"dddd")</f>
        <v>Tuesday</v>
      </c>
      <c r="B33" s="13" t="n">
        <f aca="false">Setup!$C$5+29</f>
        <v>46056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TEXT(Setup!$C$5+29,"dddd")</f>
        <v>Tuesday</v>
      </c>
      <c r="B34" s="13" t="n">
        <f aca="false">Setup!$C$5+29</f>
        <v>46056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TEXT(Setup!$C$5+29,"dddd")</f>
        <v>Tuesday</v>
      </c>
      <c r="B35" s="13" t="n">
        <f aca="false">Setup!$C$5+29</f>
        <v>46056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TEXT(Setup!$C$5+29,"dddd")</f>
        <v>Tuesday</v>
      </c>
      <c r="B36" s="13" t="n">
        <f aca="false">Setup!$C$5+29</f>
        <v>46056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TEXT(Setup!$C$5+29,"dddd")</f>
        <v>Tuesday</v>
      </c>
      <c r="B37" s="13" t="n">
        <f aca="false">Setup!$C$5+29</f>
        <v>46056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TEXT(Setup!$C$5+29,"dddd")</f>
        <v>Tuesday</v>
      </c>
      <c r="B38" s="13" t="n">
        <f aca="false">Setup!$C$5+29</f>
        <v>46056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TEXT(Setup!$C$5+29,"dddd")</f>
        <v>Tuesday</v>
      </c>
      <c r="B39" s="13" t="n">
        <f aca="false">Setup!$C$5+29</f>
        <v>46056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TEXT(Setup!$C$5+29,"dddd")</f>
        <v>Tuesday</v>
      </c>
      <c r="B40" s="13" t="n">
        <f aca="false">Setup!$C$5+29</f>
        <v>46056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TEXT(Setup!$C$5+29,"dddd")</f>
        <v>Tuesday</v>
      </c>
      <c r="B41" s="13" t="n">
        <f aca="false">Setup!$C$5+29</f>
        <v>46056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TEXT(Setup!$C$5+29,"dddd")</f>
        <v>Tuesday</v>
      </c>
      <c r="B42" s="13" t="n">
        <f aca="false">Setup!$C$5+29</f>
        <v>46056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TEXT(Setup!$C$5+29,"dddd")</f>
        <v>Tuesday</v>
      </c>
      <c r="B43" s="13" t="n">
        <f aca="false">Setup!$C$5+29</f>
        <v>46056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TEXT(Setup!$C$5+29,"dddd")</f>
        <v>Tuesday</v>
      </c>
      <c r="B44" s="13" t="n">
        <f aca="false">Setup!$C$5+29</f>
        <v>46056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TEXT(Setup!$C$5+29,"dddd")</f>
        <v>Tuesday</v>
      </c>
      <c r="B45" s="23" t="n">
        <f aca="false">Setup!$C$5+29</f>
        <v>46056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IFERROR(H45-Wk4!H45,"")</f>
        <v>0</v>
      </c>
      <c r="O45" s="24" t="n">
        <f aca="false">IFERROR(D45-Wk4!D45,"")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TEXT(Setup!$C$5+30,"dddd")</f>
        <v>Wednesday</v>
      </c>
      <c r="B46" s="13" t="n">
        <f aca="false">Setup!$C$5+30</f>
        <v>46057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TEXT(Setup!$C$5+30,"dddd")</f>
        <v>Wednesday</v>
      </c>
      <c r="B47" s="13" t="n">
        <f aca="false">Setup!$C$5+30</f>
        <v>46057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TEXT(Setup!$C$5+30,"dddd")</f>
        <v>Wednesday</v>
      </c>
      <c r="B48" s="13" t="n">
        <f aca="false">Setup!$C$5+30</f>
        <v>46057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TEXT(Setup!$C$5+30,"dddd")</f>
        <v>Wednesday</v>
      </c>
      <c r="B49" s="13" t="n">
        <f aca="false">Setup!$C$5+30</f>
        <v>46057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TEXT(Setup!$C$5+30,"dddd")</f>
        <v>Wednesday</v>
      </c>
      <c r="B50" s="13" t="n">
        <f aca="false">Setup!$C$5+30</f>
        <v>46057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TEXT(Setup!$C$5+30,"dddd")</f>
        <v>Wednesday</v>
      </c>
      <c r="B51" s="13" t="n">
        <f aca="false">Setup!$C$5+30</f>
        <v>46057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TEXT(Setup!$C$5+30,"dddd")</f>
        <v>Wednesday</v>
      </c>
      <c r="B52" s="13" t="n">
        <f aca="false">Setup!$C$5+30</f>
        <v>46057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TEXT(Setup!$C$5+30,"dddd")</f>
        <v>Wednesday</v>
      </c>
      <c r="B53" s="13" t="n">
        <f aca="false">Setup!$C$5+30</f>
        <v>46057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TEXT(Setup!$C$5+30,"dddd")</f>
        <v>Wednesday</v>
      </c>
      <c r="B54" s="13" t="n">
        <f aca="false">Setup!$C$5+30</f>
        <v>46057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TEXT(Setup!$C$5+30,"dddd")</f>
        <v>Wednesday</v>
      </c>
      <c r="B55" s="13" t="n">
        <f aca="false">Setup!$C$5+30</f>
        <v>46057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TEXT(Setup!$C$5+30,"dddd")</f>
        <v>Wednesday</v>
      </c>
      <c r="B56" s="13" t="n">
        <f aca="false">Setup!$C$5+30</f>
        <v>46057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TEXT(Setup!$C$5+30,"dddd")</f>
        <v>Wednesday</v>
      </c>
      <c r="B57" s="13" t="n">
        <f aca="false">Setup!$C$5+30</f>
        <v>46057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TEXT(Setup!$C$5+30,"dddd")</f>
        <v>Wednesday</v>
      </c>
      <c r="B58" s="13" t="n">
        <f aca="false">Setup!$C$5+30</f>
        <v>46057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TEXT(Setup!$C$5+30,"dddd")</f>
        <v>Wednesday</v>
      </c>
      <c r="B59" s="13" t="n">
        <f aca="false">Setup!$C$5+30</f>
        <v>46057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TEXT(Setup!$C$5+30,"dddd")</f>
        <v>Wednesday</v>
      </c>
      <c r="B60" s="13" t="n">
        <f aca="false">Setup!$C$5+30</f>
        <v>46057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TEXT(Setup!$C$5+30,"dddd")</f>
        <v>Wednesday</v>
      </c>
      <c r="B61" s="13" t="n">
        <f aca="false">Setup!$C$5+30</f>
        <v>46057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TEXT(Setup!$C$5+30,"dddd")</f>
        <v>Wednesday</v>
      </c>
      <c r="B62" s="13" t="n">
        <f aca="false">Setup!$C$5+30</f>
        <v>46057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TEXT(Setup!$C$5+30,"dddd")</f>
        <v>Wednesday</v>
      </c>
      <c r="B63" s="13" t="n">
        <f aca="false">Setup!$C$5+30</f>
        <v>46057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TEXT(Setup!$C$5+30,"dddd")</f>
        <v>Wednesday</v>
      </c>
      <c r="B64" s="13" t="n">
        <f aca="false">Setup!$C$5+30</f>
        <v>46057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TEXT(Setup!$C$5+30,"dddd")</f>
        <v>Wednesday</v>
      </c>
      <c r="B65" s="13" t="n">
        <f aca="false">Setup!$C$5+30</f>
        <v>46057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TEXT(Setup!$C$5+30,"dddd")</f>
        <v>Wednesday</v>
      </c>
      <c r="B66" s="13" t="n">
        <f aca="false">Setup!$C$5+30</f>
        <v>46057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TEXT(Setup!$C$5+30,"dddd")</f>
        <v>Wednesday</v>
      </c>
      <c r="B67" s="23" t="n">
        <f aca="false">Setup!$C$5+30</f>
        <v>46057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IFERROR(H67-Wk4!H67,"")</f>
        <v>0</v>
      </c>
      <c r="O67" s="24" t="n">
        <f aca="false">IFERROR(D67-Wk4!D67,"")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TEXT(Setup!$C$5+31,"dddd")</f>
        <v>Thursday</v>
      </c>
      <c r="B68" s="13" t="n">
        <f aca="false">Setup!$C$5+31</f>
        <v>46058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TEXT(Setup!$C$5+31,"dddd")</f>
        <v>Thursday</v>
      </c>
      <c r="B69" s="13" t="n">
        <f aca="false">Setup!$C$5+31</f>
        <v>46058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TEXT(Setup!$C$5+31,"dddd")</f>
        <v>Thursday</v>
      </c>
      <c r="B70" s="13" t="n">
        <f aca="false">Setup!$C$5+31</f>
        <v>46058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TEXT(Setup!$C$5+31,"dddd")</f>
        <v>Thursday</v>
      </c>
      <c r="B71" s="13" t="n">
        <f aca="false">Setup!$C$5+31</f>
        <v>46058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TEXT(Setup!$C$5+31,"dddd")</f>
        <v>Thursday</v>
      </c>
      <c r="B72" s="13" t="n">
        <f aca="false">Setup!$C$5+31</f>
        <v>46058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TEXT(Setup!$C$5+31,"dddd")</f>
        <v>Thursday</v>
      </c>
      <c r="B73" s="13" t="n">
        <f aca="false">Setup!$C$5+31</f>
        <v>46058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TEXT(Setup!$C$5+31,"dddd")</f>
        <v>Thursday</v>
      </c>
      <c r="B74" s="13" t="n">
        <f aca="false">Setup!$C$5+31</f>
        <v>46058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TEXT(Setup!$C$5+31,"dddd")</f>
        <v>Thursday</v>
      </c>
      <c r="B75" s="13" t="n">
        <f aca="false">Setup!$C$5+31</f>
        <v>46058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TEXT(Setup!$C$5+31,"dddd")</f>
        <v>Thursday</v>
      </c>
      <c r="B76" s="13" t="n">
        <f aca="false">Setup!$C$5+31</f>
        <v>46058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TEXT(Setup!$C$5+31,"dddd")</f>
        <v>Thursday</v>
      </c>
      <c r="B77" s="13" t="n">
        <f aca="false">Setup!$C$5+31</f>
        <v>46058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TEXT(Setup!$C$5+31,"dddd")</f>
        <v>Thursday</v>
      </c>
      <c r="B78" s="13" t="n">
        <f aca="false">Setup!$C$5+31</f>
        <v>46058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TEXT(Setup!$C$5+31,"dddd")</f>
        <v>Thursday</v>
      </c>
      <c r="B79" s="13" t="n">
        <f aca="false">Setup!$C$5+31</f>
        <v>46058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TEXT(Setup!$C$5+31,"dddd")</f>
        <v>Thursday</v>
      </c>
      <c r="B80" s="13" t="n">
        <f aca="false">Setup!$C$5+31</f>
        <v>46058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TEXT(Setup!$C$5+31,"dddd")</f>
        <v>Thursday</v>
      </c>
      <c r="B81" s="13" t="n">
        <f aca="false">Setup!$C$5+31</f>
        <v>46058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TEXT(Setup!$C$5+31,"dddd")</f>
        <v>Thursday</v>
      </c>
      <c r="B82" s="13" t="n">
        <f aca="false">Setup!$C$5+31</f>
        <v>46058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TEXT(Setup!$C$5+31,"dddd")</f>
        <v>Thursday</v>
      </c>
      <c r="B83" s="13" t="n">
        <f aca="false">Setup!$C$5+31</f>
        <v>46058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TEXT(Setup!$C$5+31,"dddd")</f>
        <v>Thursday</v>
      </c>
      <c r="B84" s="13" t="n">
        <f aca="false">Setup!$C$5+31</f>
        <v>46058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TEXT(Setup!$C$5+31,"dddd")</f>
        <v>Thursday</v>
      </c>
      <c r="B85" s="13" t="n">
        <f aca="false">Setup!$C$5+31</f>
        <v>46058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TEXT(Setup!$C$5+31,"dddd")</f>
        <v>Thursday</v>
      </c>
      <c r="B86" s="13" t="n">
        <f aca="false">Setup!$C$5+31</f>
        <v>46058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TEXT(Setup!$C$5+31,"dddd")</f>
        <v>Thursday</v>
      </c>
      <c r="B87" s="13" t="n">
        <f aca="false">Setup!$C$5+31</f>
        <v>46058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TEXT(Setup!$C$5+31,"dddd")</f>
        <v>Thursday</v>
      </c>
      <c r="B88" s="13" t="n">
        <f aca="false">Setup!$C$5+31</f>
        <v>46058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TEXT(Setup!$C$5+31,"dddd")</f>
        <v>Thursday</v>
      </c>
      <c r="B89" s="23" t="n">
        <f aca="false">Setup!$C$5+31</f>
        <v>46058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IFERROR(H89-Wk4!H89,"")</f>
        <v>0</v>
      </c>
      <c r="O89" s="24" t="n">
        <f aca="false">IFERROR(D89-Wk4!D89,"")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TEXT(Setup!$C$5+32,"dddd")</f>
        <v>Friday</v>
      </c>
      <c r="B90" s="13" t="n">
        <f aca="false">Setup!$C$5+32</f>
        <v>46059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TEXT(Setup!$C$5+32,"dddd")</f>
        <v>Friday</v>
      </c>
      <c r="B91" s="13" t="n">
        <f aca="false">Setup!$C$5+32</f>
        <v>46059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TEXT(Setup!$C$5+32,"dddd")</f>
        <v>Friday</v>
      </c>
      <c r="B92" s="13" t="n">
        <f aca="false">Setup!$C$5+32</f>
        <v>46059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TEXT(Setup!$C$5+32,"dddd")</f>
        <v>Friday</v>
      </c>
      <c r="B93" s="13" t="n">
        <f aca="false">Setup!$C$5+32</f>
        <v>46059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TEXT(Setup!$C$5+32,"dddd")</f>
        <v>Friday</v>
      </c>
      <c r="B94" s="13" t="n">
        <f aca="false">Setup!$C$5+32</f>
        <v>46059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TEXT(Setup!$C$5+32,"dddd")</f>
        <v>Friday</v>
      </c>
      <c r="B95" s="13" t="n">
        <f aca="false">Setup!$C$5+32</f>
        <v>46059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TEXT(Setup!$C$5+32,"dddd")</f>
        <v>Friday</v>
      </c>
      <c r="B96" s="13" t="n">
        <f aca="false">Setup!$C$5+32</f>
        <v>46059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TEXT(Setup!$C$5+32,"dddd")</f>
        <v>Friday</v>
      </c>
      <c r="B97" s="13" t="n">
        <f aca="false">Setup!$C$5+32</f>
        <v>46059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TEXT(Setup!$C$5+32,"dddd")</f>
        <v>Friday</v>
      </c>
      <c r="B98" s="13" t="n">
        <f aca="false">Setup!$C$5+32</f>
        <v>46059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TEXT(Setup!$C$5+32,"dddd")</f>
        <v>Friday</v>
      </c>
      <c r="B99" s="13" t="n">
        <f aca="false">Setup!$C$5+32</f>
        <v>46059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TEXT(Setup!$C$5+32,"dddd")</f>
        <v>Friday</v>
      </c>
      <c r="B100" s="13" t="n">
        <f aca="false">Setup!$C$5+32</f>
        <v>46059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TEXT(Setup!$C$5+32,"dddd")</f>
        <v>Friday</v>
      </c>
      <c r="B101" s="13" t="n">
        <f aca="false">Setup!$C$5+32</f>
        <v>46059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TEXT(Setup!$C$5+32,"dddd")</f>
        <v>Friday</v>
      </c>
      <c r="B102" s="13" t="n">
        <f aca="false">Setup!$C$5+32</f>
        <v>46059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TEXT(Setup!$C$5+32,"dddd")</f>
        <v>Friday</v>
      </c>
      <c r="B103" s="13" t="n">
        <f aca="false">Setup!$C$5+32</f>
        <v>46059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TEXT(Setup!$C$5+32,"dddd")</f>
        <v>Friday</v>
      </c>
      <c r="B104" s="13" t="n">
        <f aca="false">Setup!$C$5+32</f>
        <v>46059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TEXT(Setup!$C$5+32,"dddd")</f>
        <v>Friday</v>
      </c>
      <c r="B105" s="13" t="n">
        <f aca="false">Setup!$C$5+32</f>
        <v>46059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TEXT(Setup!$C$5+32,"dddd")</f>
        <v>Friday</v>
      </c>
      <c r="B106" s="13" t="n">
        <f aca="false">Setup!$C$5+32</f>
        <v>46059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TEXT(Setup!$C$5+32,"dddd")</f>
        <v>Friday</v>
      </c>
      <c r="B107" s="13" t="n">
        <f aca="false">Setup!$C$5+32</f>
        <v>46059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TEXT(Setup!$C$5+32,"dddd")</f>
        <v>Friday</v>
      </c>
      <c r="B108" s="13" t="n">
        <f aca="false">Setup!$C$5+32</f>
        <v>46059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TEXT(Setup!$C$5+32,"dddd")</f>
        <v>Friday</v>
      </c>
      <c r="B109" s="13" t="n">
        <f aca="false">Setup!$C$5+32</f>
        <v>46059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TEXT(Setup!$C$5+32,"dddd")</f>
        <v>Friday</v>
      </c>
      <c r="B110" s="13" t="n">
        <f aca="false">Setup!$C$5+32</f>
        <v>46059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TEXT(Setup!$C$5+32,"dddd")</f>
        <v>Friday</v>
      </c>
      <c r="B111" s="23" t="n">
        <f aca="false">Setup!$C$5+32</f>
        <v>46059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IFERROR(H111-Wk4!H111,"")</f>
        <v>0</v>
      </c>
      <c r="O111" s="24" t="n">
        <f aca="false">IFERROR(D111-Wk4!D111,"")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TEXT(Setup!$C$5+33,"dddd")</f>
        <v>Saturday</v>
      </c>
      <c r="B112" s="13" t="n">
        <f aca="false">Setup!$C$5+33</f>
        <v>46060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TEXT(Setup!$C$5+33,"dddd")</f>
        <v>Saturday</v>
      </c>
      <c r="B113" s="13" t="n">
        <f aca="false">Setup!$C$5+33</f>
        <v>46060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TEXT(Setup!$C$5+33,"dddd")</f>
        <v>Saturday</v>
      </c>
      <c r="B114" s="13" t="n">
        <f aca="false">Setup!$C$5+33</f>
        <v>46060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TEXT(Setup!$C$5+33,"dddd")</f>
        <v>Saturday</v>
      </c>
      <c r="B115" s="13" t="n">
        <f aca="false">Setup!$C$5+33</f>
        <v>46060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TEXT(Setup!$C$5+33,"dddd")</f>
        <v>Saturday</v>
      </c>
      <c r="B116" s="13" t="n">
        <f aca="false">Setup!$C$5+33</f>
        <v>46060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TEXT(Setup!$C$5+33,"dddd")</f>
        <v>Saturday</v>
      </c>
      <c r="B117" s="13" t="n">
        <f aca="false">Setup!$C$5+33</f>
        <v>46060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TEXT(Setup!$C$5+33,"dddd")</f>
        <v>Saturday</v>
      </c>
      <c r="B118" s="13" t="n">
        <f aca="false">Setup!$C$5+33</f>
        <v>46060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TEXT(Setup!$C$5+33,"dddd")</f>
        <v>Saturday</v>
      </c>
      <c r="B119" s="13" t="n">
        <f aca="false">Setup!$C$5+33</f>
        <v>46060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TEXT(Setup!$C$5+33,"dddd")</f>
        <v>Saturday</v>
      </c>
      <c r="B120" s="13" t="n">
        <f aca="false">Setup!$C$5+33</f>
        <v>46060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TEXT(Setup!$C$5+33,"dddd")</f>
        <v>Saturday</v>
      </c>
      <c r="B121" s="13" t="n">
        <f aca="false">Setup!$C$5+33</f>
        <v>46060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TEXT(Setup!$C$5+33,"dddd")</f>
        <v>Saturday</v>
      </c>
      <c r="B122" s="13" t="n">
        <f aca="false">Setup!$C$5+33</f>
        <v>46060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TEXT(Setup!$C$5+33,"dddd")</f>
        <v>Saturday</v>
      </c>
      <c r="B123" s="13" t="n">
        <f aca="false">Setup!$C$5+33</f>
        <v>46060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TEXT(Setup!$C$5+33,"dddd")</f>
        <v>Saturday</v>
      </c>
      <c r="B124" s="13" t="n">
        <f aca="false">Setup!$C$5+33</f>
        <v>46060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TEXT(Setup!$C$5+33,"dddd")</f>
        <v>Saturday</v>
      </c>
      <c r="B125" s="13" t="n">
        <f aca="false">Setup!$C$5+33</f>
        <v>46060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TEXT(Setup!$C$5+33,"dddd")</f>
        <v>Saturday</v>
      </c>
      <c r="B126" s="13" t="n">
        <f aca="false">Setup!$C$5+33</f>
        <v>46060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TEXT(Setup!$C$5+33,"dddd")</f>
        <v>Saturday</v>
      </c>
      <c r="B127" s="13" t="n">
        <f aca="false">Setup!$C$5+33</f>
        <v>46060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TEXT(Setup!$C$5+33,"dddd")</f>
        <v>Saturday</v>
      </c>
      <c r="B128" s="13" t="n">
        <f aca="false">Setup!$C$5+33</f>
        <v>46060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TEXT(Setup!$C$5+33,"dddd")</f>
        <v>Saturday</v>
      </c>
      <c r="B129" s="13" t="n">
        <f aca="false">Setup!$C$5+33</f>
        <v>46060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TEXT(Setup!$C$5+33,"dddd")</f>
        <v>Saturday</v>
      </c>
      <c r="B130" s="13" t="n">
        <f aca="false">Setup!$C$5+33</f>
        <v>46060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TEXT(Setup!$C$5+33,"dddd")</f>
        <v>Saturday</v>
      </c>
      <c r="B131" s="13" t="n">
        <f aca="false">Setup!$C$5+33</f>
        <v>46060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TEXT(Setup!$C$5+33,"dddd")</f>
        <v>Saturday</v>
      </c>
      <c r="B132" s="13" t="n">
        <f aca="false">Setup!$C$5+33</f>
        <v>46060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TEXT(Setup!$C$5+33,"dddd")</f>
        <v>Saturday</v>
      </c>
      <c r="B133" s="23" t="n">
        <f aca="false">Setup!$C$5+33</f>
        <v>46060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IFERROR(H133-Wk4!H133,"")</f>
        <v>0</v>
      </c>
      <c r="O133" s="24" t="n">
        <f aca="false">IFERROR(D133-Wk4!D133,"")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TEXT(Setup!$C$5+34,"dddd")</f>
        <v>Sunday</v>
      </c>
      <c r="B134" s="13" t="n">
        <f aca="false">Setup!$C$5+34</f>
        <v>46061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TEXT(Setup!$C$5+34,"dddd")</f>
        <v>Sunday</v>
      </c>
      <c r="B135" s="13" t="n">
        <f aca="false">Setup!$C$5+34</f>
        <v>46061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TEXT(Setup!$C$5+34,"dddd")</f>
        <v>Sunday</v>
      </c>
      <c r="B136" s="13" t="n">
        <f aca="false">Setup!$C$5+34</f>
        <v>46061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TEXT(Setup!$C$5+34,"dddd")</f>
        <v>Sunday</v>
      </c>
      <c r="B137" s="13" t="n">
        <f aca="false">Setup!$C$5+34</f>
        <v>46061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TEXT(Setup!$C$5+34,"dddd")</f>
        <v>Sunday</v>
      </c>
      <c r="B138" s="13" t="n">
        <f aca="false">Setup!$C$5+34</f>
        <v>46061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TEXT(Setup!$C$5+34,"dddd")</f>
        <v>Sunday</v>
      </c>
      <c r="B139" s="13" t="n">
        <f aca="false">Setup!$C$5+34</f>
        <v>46061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TEXT(Setup!$C$5+34,"dddd")</f>
        <v>Sunday</v>
      </c>
      <c r="B140" s="13" t="n">
        <f aca="false">Setup!$C$5+34</f>
        <v>46061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TEXT(Setup!$C$5+34,"dddd")</f>
        <v>Sunday</v>
      </c>
      <c r="B141" s="13" t="n">
        <f aca="false">Setup!$C$5+34</f>
        <v>46061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TEXT(Setup!$C$5+34,"dddd")</f>
        <v>Sunday</v>
      </c>
      <c r="B142" s="13" t="n">
        <f aca="false">Setup!$C$5+34</f>
        <v>46061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TEXT(Setup!$C$5+34,"dddd")</f>
        <v>Sunday</v>
      </c>
      <c r="B143" s="13" t="n">
        <f aca="false">Setup!$C$5+34</f>
        <v>46061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TEXT(Setup!$C$5+34,"dddd")</f>
        <v>Sunday</v>
      </c>
      <c r="B144" s="13" t="n">
        <f aca="false">Setup!$C$5+34</f>
        <v>46061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TEXT(Setup!$C$5+34,"dddd")</f>
        <v>Sunday</v>
      </c>
      <c r="B145" s="13" t="n">
        <f aca="false">Setup!$C$5+34</f>
        <v>46061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TEXT(Setup!$C$5+34,"dddd")</f>
        <v>Sunday</v>
      </c>
      <c r="B146" s="13" t="n">
        <f aca="false">Setup!$C$5+34</f>
        <v>46061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TEXT(Setup!$C$5+34,"dddd")</f>
        <v>Sunday</v>
      </c>
      <c r="B147" s="13" t="n">
        <f aca="false">Setup!$C$5+34</f>
        <v>46061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TEXT(Setup!$C$5+34,"dddd")</f>
        <v>Sunday</v>
      </c>
      <c r="B148" s="13" t="n">
        <f aca="false">Setup!$C$5+34</f>
        <v>46061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TEXT(Setup!$C$5+34,"dddd")</f>
        <v>Sunday</v>
      </c>
      <c r="B149" s="13" t="n">
        <f aca="false">Setup!$C$5+34</f>
        <v>46061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TEXT(Setup!$C$5+34,"dddd")</f>
        <v>Sunday</v>
      </c>
      <c r="B150" s="13" t="n">
        <f aca="false">Setup!$C$5+34</f>
        <v>46061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TEXT(Setup!$C$5+34,"dddd")</f>
        <v>Sunday</v>
      </c>
      <c r="B151" s="13" t="n">
        <f aca="false">Setup!$C$5+34</f>
        <v>46061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TEXT(Setup!$C$5+34,"dddd")</f>
        <v>Sunday</v>
      </c>
      <c r="B152" s="13" t="n">
        <f aca="false">Setup!$C$5+34</f>
        <v>46061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TEXT(Setup!$C$5+34,"dddd")</f>
        <v>Sunday</v>
      </c>
      <c r="B153" s="13" t="n">
        <f aca="false">Setup!$C$5+34</f>
        <v>46061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TEXT(Setup!$C$5+34,"dddd")</f>
        <v>Sunday</v>
      </c>
      <c r="B154" s="13" t="n">
        <f aca="false">Setup!$C$5+34</f>
        <v>46061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TEXT(Setup!$C$5+34,"dddd")</f>
        <v>Sunday</v>
      </c>
      <c r="B155" s="23" t="n">
        <f aca="false">Setup!$C$5+34</f>
        <v>46061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IFERROR(H155-Wk4!H155,"")</f>
        <v>0</v>
      </c>
      <c r="O155" s="24" t="n">
        <f aca="false">IFERROR(D155-Wk4!D155,"")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IFERROR(D156-Wk4!D156,"")</f>
        <v>0</v>
      </c>
      <c r="E157" s="34" t="n">
        <f aca="false">IFERROR(E156-Wk4!E156,"")</f>
        <v>0</v>
      </c>
      <c r="H157" s="32" t="n">
        <f aca="false">IFERROR(H156-Wk4!H156,"")</f>
        <v>0</v>
      </c>
      <c r="K157" s="32" t="n">
        <f aca="false">IFERROR(K156-Wk4!K156,"")</f>
        <v>0</v>
      </c>
      <c r="M157" s="32" t="n">
        <f aca="false">IFERROR(M156-Wk4!M156,"")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TEXT(Setup!$C$5+35,"dddd")</f>
        <v>Monday</v>
      </c>
      <c r="B2" s="13" t="n">
        <f aca="false">Setup!$C$5+35</f>
        <v>46062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TEXT(Setup!$C$5+35,"dddd")</f>
        <v>Monday</v>
      </c>
      <c r="B3" s="13" t="n">
        <f aca="false">Setup!$C$5+35</f>
        <v>46062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TEXT(Setup!$C$5+35,"dddd")</f>
        <v>Monday</v>
      </c>
      <c r="B4" s="13" t="n">
        <f aca="false">Setup!$C$5+35</f>
        <v>46062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TEXT(Setup!$C$5+35,"dddd")</f>
        <v>Monday</v>
      </c>
      <c r="B5" s="13" t="n">
        <f aca="false">Setup!$C$5+35</f>
        <v>46062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TEXT(Setup!$C$5+35,"dddd")</f>
        <v>Monday</v>
      </c>
      <c r="B6" s="13" t="n">
        <f aca="false">Setup!$C$5+35</f>
        <v>46062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TEXT(Setup!$C$5+35,"dddd")</f>
        <v>Monday</v>
      </c>
      <c r="B7" s="13" t="n">
        <f aca="false">Setup!$C$5+35</f>
        <v>46062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TEXT(Setup!$C$5+35,"dddd")</f>
        <v>Monday</v>
      </c>
      <c r="B8" s="13" t="n">
        <f aca="false">Setup!$C$5+35</f>
        <v>46062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TEXT(Setup!$C$5+35,"dddd")</f>
        <v>Monday</v>
      </c>
      <c r="B9" s="13" t="n">
        <f aca="false">Setup!$C$5+35</f>
        <v>46062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TEXT(Setup!$C$5+35,"dddd")</f>
        <v>Monday</v>
      </c>
      <c r="B10" s="13" t="n">
        <f aca="false">Setup!$C$5+35</f>
        <v>46062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TEXT(Setup!$C$5+35,"dddd")</f>
        <v>Monday</v>
      </c>
      <c r="B11" s="13" t="n">
        <f aca="false">Setup!$C$5+35</f>
        <v>46062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TEXT(Setup!$C$5+35,"dddd")</f>
        <v>Monday</v>
      </c>
      <c r="B12" s="13" t="n">
        <f aca="false">Setup!$C$5+35</f>
        <v>46062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TEXT(Setup!$C$5+35,"dddd")</f>
        <v>Monday</v>
      </c>
      <c r="B13" s="13" t="n">
        <f aca="false">Setup!$C$5+35</f>
        <v>46062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TEXT(Setup!$C$5+35,"dddd")</f>
        <v>Monday</v>
      </c>
      <c r="B14" s="13" t="n">
        <f aca="false">Setup!$C$5+35</f>
        <v>46062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TEXT(Setup!$C$5+35,"dddd")</f>
        <v>Monday</v>
      </c>
      <c r="B15" s="13" t="n">
        <f aca="false">Setup!$C$5+35</f>
        <v>46062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TEXT(Setup!$C$5+35,"dddd")</f>
        <v>Monday</v>
      </c>
      <c r="B16" s="13" t="n">
        <f aca="false">Setup!$C$5+35</f>
        <v>46062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TEXT(Setup!$C$5+35,"dddd")</f>
        <v>Monday</v>
      </c>
      <c r="B17" s="13" t="n">
        <f aca="false">Setup!$C$5+35</f>
        <v>46062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TEXT(Setup!$C$5+35,"dddd")</f>
        <v>Monday</v>
      </c>
      <c r="B18" s="13" t="n">
        <f aca="false">Setup!$C$5+35</f>
        <v>46062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TEXT(Setup!$C$5+35,"dddd")</f>
        <v>Monday</v>
      </c>
      <c r="B19" s="13" t="n">
        <f aca="false">Setup!$C$5+35</f>
        <v>46062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TEXT(Setup!$C$5+35,"dddd")</f>
        <v>Monday</v>
      </c>
      <c r="B20" s="13" t="n">
        <f aca="false">Setup!$C$5+35</f>
        <v>46062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TEXT(Setup!$C$5+35,"dddd")</f>
        <v>Monday</v>
      </c>
      <c r="B21" s="13" t="n">
        <f aca="false">Setup!$C$5+35</f>
        <v>46062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TEXT(Setup!$C$5+35,"dddd")</f>
        <v>Monday</v>
      </c>
      <c r="B22" s="13" t="n">
        <f aca="false">Setup!$C$5+35</f>
        <v>46062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TEXT(Setup!$C$5+35,"dddd")</f>
        <v>Monday</v>
      </c>
      <c r="B23" s="23" t="n">
        <f aca="false">Setup!$C$5+35</f>
        <v>46062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IFERROR(H23-Wk5!H23,"")</f>
        <v>0</v>
      </c>
      <c r="O23" s="24" t="n">
        <f aca="false">IFERROR(D23-Wk5!D23,"")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TEXT(Setup!$C$5+36,"dddd")</f>
        <v>Tuesday</v>
      </c>
      <c r="B24" s="13" t="n">
        <f aca="false">Setup!$C$5+36</f>
        <v>46063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TEXT(Setup!$C$5+36,"dddd")</f>
        <v>Tuesday</v>
      </c>
      <c r="B25" s="13" t="n">
        <f aca="false">Setup!$C$5+36</f>
        <v>46063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TEXT(Setup!$C$5+36,"dddd")</f>
        <v>Tuesday</v>
      </c>
      <c r="B26" s="13" t="n">
        <f aca="false">Setup!$C$5+36</f>
        <v>46063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TEXT(Setup!$C$5+36,"dddd")</f>
        <v>Tuesday</v>
      </c>
      <c r="B27" s="13" t="n">
        <f aca="false">Setup!$C$5+36</f>
        <v>46063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TEXT(Setup!$C$5+36,"dddd")</f>
        <v>Tuesday</v>
      </c>
      <c r="B28" s="13" t="n">
        <f aca="false">Setup!$C$5+36</f>
        <v>46063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TEXT(Setup!$C$5+36,"dddd")</f>
        <v>Tuesday</v>
      </c>
      <c r="B29" s="13" t="n">
        <f aca="false">Setup!$C$5+36</f>
        <v>46063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TEXT(Setup!$C$5+36,"dddd")</f>
        <v>Tuesday</v>
      </c>
      <c r="B30" s="13" t="n">
        <f aca="false">Setup!$C$5+36</f>
        <v>46063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TEXT(Setup!$C$5+36,"dddd")</f>
        <v>Tuesday</v>
      </c>
      <c r="B31" s="13" t="n">
        <f aca="false">Setup!$C$5+36</f>
        <v>46063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TEXT(Setup!$C$5+36,"dddd")</f>
        <v>Tuesday</v>
      </c>
      <c r="B32" s="13" t="n">
        <f aca="false">Setup!$C$5+36</f>
        <v>46063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TEXT(Setup!$C$5+36,"dddd")</f>
        <v>Tuesday</v>
      </c>
      <c r="B33" s="13" t="n">
        <f aca="false">Setup!$C$5+36</f>
        <v>46063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TEXT(Setup!$C$5+36,"dddd")</f>
        <v>Tuesday</v>
      </c>
      <c r="B34" s="13" t="n">
        <f aca="false">Setup!$C$5+36</f>
        <v>46063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TEXT(Setup!$C$5+36,"dddd")</f>
        <v>Tuesday</v>
      </c>
      <c r="B35" s="13" t="n">
        <f aca="false">Setup!$C$5+36</f>
        <v>46063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TEXT(Setup!$C$5+36,"dddd")</f>
        <v>Tuesday</v>
      </c>
      <c r="B36" s="13" t="n">
        <f aca="false">Setup!$C$5+36</f>
        <v>46063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TEXT(Setup!$C$5+36,"dddd")</f>
        <v>Tuesday</v>
      </c>
      <c r="B37" s="13" t="n">
        <f aca="false">Setup!$C$5+36</f>
        <v>46063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TEXT(Setup!$C$5+36,"dddd")</f>
        <v>Tuesday</v>
      </c>
      <c r="B38" s="13" t="n">
        <f aca="false">Setup!$C$5+36</f>
        <v>46063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TEXT(Setup!$C$5+36,"dddd")</f>
        <v>Tuesday</v>
      </c>
      <c r="B39" s="13" t="n">
        <f aca="false">Setup!$C$5+36</f>
        <v>46063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TEXT(Setup!$C$5+36,"dddd")</f>
        <v>Tuesday</v>
      </c>
      <c r="B40" s="13" t="n">
        <f aca="false">Setup!$C$5+36</f>
        <v>46063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TEXT(Setup!$C$5+36,"dddd")</f>
        <v>Tuesday</v>
      </c>
      <c r="B41" s="13" t="n">
        <f aca="false">Setup!$C$5+36</f>
        <v>46063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TEXT(Setup!$C$5+36,"dddd")</f>
        <v>Tuesday</v>
      </c>
      <c r="B42" s="13" t="n">
        <f aca="false">Setup!$C$5+36</f>
        <v>46063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TEXT(Setup!$C$5+36,"dddd")</f>
        <v>Tuesday</v>
      </c>
      <c r="B43" s="13" t="n">
        <f aca="false">Setup!$C$5+36</f>
        <v>46063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TEXT(Setup!$C$5+36,"dddd")</f>
        <v>Tuesday</v>
      </c>
      <c r="B44" s="13" t="n">
        <f aca="false">Setup!$C$5+36</f>
        <v>46063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TEXT(Setup!$C$5+36,"dddd")</f>
        <v>Tuesday</v>
      </c>
      <c r="B45" s="23" t="n">
        <f aca="false">Setup!$C$5+36</f>
        <v>46063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IFERROR(H45-Wk5!H45,"")</f>
        <v>0</v>
      </c>
      <c r="O45" s="24" t="n">
        <f aca="false">IFERROR(D45-Wk5!D45,"")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TEXT(Setup!$C$5+37,"dddd")</f>
        <v>Wednesday</v>
      </c>
      <c r="B46" s="13" t="n">
        <f aca="false">Setup!$C$5+37</f>
        <v>46064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TEXT(Setup!$C$5+37,"dddd")</f>
        <v>Wednesday</v>
      </c>
      <c r="B47" s="13" t="n">
        <f aca="false">Setup!$C$5+37</f>
        <v>46064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TEXT(Setup!$C$5+37,"dddd")</f>
        <v>Wednesday</v>
      </c>
      <c r="B48" s="13" t="n">
        <f aca="false">Setup!$C$5+37</f>
        <v>46064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TEXT(Setup!$C$5+37,"dddd")</f>
        <v>Wednesday</v>
      </c>
      <c r="B49" s="13" t="n">
        <f aca="false">Setup!$C$5+37</f>
        <v>46064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TEXT(Setup!$C$5+37,"dddd")</f>
        <v>Wednesday</v>
      </c>
      <c r="B50" s="13" t="n">
        <f aca="false">Setup!$C$5+37</f>
        <v>46064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TEXT(Setup!$C$5+37,"dddd")</f>
        <v>Wednesday</v>
      </c>
      <c r="B51" s="13" t="n">
        <f aca="false">Setup!$C$5+37</f>
        <v>46064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TEXT(Setup!$C$5+37,"dddd")</f>
        <v>Wednesday</v>
      </c>
      <c r="B52" s="13" t="n">
        <f aca="false">Setup!$C$5+37</f>
        <v>46064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TEXT(Setup!$C$5+37,"dddd")</f>
        <v>Wednesday</v>
      </c>
      <c r="B53" s="13" t="n">
        <f aca="false">Setup!$C$5+37</f>
        <v>46064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TEXT(Setup!$C$5+37,"dddd")</f>
        <v>Wednesday</v>
      </c>
      <c r="B54" s="13" t="n">
        <f aca="false">Setup!$C$5+37</f>
        <v>46064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TEXT(Setup!$C$5+37,"dddd")</f>
        <v>Wednesday</v>
      </c>
      <c r="B55" s="13" t="n">
        <f aca="false">Setup!$C$5+37</f>
        <v>46064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TEXT(Setup!$C$5+37,"dddd")</f>
        <v>Wednesday</v>
      </c>
      <c r="B56" s="13" t="n">
        <f aca="false">Setup!$C$5+37</f>
        <v>46064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TEXT(Setup!$C$5+37,"dddd")</f>
        <v>Wednesday</v>
      </c>
      <c r="B57" s="13" t="n">
        <f aca="false">Setup!$C$5+37</f>
        <v>46064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TEXT(Setup!$C$5+37,"dddd")</f>
        <v>Wednesday</v>
      </c>
      <c r="B58" s="13" t="n">
        <f aca="false">Setup!$C$5+37</f>
        <v>46064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TEXT(Setup!$C$5+37,"dddd")</f>
        <v>Wednesday</v>
      </c>
      <c r="B59" s="13" t="n">
        <f aca="false">Setup!$C$5+37</f>
        <v>46064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TEXT(Setup!$C$5+37,"dddd")</f>
        <v>Wednesday</v>
      </c>
      <c r="B60" s="13" t="n">
        <f aca="false">Setup!$C$5+37</f>
        <v>46064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TEXT(Setup!$C$5+37,"dddd")</f>
        <v>Wednesday</v>
      </c>
      <c r="B61" s="13" t="n">
        <f aca="false">Setup!$C$5+37</f>
        <v>46064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TEXT(Setup!$C$5+37,"dddd")</f>
        <v>Wednesday</v>
      </c>
      <c r="B62" s="13" t="n">
        <f aca="false">Setup!$C$5+37</f>
        <v>46064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TEXT(Setup!$C$5+37,"dddd")</f>
        <v>Wednesday</v>
      </c>
      <c r="B63" s="13" t="n">
        <f aca="false">Setup!$C$5+37</f>
        <v>46064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TEXT(Setup!$C$5+37,"dddd")</f>
        <v>Wednesday</v>
      </c>
      <c r="B64" s="13" t="n">
        <f aca="false">Setup!$C$5+37</f>
        <v>46064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TEXT(Setup!$C$5+37,"dddd")</f>
        <v>Wednesday</v>
      </c>
      <c r="B65" s="13" t="n">
        <f aca="false">Setup!$C$5+37</f>
        <v>46064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TEXT(Setup!$C$5+37,"dddd")</f>
        <v>Wednesday</v>
      </c>
      <c r="B66" s="13" t="n">
        <f aca="false">Setup!$C$5+37</f>
        <v>46064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TEXT(Setup!$C$5+37,"dddd")</f>
        <v>Wednesday</v>
      </c>
      <c r="B67" s="23" t="n">
        <f aca="false">Setup!$C$5+37</f>
        <v>46064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IFERROR(H67-Wk5!H67,"")</f>
        <v>0</v>
      </c>
      <c r="O67" s="24" t="n">
        <f aca="false">IFERROR(D67-Wk5!D67,"")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TEXT(Setup!$C$5+38,"dddd")</f>
        <v>Thursday</v>
      </c>
      <c r="B68" s="13" t="n">
        <f aca="false">Setup!$C$5+38</f>
        <v>46065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TEXT(Setup!$C$5+38,"dddd")</f>
        <v>Thursday</v>
      </c>
      <c r="B69" s="13" t="n">
        <f aca="false">Setup!$C$5+38</f>
        <v>46065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TEXT(Setup!$C$5+38,"dddd")</f>
        <v>Thursday</v>
      </c>
      <c r="B70" s="13" t="n">
        <f aca="false">Setup!$C$5+38</f>
        <v>46065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TEXT(Setup!$C$5+38,"dddd")</f>
        <v>Thursday</v>
      </c>
      <c r="B71" s="13" t="n">
        <f aca="false">Setup!$C$5+38</f>
        <v>46065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TEXT(Setup!$C$5+38,"dddd")</f>
        <v>Thursday</v>
      </c>
      <c r="B72" s="13" t="n">
        <f aca="false">Setup!$C$5+38</f>
        <v>46065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TEXT(Setup!$C$5+38,"dddd")</f>
        <v>Thursday</v>
      </c>
      <c r="B73" s="13" t="n">
        <f aca="false">Setup!$C$5+38</f>
        <v>46065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TEXT(Setup!$C$5+38,"dddd")</f>
        <v>Thursday</v>
      </c>
      <c r="B74" s="13" t="n">
        <f aca="false">Setup!$C$5+38</f>
        <v>46065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TEXT(Setup!$C$5+38,"dddd")</f>
        <v>Thursday</v>
      </c>
      <c r="B75" s="13" t="n">
        <f aca="false">Setup!$C$5+38</f>
        <v>46065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TEXT(Setup!$C$5+38,"dddd")</f>
        <v>Thursday</v>
      </c>
      <c r="B76" s="13" t="n">
        <f aca="false">Setup!$C$5+38</f>
        <v>46065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TEXT(Setup!$C$5+38,"dddd")</f>
        <v>Thursday</v>
      </c>
      <c r="B77" s="13" t="n">
        <f aca="false">Setup!$C$5+38</f>
        <v>46065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TEXT(Setup!$C$5+38,"dddd")</f>
        <v>Thursday</v>
      </c>
      <c r="B78" s="13" t="n">
        <f aca="false">Setup!$C$5+38</f>
        <v>46065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TEXT(Setup!$C$5+38,"dddd")</f>
        <v>Thursday</v>
      </c>
      <c r="B79" s="13" t="n">
        <f aca="false">Setup!$C$5+38</f>
        <v>46065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TEXT(Setup!$C$5+38,"dddd")</f>
        <v>Thursday</v>
      </c>
      <c r="B80" s="13" t="n">
        <f aca="false">Setup!$C$5+38</f>
        <v>46065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TEXT(Setup!$C$5+38,"dddd")</f>
        <v>Thursday</v>
      </c>
      <c r="B81" s="13" t="n">
        <f aca="false">Setup!$C$5+38</f>
        <v>46065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TEXT(Setup!$C$5+38,"dddd")</f>
        <v>Thursday</v>
      </c>
      <c r="B82" s="13" t="n">
        <f aca="false">Setup!$C$5+38</f>
        <v>46065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TEXT(Setup!$C$5+38,"dddd")</f>
        <v>Thursday</v>
      </c>
      <c r="B83" s="13" t="n">
        <f aca="false">Setup!$C$5+38</f>
        <v>46065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TEXT(Setup!$C$5+38,"dddd")</f>
        <v>Thursday</v>
      </c>
      <c r="B84" s="13" t="n">
        <f aca="false">Setup!$C$5+38</f>
        <v>46065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TEXT(Setup!$C$5+38,"dddd")</f>
        <v>Thursday</v>
      </c>
      <c r="B85" s="13" t="n">
        <f aca="false">Setup!$C$5+38</f>
        <v>46065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TEXT(Setup!$C$5+38,"dddd")</f>
        <v>Thursday</v>
      </c>
      <c r="B86" s="13" t="n">
        <f aca="false">Setup!$C$5+38</f>
        <v>46065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TEXT(Setup!$C$5+38,"dddd")</f>
        <v>Thursday</v>
      </c>
      <c r="B87" s="13" t="n">
        <f aca="false">Setup!$C$5+38</f>
        <v>46065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TEXT(Setup!$C$5+38,"dddd")</f>
        <v>Thursday</v>
      </c>
      <c r="B88" s="13" t="n">
        <f aca="false">Setup!$C$5+38</f>
        <v>46065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TEXT(Setup!$C$5+38,"dddd")</f>
        <v>Thursday</v>
      </c>
      <c r="B89" s="23" t="n">
        <f aca="false">Setup!$C$5+38</f>
        <v>46065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IFERROR(H89-Wk5!H89,"")</f>
        <v>0</v>
      </c>
      <c r="O89" s="24" t="n">
        <f aca="false">IFERROR(D89-Wk5!D89,"")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TEXT(Setup!$C$5+39,"dddd")</f>
        <v>Friday</v>
      </c>
      <c r="B90" s="13" t="n">
        <f aca="false">Setup!$C$5+39</f>
        <v>46066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TEXT(Setup!$C$5+39,"dddd")</f>
        <v>Friday</v>
      </c>
      <c r="B91" s="13" t="n">
        <f aca="false">Setup!$C$5+39</f>
        <v>46066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TEXT(Setup!$C$5+39,"dddd")</f>
        <v>Friday</v>
      </c>
      <c r="B92" s="13" t="n">
        <f aca="false">Setup!$C$5+39</f>
        <v>46066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TEXT(Setup!$C$5+39,"dddd")</f>
        <v>Friday</v>
      </c>
      <c r="B93" s="13" t="n">
        <f aca="false">Setup!$C$5+39</f>
        <v>46066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TEXT(Setup!$C$5+39,"dddd")</f>
        <v>Friday</v>
      </c>
      <c r="B94" s="13" t="n">
        <f aca="false">Setup!$C$5+39</f>
        <v>46066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TEXT(Setup!$C$5+39,"dddd")</f>
        <v>Friday</v>
      </c>
      <c r="B95" s="13" t="n">
        <f aca="false">Setup!$C$5+39</f>
        <v>46066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TEXT(Setup!$C$5+39,"dddd")</f>
        <v>Friday</v>
      </c>
      <c r="B96" s="13" t="n">
        <f aca="false">Setup!$C$5+39</f>
        <v>46066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TEXT(Setup!$C$5+39,"dddd")</f>
        <v>Friday</v>
      </c>
      <c r="B97" s="13" t="n">
        <f aca="false">Setup!$C$5+39</f>
        <v>46066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TEXT(Setup!$C$5+39,"dddd")</f>
        <v>Friday</v>
      </c>
      <c r="B98" s="13" t="n">
        <f aca="false">Setup!$C$5+39</f>
        <v>46066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TEXT(Setup!$C$5+39,"dddd")</f>
        <v>Friday</v>
      </c>
      <c r="B99" s="13" t="n">
        <f aca="false">Setup!$C$5+39</f>
        <v>46066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TEXT(Setup!$C$5+39,"dddd")</f>
        <v>Friday</v>
      </c>
      <c r="B100" s="13" t="n">
        <f aca="false">Setup!$C$5+39</f>
        <v>46066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TEXT(Setup!$C$5+39,"dddd")</f>
        <v>Friday</v>
      </c>
      <c r="B101" s="13" t="n">
        <f aca="false">Setup!$C$5+39</f>
        <v>46066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TEXT(Setup!$C$5+39,"dddd")</f>
        <v>Friday</v>
      </c>
      <c r="B102" s="13" t="n">
        <f aca="false">Setup!$C$5+39</f>
        <v>46066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TEXT(Setup!$C$5+39,"dddd")</f>
        <v>Friday</v>
      </c>
      <c r="B103" s="13" t="n">
        <f aca="false">Setup!$C$5+39</f>
        <v>46066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TEXT(Setup!$C$5+39,"dddd")</f>
        <v>Friday</v>
      </c>
      <c r="B104" s="13" t="n">
        <f aca="false">Setup!$C$5+39</f>
        <v>46066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TEXT(Setup!$C$5+39,"dddd")</f>
        <v>Friday</v>
      </c>
      <c r="B105" s="13" t="n">
        <f aca="false">Setup!$C$5+39</f>
        <v>46066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TEXT(Setup!$C$5+39,"dddd")</f>
        <v>Friday</v>
      </c>
      <c r="B106" s="13" t="n">
        <f aca="false">Setup!$C$5+39</f>
        <v>46066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TEXT(Setup!$C$5+39,"dddd")</f>
        <v>Friday</v>
      </c>
      <c r="B107" s="13" t="n">
        <f aca="false">Setup!$C$5+39</f>
        <v>46066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TEXT(Setup!$C$5+39,"dddd")</f>
        <v>Friday</v>
      </c>
      <c r="B108" s="13" t="n">
        <f aca="false">Setup!$C$5+39</f>
        <v>46066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TEXT(Setup!$C$5+39,"dddd")</f>
        <v>Friday</v>
      </c>
      <c r="B109" s="13" t="n">
        <f aca="false">Setup!$C$5+39</f>
        <v>46066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TEXT(Setup!$C$5+39,"dddd")</f>
        <v>Friday</v>
      </c>
      <c r="B110" s="13" t="n">
        <f aca="false">Setup!$C$5+39</f>
        <v>46066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TEXT(Setup!$C$5+39,"dddd")</f>
        <v>Friday</v>
      </c>
      <c r="B111" s="23" t="n">
        <f aca="false">Setup!$C$5+39</f>
        <v>46066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IFERROR(H111-Wk5!H111,"")</f>
        <v>0</v>
      </c>
      <c r="O111" s="24" t="n">
        <f aca="false">IFERROR(D111-Wk5!D111,"")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TEXT(Setup!$C$5+40,"dddd")</f>
        <v>Saturday</v>
      </c>
      <c r="B112" s="13" t="n">
        <f aca="false">Setup!$C$5+40</f>
        <v>46067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TEXT(Setup!$C$5+40,"dddd")</f>
        <v>Saturday</v>
      </c>
      <c r="B113" s="13" t="n">
        <f aca="false">Setup!$C$5+40</f>
        <v>46067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TEXT(Setup!$C$5+40,"dddd")</f>
        <v>Saturday</v>
      </c>
      <c r="B114" s="13" t="n">
        <f aca="false">Setup!$C$5+40</f>
        <v>46067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TEXT(Setup!$C$5+40,"dddd")</f>
        <v>Saturday</v>
      </c>
      <c r="B115" s="13" t="n">
        <f aca="false">Setup!$C$5+40</f>
        <v>46067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TEXT(Setup!$C$5+40,"dddd")</f>
        <v>Saturday</v>
      </c>
      <c r="B116" s="13" t="n">
        <f aca="false">Setup!$C$5+40</f>
        <v>46067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TEXT(Setup!$C$5+40,"dddd")</f>
        <v>Saturday</v>
      </c>
      <c r="B117" s="13" t="n">
        <f aca="false">Setup!$C$5+40</f>
        <v>46067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TEXT(Setup!$C$5+40,"dddd")</f>
        <v>Saturday</v>
      </c>
      <c r="B118" s="13" t="n">
        <f aca="false">Setup!$C$5+40</f>
        <v>46067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TEXT(Setup!$C$5+40,"dddd")</f>
        <v>Saturday</v>
      </c>
      <c r="B119" s="13" t="n">
        <f aca="false">Setup!$C$5+40</f>
        <v>46067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TEXT(Setup!$C$5+40,"dddd")</f>
        <v>Saturday</v>
      </c>
      <c r="B120" s="13" t="n">
        <f aca="false">Setup!$C$5+40</f>
        <v>46067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TEXT(Setup!$C$5+40,"dddd")</f>
        <v>Saturday</v>
      </c>
      <c r="B121" s="13" t="n">
        <f aca="false">Setup!$C$5+40</f>
        <v>46067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TEXT(Setup!$C$5+40,"dddd")</f>
        <v>Saturday</v>
      </c>
      <c r="B122" s="13" t="n">
        <f aca="false">Setup!$C$5+40</f>
        <v>46067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TEXT(Setup!$C$5+40,"dddd")</f>
        <v>Saturday</v>
      </c>
      <c r="B123" s="13" t="n">
        <f aca="false">Setup!$C$5+40</f>
        <v>46067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TEXT(Setup!$C$5+40,"dddd")</f>
        <v>Saturday</v>
      </c>
      <c r="B124" s="13" t="n">
        <f aca="false">Setup!$C$5+40</f>
        <v>46067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TEXT(Setup!$C$5+40,"dddd")</f>
        <v>Saturday</v>
      </c>
      <c r="B125" s="13" t="n">
        <f aca="false">Setup!$C$5+40</f>
        <v>46067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TEXT(Setup!$C$5+40,"dddd")</f>
        <v>Saturday</v>
      </c>
      <c r="B126" s="13" t="n">
        <f aca="false">Setup!$C$5+40</f>
        <v>46067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TEXT(Setup!$C$5+40,"dddd")</f>
        <v>Saturday</v>
      </c>
      <c r="B127" s="13" t="n">
        <f aca="false">Setup!$C$5+40</f>
        <v>46067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TEXT(Setup!$C$5+40,"dddd")</f>
        <v>Saturday</v>
      </c>
      <c r="B128" s="13" t="n">
        <f aca="false">Setup!$C$5+40</f>
        <v>46067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TEXT(Setup!$C$5+40,"dddd")</f>
        <v>Saturday</v>
      </c>
      <c r="B129" s="13" t="n">
        <f aca="false">Setup!$C$5+40</f>
        <v>46067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TEXT(Setup!$C$5+40,"dddd")</f>
        <v>Saturday</v>
      </c>
      <c r="B130" s="13" t="n">
        <f aca="false">Setup!$C$5+40</f>
        <v>46067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TEXT(Setup!$C$5+40,"dddd")</f>
        <v>Saturday</v>
      </c>
      <c r="B131" s="13" t="n">
        <f aca="false">Setup!$C$5+40</f>
        <v>46067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TEXT(Setup!$C$5+40,"dddd")</f>
        <v>Saturday</v>
      </c>
      <c r="B132" s="13" t="n">
        <f aca="false">Setup!$C$5+40</f>
        <v>46067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TEXT(Setup!$C$5+40,"dddd")</f>
        <v>Saturday</v>
      </c>
      <c r="B133" s="23" t="n">
        <f aca="false">Setup!$C$5+40</f>
        <v>46067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IFERROR(H133-Wk5!H133,"")</f>
        <v>0</v>
      </c>
      <c r="O133" s="24" t="n">
        <f aca="false">IFERROR(D133-Wk5!D133,"")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TEXT(Setup!$C$5+41,"dddd")</f>
        <v>Sunday</v>
      </c>
      <c r="B134" s="13" t="n">
        <f aca="false">Setup!$C$5+41</f>
        <v>46068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TEXT(Setup!$C$5+41,"dddd")</f>
        <v>Sunday</v>
      </c>
      <c r="B135" s="13" t="n">
        <f aca="false">Setup!$C$5+41</f>
        <v>46068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TEXT(Setup!$C$5+41,"dddd")</f>
        <v>Sunday</v>
      </c>
      <c r="B136" s="13" t="n">
        <f aca="false">Setup!$C$5+41</f>
        <v>46068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TEXT(Setup!$C$5+41,"dddd")</f>
        <v>Sunday</v>
      </c>
      <c r="B137" s="13" t="n">
        <f aca="false">Setup!$C$5+41</f>
        <v>46068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TEXT(Setup!$C$5+41,"dddd")</f>
        <v>Sunday</v>
      </c>
      <c r="B138" s="13" t="n">
        <f aca="false">Setup!$C$5+41</f>
        <v>46068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TEXT(Setup!$C$5+41,"dddd")</f>
        <v>Sunday</v>
      </c>
      <c r="B139" s="13" t="n">
        <f aca="false">Setup!$C$5+41</f>
        <v>46068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TEXT(Setup!$C$5+41,"dddd")</f>
        <v>Sunday</v>
      </c>
      <c r="B140" s="13" t="n">
        <f aca="false">Setup!$C$5+41</f>
        <v>46068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TEXT(Setup!$C$5+41,"dddd")</f>
        <v>Sunday</v>
      </c>
      <c r="B141" s="13" t="n">
        <f aca="false">Setup!$C$5+41</f>
        <v>46068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TEXT(Setup!$C$5+41,"dddd")</f>
        <v>Sunday</v>
      </c>
      <c r="B142" s="13" t="n">
        <f aca="false">Setup!$C$5+41</f>
        <v>46068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TEXT(Setup!$C$5+41,"dddd")</f>
        <v>Sunday</v>
      </c>
      <c r="B143" s="13" t="n">
        <f aca="false">Setup!$C$5+41</f>
        <v>46068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TEXT(Setup!$C$5+41,"dddd")</f>
        <v>Sunday</v>
      </c>
      <c r="B144" s="13" t="n">
        <f aca="false">Setup!$C$5+41</f>
        <v>46068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TEXT(Setup!$C$5+41,"dddd")</f>
        <v>Sunday</v>
      </c>
      <c r="B145" s="13" t="n">
        <f aca="false">Setup!$C$5+41</f>
        <v>46068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TEXT(Setup!$C$5+41,"dddd")</f>
        <v>Sunday</v>
      </c>
      <c r="B146" s="13" t="n">
        <f aca="false">Setup!$C$5+41</f>
        <v>46068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TEXT(Setup!$C$5+41,"dddd")</f>
        <v>Sunday</v>
      </c>
      <c r="B147" s="13" t="n">
        <f aca="false">Setup!$C$5+41</f>
        <v>46068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TEXT(Setup!$C$5+41,"dddd")</f>
        <v>Sunday</v>
      </c>
      <c r="B148" s="13" t="n">
        <f aca="false">Setup!$C$5+41</f>
        <v>46068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TEXT(Setup!$C$5+41,"dddd")</f>
        <v>Sunday</v>
      </c>
      <c r="B149" s="13" t="n">
        <f aca="false">Setup!$C$5+41</f>
        <v>46068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TEXT(Setup!$C$5+41,"dddd")</f>
        <v>Sunday</v>
      </c>
      <c r="B150" s="13" t="n">
        <f aca="false">Setup!$C$5+41</f>
        <v>46068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TEXT(Setup!$C$5+41,"dddd")</f>
        <v>Sunday</v>
      </c>
      <c r="B151" s="13" t="n">
        <f aca="false">Setup!$C$5+41</f>
        <v>46068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TEXT(Setup!$C$5+41,"dddd")</f>
        <v>Sunday</v>
      </c>
      <c r="B152" s="13" t="n">
        <f aca="false">Setup!$C$5+41</f>
        <v>46068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TEXT(Setup!$C$5+41,"dddd")</f>
        <v>Sunday</v>
      </c>
      <c r="B153" s="13" t="n">
        <f aca="false">Setup!$C$5+41</f>
        <v>46068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TEXT(Setup!$C$5+41,"dddd")</f>
        <v>Sunday</v>
      </c>
      <c r="B154" s="13" t="n">
        <f aca="false">Setup!$C$5+41</f>
        <v>46068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TEXT(Setup!$C$5+41,"dddd")</f>
        <v>Sunday</v>
      </c>
      <c r="B155" s="23" t="n">
        <f aca="false">Setup!$C$5+41</f>
        <v>46068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IFERROR(H155-Wk5!H155,"")</f>
        <v>0</v>
      </c>
      <c r="O155" s="24" t="n">
        <f aca="false">IFERROR(D155-Wk5!D155,"")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IFERROR(D156-Wk5!D156,"")</f>
        <v>0</v>
      </c>
      <c r="E157" s="34" t="n">
        <f aca="false">IFERROR(E156-Wk5!E156,"")</f>
        <v>0</v>
      </c>
      <c r="H157" s="32" t="n">
        <f aca="false">IFERROR(H156-Wk5!H156,"")</f>
        <v>0</v>
      </c>
      <c r="K157" s="32" t="n">
        <f aca="false">IFERROR(K156-Wk5!K156,"")</f>
        <v>0</v>
      </c>
      <c r="M157" s="32" t="n">
        <f aca="false">IFERROR(M156-Wk5!M156,"")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TEXT(Setup!$C$5+42,"dddd")</f>
        <v>Monday</v>
      </c>
      <c r="B2" s="13" t="n">
        <f aca="false">Setup!$C$5+42</f>
        <v>46069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TEXT(Setup!$C$5+42,"dddd")</f>
        <v>Monday</v>
      </c>
      <c r="B3" s="13" t="n">
        <f aca="false">Setup!$C$5+42</f>
        <v>46069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TEXT(Setup!$C$5+42,"dddd")</f>
        <v>Monday</v>
      </c>
      <c r="B4" s="13" t="n">
        <f aca="false">Setup!$C$5+42</f>
        <v>46069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TEXT(Setup!$C$5+42,"dddd")</f>
        <v>Monday</v>
      </c>
      <c r="B5" s="13" t="n">
        <f aca="false">Setup!$C$5+42</f>
        <v>46069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TEXT(Setup!$C$5+42,"dddd")</f>
        <v>Monday</v>
      </c>
      <c r="B6" s="13" t="n">
        <f aca="false">Setup!$C$5+42</f>
        <v>46069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TEXT(Setup!$C$5+42,"dddd")</f>
        <v>Monday</v>
      </c>
      <c r="B7" s="13" t="n">
        <f aca="false">Setup!$C$5+42</f>
        <v>46069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TEXT(Setup!$C$5+42,"dddd")</f>
        <v>Monday</v>
      </c>
      <c r="B8" s="13" t="n">
        <f aca="false">Setup!$C$5+42</f>
        <v>46069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TEXT(Setup!$C$5+42,"dddd")</f>
        <v>Monday</v>
      </c>
      <c r="B9" s="13" t="n">
        <f aca="false">Setup!$C$5+42</f>
        <v>46069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TEXT(Setup!$C$5+42,"dddd")</f>
        <v>Monday</v>
      </c>
      <c r="B10" s="13" t="n">
        <f aca="false">Setup!$C$5+42</f>
        <v>46069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TEXT(Setup!$C$5+42,"dddd")</f>
        <v>Monday</v>
      </c>
      <c r="B11" s="13" t="n">
        <f aca="false">Setup!$C$5+42</f>
        <v>46069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TEXT(Setup!$C$5+42,"dddd")</f>
        <v>Monday</v>
      </c>
      <c r="B12" s="13" t="n">
        <f aca="false">Setup!$C$5+42</f>
        <v>46069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TEXT(Setup!$C$5+42,"dddd")</f>
        <v>Monday</v>
      </c>
      <c r="B13" s="13" t="n">
        <f aca="false">Setup!$C$5+42</f>
        <v>46069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TEXT(Setup!$C$5+42,"dddd")</f>
        <v>Monday</v>
      </c>
      <c r="B14" s="13" t="n">
        <f aca="false">Setup!$C$5+42</f>
        <v>46069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TEXT(Setup!$C$5+42,"dddd")</f>
        <v>Monday</v>
      </c>
      <c r="B15" s="13" t="n">
        <f aca="false">Setup!$C$5+42</f>
        <v>46069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TEXT(Setup!$C$5+42,"dddd")</f>
        <v>Monday</v>
      </c>
      <c r="B16" s="13" t="n">
        <f aca="false">Setup!$C$5+42</f>
        <v>46069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TEXT(Setup!$C$5+42,"dddd")</f>
        <v>Monday</v>
      </c>
      <c r="B17" s="13" t="n">
        <f aca="false">Setup!$C$5+42</f>
        <v>46069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TEXT(Setup!$C$5+42,"dddd")</f>
        <v>Monday</v>
      </c>
      <c r="B18" s="13" t="n">
        <f aca="false">Setup!$C$5+42</f>
        <v>46069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TEXT(Setup!$C$5+42,"dddd")</f>
        <v>Monday</v>
      </c>
      <c r="B19" s="13" t="n">
        <f aca="false">Setup!$C$5+42</f>
        <v>46069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TEXT(Setup!$C$5+42,"dddd")</f>
        <v>Monday</v>
      </c>
      <c r="B20" s="13" t="n">
        <f aca="false">Setup!$C$5+42</f>
        <v>46069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TEXT(Setup!$C$5+42,"dddd")</f>
        <v>Monday</v>
      </c>
      <c r="B21" s="13" t="n">
        <f aca="false">Setup!$C$5+42</f>
        <v>46069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TEXT(Setup!$C$5+42,"dddd")</f>
        <v>Monday</v>
      </c>
      <c r="B22" s="13" t="n">
        <f aca="false">Setup!$C$5+42</f>
        <v>46069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TEXT(Setup!$C$5+42,"dddd")</f>
        <v>Monday</v>
      </c>
      <c r="B23" s="23" t="n">
        <f aca="false">Setup!$C$5+42</f>
        <v>46069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IFERROR(H23-Wk6!H23,"")</f>
        <v>0</v>
      </c>
      <c r="O23" s="24" t="n">
        <f aca="false">IFERROR(D23-Wk6!D23,"")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TEXT(Setup!$C$5+43,"dddd")</f>
        <v>Tuesday</v>
      </c>
      <c r="B24" s="13" t="n">
        <f aca="false">Setup!$C$5+43</f>
        <v>46070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TEXT(Setup!$C$5+43,"dddd")</f>
        <v>Tuesday</v>
      </c>
      <c r="B25" s="13" t="n">
        <f aca="false">Setup!$C$5+43</f>
        <v>46070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TEXT(Setup!$C$5+43,"dddd")</f>
        <v>Tuesday</v>
      </c>
      <c r="B26" s="13" t="n">
        <f aca="false">Setup!$C$5+43</f>
        <v>46070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TEXT(Setup!$C$5+43,"dddd")</f>
        <v>Tuesday</v>
      </c>
      <c r="B27" s="13" t="n">
        <f aca="false">Setup!$C$5+43</f>
        <v>46070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TEXT(Setup!$C$5+43,"dddd")</f>
        <v>Tuesday</v>
      </c>
      <c r="B28" s="13" t="n">
        <f aca="false">Setup!$C$5+43</f>
        <v>46070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TEXT(Setup!$C$5+43,"dddd")</f>
        <v>Tuesday</v>
      </c>
      <c r="B29" s="13" t="n">
        <f aca="false">Setup!$C$5+43</f>
        <v>46070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TEXT(Setup!$C$5+43,"dddd")</f>
        <v>Tuesday</v>
      </c>
      <c r="B30" s="13" t="n">
        <f aca="false">Setup!$C$5+43</f>
        <v>46070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TEXT(Setup!$C$5+43,"dddd")</f>
        <v>Tuesday</v>
      </c>
      <c r="B31" s="13" t="n">
        <f aca="false">Setup!$C$5+43</f>
        <v>46070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TEXT(Setup!$C$5+43,"dddd")</f>
        <v>Tuesday</v>
      </c>
      <c r="B32" s="13" t="n">
        <f aca="false">Setup!$C$5+43</f>
        <v>46070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TEXT(Setup!$C$5+43,"dddd")</f>
        <v>Tuesday</v>
      </c>
      <c r="B33" s="13" t="n">
        <f aca="false">Setup!$C$5+43</f>
        <v>46070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TEXT(Setup!$C$5+43,"dddd")</f>
        <v>Tuesday</v>
      </c>
      <c r="B34" s="13" t="n">
        <f aca="false">Setup!$C$5+43</f>
        <v>46070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TEXT(Setup!$C$5+43,"dddd")</f>
        <v>Tuesday</v>
      </c>
      <c r="B35" s="13" t="n">
        <f aca="false">Setup!$C$5+43</f>
        <v>46070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TEXT(Setup!$C$5+43,"dddd")</f>
        <v>Tuesday</v>
      </c>
      <c r="B36" s="13" t="n">
        <f aca="false">Setup!$C$5+43</f>
        <v>46070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TEXT(Setup!$C$5+43,"dddd")</f>
        <v>Tuesday</v>
      </c>
      <c r="B37" s="13" t="n">
        <f aca="false">Setup!$C$5+43</f>
        <v>46070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TEXT(Setup!$C$5+43,"dddd")</f>
        <v>Tuesday</v>
      </c>
      <c r="B38" s="13" t="n">
        <f aca="false">Setup!$C$5+43</f>
        <v>46070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TEXT(Setup!$C$5+43,"dddd")</f>
        <v>Tuesday</v>
      </c>
      <c r="B39" s="13" t="n">
        <f aca="false">Setup!$C$5+43</f>
        <v>46070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TEXT(Setup!$C$5+43,"dddd")</f>
        <v>Tuesday</v>
      </c>
      <c r="B40" s="13" t="n">
        <f aca="false">Setup!$C$5+43</f>
        <v>46070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TEXT(Setup!$C$5+43,"dddd")</f>
        <v>Tuesday</v>
      </c>
      <c r="B41" s="13" t="n">
        <f aca="false">Setup!$C$5+43</f>
        <v>46070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TEXT(Setup!$C$5+43,"dddd")</f>
        <v>Tuesday</v>
      </c>
      <c r="B42" s="13" t="n">
        <f aca="false">Setup!$C$5+43</f>
        <v>46070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TEXT(Setup!$C$5+43,"dddd")</f>
        <v>Tuesday</v>
      </c>
      <c r="B43" s="13" t="n">
        <f aca="false">Setup!$C$5+43</f>
        <v>46070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TEXT(Setup!$C$5+43,"dddd")</f>
        <v>Tuesday</v>
      </c>
      <c r="B44" s="13" t="n">
        <f aca="false">Setup!$C$5+43</f>
        <v>46070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TEXT(Setup!$C$5+43,"dddd")</f>
        <v>Tuesday</v>
      </c>
      <c r="B45" s="23" t="n">
        <f aca="false">Setup!$C$5+43</f>
        <v>46070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IFERROR(H45-Wk6!H45,"")</f>
        <v>0</v>
      </c>
      <c r="O45" s="24" t="n">
        <f aca="false">IFERROR(D45-Wk6!D45,"")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TEXT(Setup!$C$5+44,"dddd")</f>
        <v>Wednesday</v>
      </c>
      <c r="B46" s="13" t="n">
        <f aca="false">Setup!$C$5+44</f>
        <v>46071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TEXT(Setup!$C$5+44,"dddd")</f>
        <v>Wednesday</v>
      </c>
      <c r="B47" s="13" t="n">
        <f aca="false">Setup!$C$5+44</f>
        <v>46071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TEXT(Setup!$C$5+44,"dddd")</f>
        <v>Wednesday</v>
      </c>
      <c r="B48" s="13" t="n">
        <f aca="false">Setup!$C$5+44</f>
        <v>46071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TEXT(Setup!$C$5+44,"dddd")</f>
        <v>Wednesday</v>
      </c>
      <c r="B49" s="13" t="n">
        <f aca="false">Setup!$C$5+44</f>
        <v>46071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TEXT(Setup!$C$5+44,"dddd")</f>
        <v>Wednesday</v>
      </c>
      <c r="B50" s="13" t="n">
        <f aca="false">Setup!$C$5+44</f>
        <v>46071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TEXT(Setup!$C$5+44,"dddd")</f>
        <v>Wednesday</v>
      </c>
      <c r="B51" s="13" t="n">
        <f aca="false">Setup!$C$5+44</f>
        <v>46071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TEXT(Setup!$C$5+44,"dddd")</f>
        <v>Wednesday</v>
      </c>
      <c r="B52" s="13" t="n">
        <f aca="false">Setup!$C$5+44</f>
        <v>46071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TEXT(Setup!$C$5+44,"dddd")</f>
        <v>Wednesday</v>
      </c>
      <c r="B53" s="13" t="n">
        <f aca="false">Setup!$C$5+44</f>
        <v>46071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TEXT(Setup!$C$5+44,"dddd")</f>
        <v>Wednesday</v>
      </c>
      <c r="B54" s="13" t="n">
        <f aca="false">Setup!$C$5+44</f>
        <v>46071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TEXT(Setup!$C$5+44,"dddd")</f>
        <v>Wednesday</v>
      </c>
      <c r="B55" s="13" t="n">
        <f aca="false">Setup!$C$5+44</f>
        <v>46071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TEXT(Setup!$C$5+44,"dddd")</f>
        <v>Wednesday</v>
      </c>
      <c r="B56" s="13" t="n">
        <f aca="false">Setup!$C$5+44</f>
        <v>46071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TEXT(Setup!$C$5+44,"dddd")</f>
        <v>Wednesday</v>
      </c>
      <c r="B57" s="13" t="n">
        <f aca="false">Setup!$C$5+44</f>
        <v>46071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TEXT(Setup!$C$5+44,"dddd")</f>
        <v>Wednesday</v>
      </c>
      <c r="B58" s="13" t="n">
        <f aca="false">Setup!$C$5+44</f>
        <v>46071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TEXT(Setup!$C$5+44,"dddd")</f>
        <v>Wednesday</v>
      </c>
      <c r="B59" s="13" t="n">
        <f aca="false">Setup!$C$5+44</f>
        <v>46071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TEXT(Setup!$C$5+44,"dddd")</f>
        <v>Wednesday</v>
      </c>
      <c r="B60" s="13" t="n">
        <f aca="false">Setup!$C$5+44</f>
        <v>46071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TEXT(Setup!$C$5+44,"dddd")</f>
        <v>Wednesday</v>
      </c>
      <c r="B61" s="13" t="n">
        <f aca="false">Setup!$C$5+44</f>
        <v>46071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TEXT(Setup!$C$5+44,"dddd")</f>
        <v>Wednesday</v>
      </c>
      <c r="B62" s="13" t="n">
        <f aca="false">Setup!$C$5+44</f>
        <v>46071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TEXT(Setup!$C$5+44,"dddd")</f>
        <v>Wednesday</v>
      </c>
      <c r="B63" s="13" t="n">
        <f aca="false">Setup!$C$5+44</f>
        <v>46071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TEXT(Setup!$C$5+44,"dddd")</f>
        <v>Wednesday</v>
      </c>
      <c r="B64" s="13" t="n">
        <f aca="false">Setup!$C$5+44</f>
        <v>46071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TEXT(Setup!$C$5+44,"dddd")</f>
        <v>Wednesday</v>
      </c>
      <c r="B65" s="13" t="n">
        <f aca="false">Setup!$C$5+44</f>
        <v>46071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TEXT(Setup!$C$5+44,"dddd")</f>
        <v>Wednesday</v>
      </c>
      <c r="B66" s="13" t="n">
        <f aca="false">Setup!$C$5+44</f>
        <v>46071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TEXT(Setup!$C$5+44,"dddd")</f>
        <v>Wednesday</v>
      </c>
      <c r="B67" s="23" t="n">
        <f aca="false">Setup!$C$5+44</f>
        <v>46071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IFERROR(H67-Wk6!H67,"")</f>
        <v>0</v>
      </c>
      <c r="O67" s="24" t="n">
        <f aca="false">IFERROR(D67-Wk6!D67,"")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TEXT(Setup!$C$5+45,"dddd")</f>
        <v>Thursday</v>
      </c>
      <c r="B68" s="13" t="n">
        <f aca="false">Setup!$C$5+45</f>
        <v>46072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TEXT(Setup!$C$5+45,"dddd")</f>
        <v>Thursday</v>
      </c>
      <c r="B69" s="13" t="n">
        <f aca="false">Setup!$C$5+45</f>
        <v>46072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TEXT(Setup!$C$5+45,"dddd")</f>
        <v>Thursday</v>
      </c>
      <c r="B70" s="13" t="n">
        <f aca="false">Setup!$C$5+45</f>
        <v>46072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TEXT(Setup!$C$5+45,"dddd")</f>
        <v>Thursday</v>
      </c>
      <c r="B71" s="13" t="n">
        <f aca="false">Setup!$C$5+45</f>
        <v>46072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TEXT(Setup!$C$5+45,"dddd")</f>
        <v>Thursday</v>
      </c>
      <c r="B72" s="13" t="n">
        <f aca="false">Setup!$C$5+45</f>
        <v>46072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TEXT(Setup!$C$5+45,"dddd")</f>
        <v>Thursday</v>
      </c>
      <c r="B73" s="13" t="n">
        <f aca="false">Setup!$C$5+45</f>
        <v>46072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TEXT(Setup!$C$5+45,"dddd")</f>
        <v>Thursday</v>
      </c>
      <c r="B74" s="13" t="n">
        <f aca="false">Setup!$C$5+45</f>
        <v>46072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TEXT(Setup!$C$5+45,"dddd")</f>
        <v>Thursday</v>
      </c>
      <c r="B75" s="13" t="n">
        <f aca="false">Setup!$C$5+45</f>
        <v>46072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TEXT(Setup!$C$5+45,"dddd")</f>
        <v>Thursday</v>
      </c>
      <c r="B76" s="13" t="n">
        <f aca="false">Setup!$C$5+45</f>
        <v>46072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TEXT(Setup!$C$5+45,"dddd")</f>
        <v>Thursday</v>
      </c>
      <c r="B77" s="13" t="n">
        <f aca="false">Setup!$C$5+45</f>
        <v>46072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TEXT(Setup!$C$5+45,"dddd")</f>
        <v>Thursday</v>
      </c>
      <c r="B78" s="13" t="n">
        <f aca="false">Setup!$C$5+45</f>
        <v>46072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TEXT(Setup!$C$5+45,"dddd")</f>
        <v>Thursday</v>
      </c>
      <c r="B79" s="13" t="n">
        <f aca="false">Setup!$C$5+45</f>
        <v>46072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TEXT(Setup!$C$5+45,"dddd")</f>
        <v>Thursday</v>
      </c>
      <c r="B80" s="13" t="n">
        <f aca="false">Setup!$C$5+45</f>
        <v>46072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TEXT(Setup!$C$5+45,"dddd")</f>
        <v>Thursday</v>
      </c>
      <c r="B81" s="13" t="n">
        <f aca="false">Setup!$C$5+45</f>
        <v>46072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TEXT(Setup!$C$5+45,"dddd")</f>
        <v>Thursday</v>
      </c>
      <c r="B82" s="13" t="n">
        <f aca="false">Setup!$C$5+45</f>
        <v>46072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TEXT(Setup!$C$5+45,"dddd")</f>
        <v>Thursday</v>
      </c>
      <c r="B83" s="13" t="n">
        <f aca="false">Setup!$C$5+45</f>
        <v>46072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TEXT(Setup!$C$5+45,"dddd")</f>
        <v>Thursday</v>
      </c>
      <c r="B84" s="13" t="n">
        <f aca="false">Setup!$C$5+45</f>
        <v>46072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TEXT(Setup!$C$5+45,"dddd")</f>
        <v>Thursday</v>
      </c>
      <c r="B85" s="13" t="n">
        <f aca="false">Setup!$C$5+45</f>
        <v>46072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TEXT(Setup!$C$5+45,"dddd")</f>
        <v>Thursday</v>
      </c>
      <c r="B86" s="13" t="n">
        <f aca="false">Setup!$C$5+45</f>
        <v>46072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TEXT(Setup!$C$5+45,"dddd")</f>
        <v>Thursday</v>
      </c>
      <c r="B87" s="13" t="n">
        <f aca="false">Setup!$C$5+45</f>
        <v>46072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TEXT(Setup!$C$5+45,"dddd")</f>
        <v>Thursday</v>
      </c>
      <c r="B88" s="13" t="n">
        <f aca="false">Setup!$C$5+45</f>
        <v>46072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TEXT(Setup!$C$5+45,"dddd")</f>
        <v>Thursday</v>
      </c>
      <c r="B89" s="23" t="n">
        <f aca="false">Setup!$C$5+45</f>
        <v>46072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IFERROR(H89-Wk6!H89,"")</f>
        <v>0</v>
      </c>
      <c r="O89" s="24" t="n">
        <f aca="false">IFERROR(D89-Wk6!D89,"")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TEXT(Setup!$C$5+46,"dddd")</f>
        <v>Friday</v>
      </c>
      <c r="B90" s="13" t="n">
        <f aca="false">Setup!$C$5+46</f>
        <v>46073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TEXT(Setup!$C$5+46,"dddd")</f>
        <v>Friday</v>
      </c>
      <c r="B91" s="13" t="n">
        <f aca="false">Setup!$C$5+46</f>
        <v>46073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TEXT(Setup!$C$5+46,"dddd")</f>
        <v>Friday</v>
      </c>
      <c r="B92" s="13" t="n">
        <f aca="false">Setup!$C$5+46</f>
        <v>46073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TEXT(Setup!$C$5+46,"dddd")</f>
        <v>Friday</v>
      </c>
      <c r="B93" s="13" t="n">
        <f aca="false">Setup!$C$5+46</f>
        <v>46073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TEXT(Setup!$C$5+46,"dddd")</f>
        <v>Friday</v>
      </c>
      <c r="B94" s="13" t="n">
        <f aca="false">Setup!$C$5+46</f>
        <v>46073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TEXT(Setup!$C$5+46,"dddd")</f>
        <v>Friday</v>
      </c>
      <c r="B95" s="13" t="n">
        <f aca="false">Setup!$C$5+46</f>
        <v>46073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TEXT(Setup!$C$5+46,"dddd")</f>
        <v>Friday</v>
      </c>
      <c r="B96" s="13" t="n">
        <f aca="false">Setup!$C$5+46</f>
        <v>46073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TEXT(Setup!$C$5+46,"dddd")</f>
        <v>Friday</v>
      </c>
      <c r="B97" s="13" t="n">
        <f aca="false">Setup!$C$5+46</f>
        <v>46073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TEXT(Setup!$C$5+46,"dddd")</f>
        <v>Friday</v>
      </c>
      <c r="B98" s="13" t="n">
        <f aca="false">Setup!$C$5+46</f>
        <v>46073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TEXT(Setup!$C$5+46,"dddd")</f>
        <v>Friday</v>
      </c>
      <c r="B99" s="13" t="n">
        <f aca="false">Setup!$C$5+46</f>
        <v>46073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TEXT(Setup!$C$5+46,"dddd")</f>
        <v>Friday</v>
      </c>
      <c r="B100" s="13" t="n">
        <f aca="false">Setup!$C$5+46</f>
        <v>46073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TEXT(Setup!$C$5+46,"dddd")</f>
        <v>Friday</v>
      </c>
      <c r="B101" s="13" t="n">
        <f aca="false">Setup!$C$5+46</f>
        <v>46073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TEXT(Setup!$C$5+46,"dddd")</f>
        <v>Friday</v>
      </c>
      <c r="B102" s="13" t="n">
        <f aca="false">Setup!$C$5+46</f>
        <v>46073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TEXT(Setup!$C$5+46,"dddd")</f>
        <v>Friday</v>
      </c>
      <c r="B103" s="13" t="n">
        <f aca="false">Setup!$C$5+46</f>
        <v>46073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TEXT(Setup!$C$5+46,"dddd")</f>
        <v>Friday</v>
      </c>
      <c r="B104" s="13" t="n">
        <f aca="false">Setup!$C$5+46</f>
        <v>46073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TEXT(Setup!$C$5+46,"dddd")</f>
        <v>Friday</v>
      </c>
      <c r="B105" s="13" t="n">
        <f aca="false">Setup!$C$5+46</f>
        <v>46073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TEXT(Setup!$C$5+46,"dddd")</f>
        <v>Friday</v>
      </c>
      <c r="B106" s="13" t="n">
        <f aca="false">Setup!$C$5+46</f>
        <v>46073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TEXT(Setup!$C$5+46,"dddd")</f>
        <v>Friday</v>
      </c>
      <c r="B107" s="13" t="n">
        <f aca="false">Setup!$C$5+46</f>
        <v>46073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TEXT(Setup!$C$5+46,"dddd")</f>
        <v>Friday</v>
      </c>
      <c r="B108" s="13" t="n">
        <f aca="false">Setup!$C$5+46</f>
        <v>46073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TEXT(Setup!$C$5+46,"dddd")</f>
        <v>Friday</v>
      </c>
      <c r="B109" s="13" t="n">
        <f aca="false">Setup!$C$5+46</f>
        <v>46073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TEXT(Setup!$C$5+46,"dddd")</f>
        <v>Friday</v>
      </c>
      <c r="B110" s="13" t="n">
        <f aca="false">Setup!$C$5+46</f>
        <v>46073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TEXT(Setup!$C$5+46,"dddd")</f>
        <v>Friday</v>
      </c>
      <c r="B111" s="23" t="n">
        <f aca="false">Setup!$C$5+46</f>
        <v>46073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IFERROR(H111-Wk6!H111,"")</f>
        <v>0</v>
      </c>
      <c r="O111" s="24" t="n">
        <f aca="false">IFERROR(D111-Wk6!D111,"")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TEXT(Setup!$C$5+47,"dddd")</f>
        <v>Saturday</v>
      </c>
      <c r="B112" s="13" t="n">
        <f aca="false">Setup!$C$5+47</f>
        <v>46074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TEXT(Setup!$C$5+47,"dddd")</f>
        <v>Saturday</v>
      </c>
      <c r="B113" s="13" t="n">
        <f aca="false">Setup!$C$5+47</f>
        <v>46074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TEXT(Setup!$C$5+47,"dddd")</f>
        <v>Saturday</v>
      </c>
      <c r="B114" s="13" t="n">
        <f aca="false">Setup!$C$5+47</f>
        <v>46074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TEXT(Setup!$C$5+47,"dddd")</f>
        <v>Saturday</v>
      </c>
      <c r="B115" s="13" t="n">
        <f aca="false">Setup!$C$5+47</f>
        <v>46074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TEXT(Setup!$C$5+47,"dddd")</f>
        <v>Saturday</v>
      </c>
      <c r="B116" s="13" t="n">
        <f aca="false">Setup!$C$5+47</f>
        <v>46074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TEXT(Setup!$C$5+47,"dddd")</f>
        <v>Saturday</v>
      </c>
      <c r="B117" s="13" t="n">
        <f aca="false">Setup!$C$5+47</f>
        <v>46074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TEXT(Setup!$C$5+47,"dddd")</f>
        <v>Saturday</v>
      </c>
      <c r="B118" s="13" t="n">
        <f aca="false">Setup!$C$5+47</f>
        <v>46074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TEXT(Setup!$C$5+47,"dddd")</f>
        <v>Saturday</v>
      </c>
      <c r="B119" s="13" t="n">
        <f aca="false">Setup!$C$5+47</f>
        <v>46074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TEXT(Setup!$C$5+47,"dddd")</f>
        <v>Saturday</v>
      </c>
      <c r="B120" s="13" t="n">
        <f aca="false">Setup!$C$5+47</f>
        <v>46074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TEXT(Setup!$C$5+47,"dddd")</f>
        <v>Saturday</v>
      </c>
      <c r="B121" s="13" t="n">
        <f aca="false">Setup!$C$5+47</f>
        <v>46074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TEXT(Setup!$C$5+47,"dddd")</f>
        <v>Saturday</v>
      </c>
      <c r="B122" s="13" t="n">
        <f aca="false">Setup!$C$5+47</f>
        <v>46074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TEXT(Setup!$C$5+47,"dddd")</f>
        <v>Saturday</v>
      </c>
      <c r="B123" s="13" t="n">
        <f aca="false">Setup!$C$5+47</f>
        <v>46074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TEXT(Setup!$C$5+47,"dddd")</f>
        <v>Saturday</v>
      </c>
      <c r="B124" s="13" t="n">
        <f aca="false">Setup!$C$5+47</f>
        <v>46074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TEXT(Setup!$C$5+47,"dddd")</f>
        <v>Saturday</v>
      </c>
      <c r="B125" s="13" t="n">
        <f aca="false">Setup!$C$5+47</f>
        <v>46074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TEXT(Setup!$C$5+47,"dddd")</f>
        <v>Saturday</v>
      </c>
      <c r="B126" s="13" t="n">
        <f aca="false">Setup!$C$5+47</f>
        <v>46074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TEXT(Setup!$C$5+47,"dddd")</f>
        <v>Saturday</v>
      </c>
      <c r="B127" s="13" t="n">
        <f aca="false">Setup!$C$5+47</f>
        <v>46074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TEXT(Setup!$C$5+47,"dddd")</f>
        <v>Saturday</v>
      </c>
      <c r="B128" s="13" t="n">
        <f aca="false">Setup!$C$5+47</f>
        <v>46074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TEXT(Setup!$C$5+47,"dddd")</f>
        <v>Saturday</v>
      </c>
      <c r="B129" s="13" t="n">
        <f aca="false">Setup!$C$5+47</f>
        <v>46074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TEXT(Setup!$C$5+47,"dddd")</f>
        <v>Saturday</v>
      </c>
      <c r="B130" s="13" t="n">
        <f aca="false">Setup!$C$5+47</f>
        <v>46074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TEXT(Setup!$C$5+47,"dddd")</f>
        <v>Saturday</v>
      </c>
      <c r="B131" s="13" t="n">
        <f aca="false">Setup!$C$5+47</f>
        <v>46074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TEXT(Setup!$C$5+47,"dddd")</f>
        <v>Saturday</v>
      </c>
      <c r="B132" s="13" t="n">
        <f aca="false">Setup!$C$5+47</f>
        <v>46074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TEXT(Setup!$C$5+47,"dddd")</f>
        <v>Saturday</v>
      </c>
      <c r="B133" s="23" t="n">
        <f aca="false">Setup!$C$5+47</f>
        <v>46074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IFERROR(H133-Wk6!H133,"")</f>
        <v>0</v>
      </c>
      <c r="O133" s="24" t="n">
        <f aca="false">IFERROR(D133-Wk6!D133,"")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TEXT(Setup!$C$5+48,"dddd")</f>
        <v>Sunday</v>
      </c>
      <c r="B134" s="13" t="n">
        <f aca="false">Setup!$C$5+48</f>
        <v>46075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TEXT(Setup!$C$5+48,"dddd")</f>
        <v>Sunday</v>
      </c>
      <c r="B135" s="13" t="n">
        <f aca="false">Setup!$C$5+48</f>
        <v>46075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TEXT(Setup!$C$5+48,"dddd")</f>
        <v>Sunday</v>
      </c>
      <c r="B136" s="13" t="n">
        <f aca="false">Setup!$C$5+48</f>
        <v>46075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TEXT(Setup!$C$5+48,"dddd")</f>
        <v>Sunday</v>
      </c>
      <c r="B137" s="13" t="n">
        <f aca="false">Setup!$C$5+48</f>
        <v>46075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TEXT(Setup!$C$5+48,"dddd")</f>
        <v>Sunday</v>
      </c>
      <c r="B138" s="13" t="n">
        <f aca="false">Setup!$C$5+48</f>
        <v>46075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TEXT(Setup!$C$5+48,"dddd")</f>
        <v>Sunday</v>
      </c>
      <c r="B139" s="13" t="n">
        <f aca="false">Setup!$C$5+48</f>
        <v>46075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TEXT(Setup!$C$5+48,"dddd")</f>
        <v>Sunday</v>
      </c>
      <c r="B140" s="13" t="n">
        <f aca="false">Setup!$C$5+48</f>
        <v>46075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TEXT(Setup!$C$5+48,"dddd")</f>
        <v>Sunday</v>
      </c>
      <c r="B141" s="13" t="n">
        <f aca="false">Setup!$C$5+48</f>
        <v>46075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TEXT(Setup!$C$5+48,"dddd")</f>
        <v>Sunday</v>
      </c>
      <c r="B142" s="13" t="n">
        <f aca="false">Setup!$C$5+48</f>
        <v>46075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TEXT(Setup!$C$5+48,"dddd")</f>
        <v>Sunday</v>
      </c>
      <c r="B143" s="13" t="n">
        <f aca="false">Setup!$C$5+48</f>
        <v>46075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TEXT(Setup!$C$5+48,"dddd")</f>
        <v>Sunday</v>
      </c>
      <c r="B144" s="13" t="n">
        <f aca="false">Setup!$C$5+48</f>
        <v>46075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TEXT(Setup!$C$5+48,"dddd")</f>
        <v>Sunday</v>
      </c>
      <c r="B145" s="13" t="n">
        <f aca="false">Setup!$C$5+48</f>
        <v>46075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TEXT(Setup!$C$5+48,"dddd")</f>
        <v>Sunday</v>
      </c>
      <c r="B146" s="13" t="n">
        <f aca="false">Setup!$C$5+48</f>
        <v>46075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TEXT(Setup!$C$5+48,"dddd")</f>
        <v>Sunday</v>
      </c>
      <c r="B147" s="13" t="n">
        <f aca="false">Setup!$C$5+48</f>
        <v>46075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TEXT(Setup!$C$5+48,"dddd")</f>
        <v>Sunday</v>
      </c>
      <c r="B148" s="13" t="n">
        <f aca="false">Setup!$C$5+48</f>
        <v>46075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TEXT(Setup!$C$5+48,"dddd")</f>
        <v>Sunday</v>
      </c>
      <c r="B149" s="13" t="n">
        <f aca="false">Setup!$C$5+48</f>
        <v>46075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TEXT(Setup!$C$5+48,"dddd")</f>
        <v>Sunday</v>
      </c>
      <c r="B150" s="13" t="n">
        <f aca="false">Setup!$C$5+48</f>
        <v>46075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TEXT(Setup!$C$5+48,"dddd")</f>
        <v>Sunday</v>
      </c>
      <c r="B151" s="13" t="n">
        <f aca="false">Setup!$C$5+48</f>
        <v>46075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TEXT(Setup!$C$5+48,"dddd")</f>
        <v>Sunday</v>
      </c>
      <c r="B152" s="13" t="n">
        <f aca="false">Setup!$C$5+48</f>
        <v>46075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TEXT(Setup!$C$5+48,"dddd")</f>
        <v>Sunday</v>
      </c>
      <c r="B153" s="13" t="n">
        <f aca="false">Setup!$C$5+48</f>
        <v>46075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TEXT(Setup!$C$5+48,"dddd")</f>
        <v>Sunday</v>
      </c>
      <c r="B154" s="13" t="n">
        <f aca="false">Setup!$C$5+48</f>
        <v>46075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TEXT(Setup!$C$5+48,"dddd")</f>
        <v>Sunday</v>
      </c>
      <c r="B155" s="23" t="n">
        <f aca="false">Setup!$C$5+48</f>
        <v>46075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IFERROR(H155-Wk6!H155,"")</f>
        <v>0</v>
      </c>
      <c r="O155" s="24" t="n">
        <f aca="false">IFERROR(D155-Wk6!D155,"")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IFERROR(D156-Wk6!D156,"")</f>
        <v>0</v>
      </c>
      <c r="E157" s="34" t="n">
        <f aca="false">IFERROR(E156-Wk6!E156,"")</f>
        <v>0</v>
      </c>
      <c r="H157" s="32" t="n">
        <f aca="false">IFERROR(H156-Wk6!H156,"")</f>
        <v>0</v>
      </c>
      <c r="K157" s="32" t="n">
        <f aca="false">IFERROR(K156-Wk6!K156,"")</f>
        <v>0</v>
      </c>
      <c r="M157" s="32" t="n">
        <f aca="false">IFERROR(M156-Wk6!M156,"")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TEXT(Setup!$C$5+49,"dddd")</f>
        <v>Monday</v>
      </c>
      <c r="B2" s="13" t="n">
        <f aca="false">Setup!$C$5+49</f>
        <v>46076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TEXT(Setup!$C$5+49,"dddd")</f>
        <v>Monday</v>
      </c>
      <c r="B3" s="13" t="n">
        <f aca="false">Setup!$C$5+49</f>
        <v>46076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TEXT(Setup!$C$5+49,"dddd")</f>
        <v>Monday</v>
      </c>
      <c r="B4" s="13" t="n">
        <f aca="false">Setup!$C$5+49</f>
        <v>46076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TEXT(Setup!$C$5+49,"dddd")</f>
        <v>Monday</v>
      </c>
      <c r="B5" s="13" t="n">
        <f aca="false">Setup!$C$5+49</f>
        <v>46076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TEXT(Setup!$C$5+49,"dddd")</f>
        <v>Monday</v>
      </c>
      <c r="B6" s="13" t="n">
        <f aca="false">Setup!$C$5+49</f>
        <v>46076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TEXT(Setup!$C$5+49,"dddd")</f>
        <v>Monday</v>
      </c>
      <c r="B7" s="13" t="n">
        <f aca="false">Setup!$C$5+49</f>
        <v>46076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TEXT(Setup!$C$5+49,"dddd")</f>
        <v>Monday</v>
      </c>
      <c r="B8" s="13" t="n">
        <f aca="false">Setup!$C$5+49</f>
        <v>46076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TEXT(Setup!$C$5+49,"dddd")</f>
        <v>Monday</v>
      </c>
      <c r="B9" s="13" t="n">
        <f aca="false">Setup!$C$5+49</f>
        <v>46076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TEXT(Setup!$C$5+49,"dddd")</f>
        <v>Monday</v>
      </c>
      <c r="B10" s="13" t="n">
        <f aca="false">Setup!$C$5+49</f>
        <v>46076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TEXT(Setup!$C$5+49,"dddd")</f>
        <v>Monday</v>
      </c>
      <c r="B11" s="13" t="n">
        <f aca="false">Setup!$C$5+49</f>
        <v>46076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TEXT(Setup!$C$5+49,"dddd")</f>
        <v>Monday</v>
      </c>
      <c r="B12" s="13" t="n">
        <f aca="false">Setup!$C$5+49</f>
        <v>46076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TEXT(Setup!$C$5+49,"dddd")</f>
        <v>Monday</v>
      </c>
      <c r="B13" s="13" t="n">
        <f aca="false">Setup!$C$5+49</f>
        <v>46076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TEXT(Setup!$C$5+49,"dddd")</f>
        <v>Monday</v>
      </c>
      <c r="B14" s="13" t="n">
        <f aca="false">Setup!$C$5+49</f>
        <v>46076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TEXT(Setup!$C$5+49,"dddd")</f>
        <v>Monday</v>
      </c>
      <c r="B15" s="13" t="n">
        <f aca="false">Setup!$C$5+49</f>
        <v>46076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TEXT(Setup!$C$5+49,"dddd")</f>
        <v>Monday</v>
      </c>
      <c r="B16" s="13" t="n">
        <f aca="false">Setup!$C$5+49</f>
        <v>46076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TEXT(Setup!$C$5+49,"dddd")</f>
        <v>Monday</v>
      </c>
      <c r="B17" s="13" t="n">
        <f aca="false">Setup!$C$5+49</f>
        <v>46076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TEXT(Setup!$C$5+49,"dddd")</f>
        <v>Monday</v>
      </c>
      <c r="B18" s="13" t="n">
        <f aca="false">Setup!$C$5+49</f>
        <v>46076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TEXT(Setup!$C$5+49,"dddd")</f>
        <v>Monday</v>
      </c>
      <c r="B19" s="13" t="n">
        <f aca="false">Setup!$C$5+49</f>
        <v>46076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TEXT(Setup!$C$5+49,"dddd")</f>
        <v>Monday</v>
      </c>
      <c r="B20" s="13" t="n">
        <f aca="false">Setup!$C$5+49</f>
        <v>46076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TEXT(Setup!$C$5+49,"dddd")</f>
        <v>Monday</v>
      </c>
      <c r="B21" s="13" t="n">
        <f aca="false">Setup!$C$5+49</f>
        <v>46076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TEXT(Setup!$C$5+49,"dddd")</f>
        <v>Monday</v>
      </c>
      <c r="B22" s="13" t="n">
        <f aca="false">Setup!$C$5+49</f>
        <v>46076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TEXT(Setup!$C$5+49,"dddd")</f>
        <v>Monday</v>
      </c>
      <c r="B23" s="23" t="n">
        <f aca="false">Setup!$C$5+49</f>
        <v>46076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IFERROR(H23-Wk7!H23,"")</f>
        <v>0</v>
      </c>
      <c r="O23" s="24" t="n">
        <f aca="false">IFERROR(D23-Wk7!D23,"")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TEXT(Setup!$C$5+50,"dddd")</f>
        <v>Tuesday</v>
      </c>
      <c r="B24" s="13" t="n">
        <f aca="false">Setup!$C$5+50</f>
        <v>46077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TEXT(Setup!$C$5+50,"dddd")</f>
        <v>Tuesday</v>
      </c>
      <c r="B25" s="13" t="n">
        <f aca="false">Setup!$C$5+50</f>
        <v>46077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TEXT(Setup!$C$5+50,"dddd")</f>
        <v>Tuesday</v>
      </c>
      <c r="B26" s="13" t="n">
        <f aca="false">Setup!$C$5+50</f>
        <v>46077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TEXT(Setup!$C$5+50,"dddd")</f>
        <v>Tuesday</v>
      </c>
      <c r="B27" s="13" t="n">
        <f aca="false">Setup!$C$5+50</f>
        <v>46077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TEXT(Setup!$C$5+50,"dddd")</f>
        <v>Tuesday</v>
      </c>
      <c r="B28" s="13" t="n">
        <f aca="false">Setup!$C$5+50</f>
        <v>46077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TEXT(Setup!$C$5+50,"dddd")</f>
        <v>Tuesday</v>
      </c>
      <c r="B29" s="13" t="n">
        <f aca="false">Setup!$C$5+50</f>
        <v>46077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TEXT(Setup!$C$5+50,"dddd")</f>
        <v>Tuesday</v>
      </c>
      <c r="B30" s="13" t="n">
        <f aca="false">Setup!$C$5+50</f>
        <v>46077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TEXT(Setup!$C$5+50,"dddd")</f>
        <v>Tuesday</v>
      </c>
      <c r="B31" s="13" t="n">
        <f aca="false">Setup!$C$5+50</f>
        <v>46077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TEXT(Setup!$C$5+50,"dddd")</f>
        <v>Tuesday</v>
      </c>
      <c r="B32" s="13" t="n">
        <f aca="false">Setup!$C$5+50</f>
        <v>46077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TEXT(Setup!$C$5+50,"dddd")</f>
        <v>Tuesday</v>
      </c>
      <c r="B33" s="13" t="n">
        <f aca="false">Setup!$C$5+50</f>
        <v>46077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TEXT(Setup!$C$5+50,"dddd")</f>
        <v>Tuesday</v>
      </c>
      <c r="B34" s="13" t="n">
        <f aca="false">Setup!$C$5+50</f>
        <v>46077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TEXT(Setup!$C$5+50,"dddd")</f>
        <v>Tuesday</v>
      </c>
      <c r="B35" s="13" t="n">
        <f aca="false">Setup!$C$5+50</f>
        <v>46077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TEXT(Setup!$C$5+50,"dddd")</f>
        <v>Tuesday</v>
      </c>
      <c r="B36" s="13" t="n">
        <f aca="false">Setup!$C$5+50</f>
        <v>46077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TEXT(Setup!$C$5+50,"dddd")</f>
        <v>Tuesday</v>
      </c>
      <c r="B37" s="13" t="n">
        <f aca="false">Setup!$C$5+50</f>
        <v>46077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TEXT(Setup!$C$5+50,"dddd")</f>
        <v>Tuesday</v>
      </c>
      <c r="B38" s="13" t="n">
        <f aca="false">Setup!$C$5+50</f>
        <v>46077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TEXT(Setup!$C$5+50,"dddd")</f>
        <v>Tuesday</v>
      </c>
      <c r="B39" s="13" t="n">
        <f aca="false">Setup!$C$5+50</f>
        <v>46077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TEXT(Setup!$C$5+50,"dddd")</f>
        <v>Tuesday</v>
      </c>
      <c r="B40" s="13" t="n">
        <f aca="false">Setup!$C$5+50</f>
        <v>46077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TEXT(Setup!$C$5+50,"dddd")</f>
        <v>Tuesday</v>
      </c>
      <c r="B41" s="13" t="n">
        <f aca="false">Setup!$C$5+50</f>
        <v>46077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TEXT(Setup!$C$5+50,"dddd")</f>
        <v>Tuesday</v>
      </c>
      <c r="B42" s="13" t="n">
        <f aca="false">Setup!$C$5+50</f>
        <v>46077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TEXT(Setup!$C$5+50,"dddd")</f>
        <v>Tuesday</v>
      </c>
      <c r="B43" s="13" t="n">
        <f aca="false">Setup!$C$5+50</f>
        <v>46077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TEXT(Setup!$C$5+50,"dddd")</f>
        <v>Tuesday</v>
      </c>
      <c r="B44" s="13" t="n">
        <f aca="false">Setup!$C$5+50</f>
        <v>46077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TEXT(Setup!$C$5+50,"dddd")</f>
        <v>Tuesday</v>
      </c>
      <c r="B45" s="23" t="n">
        <f aca="false">Setup!$C$5+50</f>
        <v>46077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IFERROR(H45-Wk7!H45,"")</f>
        <v>0</v>
      </c>
      <c r="O45" s="24" t="n">
        <f aca="false">IFERROR(D45-Wk7!D45,"")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TEXT(Setup!$C$5+51,"dddd")</f>
        <v>Wednesday</v>
      </c>
      <c r="B46" s="13" t="n">
        <f aca="false">Setup!$C$5+51</f>
        <v>46078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TEXT(Setup!$C$5+51,"dddd")</f>
        <v>Wednesday</v>
      </c>
      <c r="B47" s="13" t="n">
        <f aca="false">Setup!$C$5+51</f>
        <v>46078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TEXT(Setup!$C$5+51,"dddd")</f>
        <v>Wednesday</v>
      </c>
      <c r="B48" s="13" t="n">
        <f aca="false">Setup!$C$5+51</f>
        <v>46078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TEXT(Setup!$C$5+51,"dddd")</f>
        <v>Wednesday</v>
      </c>
      <c r="B49" s="13" t="n">
        <f aca="false">Setup!$C$5+51</f>
        <v>46078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TEXT(Setup!$C$5+51,"dddd")</f>
        <v>Wednesday</v>
      </c>
      <c r="B50" s="13" t="n">
        <f aca="false">Setup!$C$5+51</f>
        <v>46078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TEXT(Setup!$C$5+51,"dddd")</f>
        <v>Wednesday</v>
      </c>
      <c r="B51" s="13" t="n">
        <f aca="false">Setup!$C$5+51</f>
        <v>46078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TEXT(Setup!$C$5+51,"dddd")</f>
        <v>Wednesday</v>
      </c>
      <c r="B52" s="13" t="n">
        <f aca="false">Setup!$C$5+51</f>
        <v>46078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TEXT(Setup!$C$5+51,"dddd")</f>
        <v>Wednesday</v>
      </c>
      <c r="B53" s="13" t="n">
        <f aca="false">Setup!$C$5+51</f>
        <v>46078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TEXT(Setup!$C$5+51,"dddd")</f>
        <v>Wednesday</v>
      </c>
      <c r="B54" s="13" t="n">
        <f aca="false">Setup!$C$5+51</f>
        <v>46078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TEXT(Setup!$C$5+51,"dddd")</f>
        <v>Wednesday</v>
      </c>
      <c r="B55" s="13" t="n">
        <f aca="false">Setup!$C$5+51</f>
        <v>46078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TEXT(Setup!$C$5+51,"dddd")</f>
        <v>Wednesday</v>
      </c>
      <c r="B56" s="13" t="n">
        <f aca="false">Setup!$C$5+51</f>
        <v>46078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TEXT(Setup!$C$5+51,"dddd")</f>
        <v>Wednesday</v>
      </c>
      <c r="B57" s="13" t="n">
        <f aca="false">Setup!$C$5+51</f>
        <v>46078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TEXT(Setup!$C$5+51,"dddd")</f>
        <v>Wednesday</v>
      </c>
      <c r="B58" s="13" t="n">
        <f aca="false">Setup!$C$5+51</f>
        <v>46078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TEXT(Setup!$C$5+51,"dddd")</f>
        <v>Wednesday</v>
      </c>
      <c r="B59" s="13" t="n">
        <f aca="false">Setup!$C$5+51</f>
        <v>46078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TEXT(Setup!$C$5+51,"dddd")</f>
        <v>Wednesday</v>
      </c>
      <c r="B60" s="13" t="n">
        <f aca="false">Setup!$C$5+51</f>
        <v>46078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TEXT(Setup!$C$5+51,"dddd")</f>
        <v>Wednesday</v>
      </c>
      <c r="B61" s="13" t="n">
        <f aca="false">Setup!$C$5+51</f>
        <v>46078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TEXT(Setup!$C$5+51,"dddd")</f>
        <v>Wednesday</v>
      </c>
      <c r="B62" s="13" t="n">
        <f aca="false">Setup!$C$5+51</f>
        <v>46078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TEXT(Setup!$C$5+51,"dddd")</f>
        <v>Wednesday</v>
      </c>
      <c r="B63" s="13" t="n">
        <f aca="false">Setup!$C$5+51</f>
        <v>46078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TEXT(Setup!$C$5+51,"dddd")</f>
        <v>Wednesday</v>
      </c>
      <c r="B64" s="13" t="n">
        <f aca="false">Setup!$C$5+51</f>
        <v>46078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TEXT(Setup!$C$5+51,"dddd")</f>
        <v>Wednesday</v>
      </c>
      <c r="B65" s="13" t="n">
        <f aca="false">Setup!$C$5+51</f>
        <v>46078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TEXT(Setup!$C$5+51,"dddd")</f>
        <v>Wednesday</v>
      </c>
      <c r="B66" s="13" t="n">
        <f aca="false">Setup!$C$5+51</f>
        <v>46078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TEXT(Setup!$C$5+51,"dddd")</f>
        <v>Wednesday</v>
      </c>
      <c r="B67" s="23" t="n">
        <f aca="false">Setup!$C$5+51</f>
        <v>46078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IFERROR(H67-Wk7!H67,"")</f>
        <v>0</v>
      </c>
      <c r="O67" s="24" t="n">
        <f aca="false">IFERROR(D67-Wk7!D67,"")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TEXT(Setup!$C$5+52,"dddd")</f>
        <v>Thursday</v>
      </c>
      <c r="B68" s="13" t="n">
        <f aca="false">Setup!$C$5+52</f>
        <v>46079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TEXT(Setup!$C$5+52,"dddd")</f>
        <v>Thursday</v>
      </c>
      <c r="B69" s="13" t="n">
        <f aca="false">Setup!$C$5+52</f>
        <v>46079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TEXT(Setup!$C$5+52,"dddd")</f>
        <v>Thursday</v>
      </c>
      <c r="B70" s="13" t="n">
        <f aca="false">Setup!$C$5+52</f>
        <v>46079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TEXT(Setup!$C$5+52,"dddd")</f>
        <v>Thursday</v>
      </c>
      <c r="B71" s="13" t="n">
        <f aca="false">Setup!$C$5+52</f>
        <v>46079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TEXT(Setup!$C$5+52,"dddd")</f>
        <v>Thursday</v>
      </c>
      <c r="B72" s="13" t="n">
        <f aca="false">Setup!$C$5+52</f>
        <v>46079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TEXT(Setup!$C$5+52,"dddd")</f>
        <v>Thursday</v>
      </c>
      <c r="B73" s="13" t="n">
        <f aca="false">Setup!$C$5+52</f>
        <v>46079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TEXT(Setup!$C$5+52,"dddd")</f>
        <v>Thursday</v>
      </c>
      <c r="B74" s="13" t="n">
        <f aca="false">Setup!$C$5+52</f>
        <v>46079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TEXT(Setup!$C$5+52,"dddd")</f>
        <v>Thursday</v>
      </c>
      <c r="B75" s="13" t="n">
        <f aca="false">Setup!$C$5+52</f>
        <v>46079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TEXT(Setup!$C$5+52,"dddd")</f>
        <v>Thursday</v>
      </c>
      <c r="B76" s="13" t="n">
        <f aca="false">Setup!$C$5+52</f>
        <v>46079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TEXT(Setup!$C$5+52,"dddd")</f>
        <v>Thursday</v>
      </c>
      <c r="B77" s="13" t="n">
        <f aca="false">Setup!$C$5+52</f>
        <v>46079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TEXT(Setup!$C$5+52,"dddd")</f>
        <v>Thursday</v>
      </c>
      <c r="B78" s="13" t="n">
        <f aca="false">Setup!$C$5+52</f>
        <v>46079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TEXT(Setup!$C$5+52,"dddd")</f>
        <v>Thursday</v>
      </c>
      <c r="B79" s="13" t="n">
        <f aca="false">Setup!$C$5+52</f>
        <v>46079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TEXT(Setup!$C$5+52,"dddd")</f>
        <v>Thursday</v>
      </c>
      <c r="B80" s="13" t="n">
        <f aca="false">Setup!$C$5+52</f>
        <v>46079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TEXT(Setup!$C$5+52,"dddd")</f>
        <v>Thursday</v>
      </c>
      <c r="B81" s="13" t="n">
        <f aca="false">Setup!$C$5+52</f>
        <v>46079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TEXT(Setup!$C$5+52,"dddd")</f>
        <v>Thursday</v>
      </c>
      <c r="B82" s="13" t="n">
        <f aca="false">Setup!$C$5+52</f>
        <v>46079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TEXT(Setup!$C$5+52,"dddd")</f>
        <v>Thursday</v>
      </c>
      <c r="B83" s="13" t="n">
        <f aca="false">Setup!$C$5+52</f>
        <v>46079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TEXT(Setup!$C$5+52,"dddd")</f>
        <v>Thursday</v>
      </c>
      <c r="B84" s="13" t="n">
        <f aca="false">Setup!$C$5+52</f>
        <v>46079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TEXT(Setup!$C$5+52,"dddd")</f>
        <v>Thursday</v>
      </c>
      <c r="B85" s="13" t="n">
        <f aca="false">Setup!$C$5+52</f>
        <v>46079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TEXT(Setup!$C$5+52,"dddd")</f>
        <v>Thursday</v>
      </c>
      <c r="B86" s="13" t="n">
        <f aca="false">Setup!$C$5+52</f>
        <v>46079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TEXT(Setup!$C$5+52,"dddd")</f>
        <v>Thursday</v>
      </c>
      <c r="B87" s="13" t="n">
        <f aca="false">Setup!$C$5+52</f>
        <v>46079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TEXT(Setup!$C$5+52,"dddd")</f>
        <v>Thursday</v>
      </c>
      <c r="B88" s="13" t="n">
        <f aca="false">Setup!$C$5+52</f>
        <v>46079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TEXT(Setup!$C$5+52,"dddd")</f>
        <v>Thursday</v>
      </c>
      <c r="B89" s="23" t="n">
        <f aca="false">Setup!$C$5+52</f>
        <v>46079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IFERROR(H89-Wk7!H89,"")</f>
        <v>0</v>
      </c>
      <c r="O89" s="24" t="n">
        <f aca="false">IFERROR(D89-Wk7!D89,"")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TEXT(Setup!$C$5+53,"dddd")</f>
        <v>Friday</v>
      </c>
      <c r="B90" s="13" t="n">
        <f aca="false">Setup!$C$5+53</f>
        <v>46080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TEXT(Setup!$C$5+53,"dddd")</f>
        <v>Friday</v>
      </c>
      <c r="B91" s="13" t="n">
        <f aca="false">Setup!$C$5+53</f>
        <v>46080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TEXT(Setup!$C$5+53,"dddd")</f>
        <v>Friday</v>
      </c>
      <c r="B92" s="13" t="n">
        <f aca="false">Setup!$C$5+53</f>
        <v>46080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TEXT(Setup!$C$5+53,"dddd")</f>
        <v>Friday</v>
      </c>
      <c r="B93" s="13" t="n">
        <f aca="false">Setup!$C$5+53</f>
        <v>46080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TEXT(Setup!$C$5+53,"dddd")</f>
        <v>Friday</v>
      </c>
      <c r="B94" s="13" t="n">
        <f aca="false">Setup!$C$5+53</f>
        <v>46080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TEXT(Setup!$C$5+53,"dddd")</f>
        <v>Friday</v>
      </c>
      <c r="B95" s="13" t="n">
        <f aca="false">Setup!$C$5+53</f>
        <v>46080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TEXT(Setup!$C$5+53,"dddd")</f>
        <v>Friday</v>
      </c>
      <c r="B96" s="13" t="n">
        <f aca="false">Setup!$C$5+53</f>
        <v>46080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TEXT(Setup!$C$5+53,"dddd")</f>
        <v>Friday</v>
      </c>
      <c r="B97" s="13" t="n">
        <f aca="false">Setup!$C$5+53</f>
        <v>46080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TEXT(Setup!$C$5+53,"dddd")</f>
        <v>Friday</v>
      </c>
      <c r="B98" s="13" t="n">
        <f aca="false">Setup!$C$5+53</f>
        <v>46080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TEXT(Setup!$C$5+53,"dddd")</f>
        <v>Friday</v>
      </c>
      <c r="B99" s="13" t="n">
        <f aca="false">Setup!$C$5+53</f>
        <v>46080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TEXT(Setup!$C$5+53,"dddd")</f>
        <v>Friday</v>
      </c>
      <c r="B100" s="13" t="n">
        <f aca="false">Setup!$C$5+53</f>
        <v>46080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TEXT(Setup!$C$5+53,"dddd")</f>
        <v>Friday</v>
      </c>
      <c r="B101" s="13" t="n">
        <f aca="false">Setup!$C$5+53</f>
        <v>46080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TEXT(Setup!$C$5+53,"dddd")</f>
        <v>Friday</v>
      </c>
      <c r="B102" s="13" t="n">
        <f aca="false">Setup!$C$5+53</f>
        <v>46080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TEXT(Setup!$C$5+53,"dddd")</f>
        <v>Friday</v>
      </c>
      <c r="B103" s="13" t="n">
        <f aca="false">Setup!$C$5+53</f>
        <v>46080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TEXT(Setup!$C$5+53,"dddd")</f>
        <v>Friday</v>
      </c>
      <c r="B104" s="13" t="n">
        <f aca="false">Setup!$C$5+53</f>
        <v>46080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TEXT(Setup!$C$5+53,"dddd")</f>
        <v>Friday</v>
      </c>
      <c r="B105" s="13" t="n">
        <f aca="false">Setup!$C$5+53</f>
        <v>46080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TEXT(Setup!$C$5+53,"dddd")</f>
        <v>Friday</v>
      </c>
      <c r="B106" s="13" t="n">
        <f aca="false">Setup!$C$5+53</f>
        <v>46080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TEXT(Setup!$C$5+53,"dddd")</f>
        <v>Friday</v>
      </c>
      <c r="B107" s="13" t="n">
        <f aca="false">Setup!$C$5+53</f>
        <v>46080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TEXT(Setup!$C$5+53,"dddd")</f>
        <v>Friday</v>
      </c>
      <c r="B108" s="13" t="n">
        <f aca="false">Setup!$C$5+53</f>
        <v>46080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TEXT(Setup!$C$5+53,"dddd")</f>
        <v>Friday</v>
      </c>
      <c r="B109" s="13" t="n">
        <f aca="false">Setup!$C$5+53</f>
        <v>46080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TEXT(Setup!$C$5+53,"dddd")</f>
        <v>Friday</v>
      </c>
      <c r="B110" s="13" t="n">
        <f aca="false">Setup!$C$5+53</f>
        <v>46080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TEXT(Setup!$C$5+53,"dddd")</f>
        <v>Friday</v>
      </c>
      <c r="B111" s="23" t="n">
        <f aca="false">Setup!$C$5+53</f>
        <v>46080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IFERROR(H111-Wk7!H111,"")</f>
        <v>0</v>
      </c>
      <c r="O111" s="24" t="n">
        <f aca="false">IFERROR(D111-Wk7!D111,"")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TEXT(Setup!$C$5+54,"dddd")</f>
        <v>Saturday</v>
      </c>
      <c r="B112" s="13" t="n">
        <f aca="false">Setup!$C$5+54</f>
        <v>46081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TEXT(Setup!$C$5+54,"dddd")</f>
        <v>Saturday</v>
      </c>
      <c r="B113" s="13" t="n">
        <f aca="false">Setup!$C$5+54</f>
        <v>46081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TEXT(Setup!$C$5+54,"dddd")</f>
        <v>Saturday</v>
      </c>
      <c r="B114" s="13" t="n">
        <f aca="false">Setup!$C$5+54</f>
        <v>46081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TEXT(Setup!$C$5+54,"dddd")</f>
        <v>Saturday</v>
      </c>
      <c r="B115" s="13" t="n">
        <f aca="false">Setup!$C$5+54</f>
        <v>46081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TEXT(Setup!$C$5+54,"dddd")</f>
        <v>Saturday</v>
      </c>
      <c r="B116" s="13" t="n">
        <f aca="false">Setup!$C$5+54</f>
        <v>46081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TEXT(Setup!$C$5+54,"dddd")</f>
        <v>Saturday</v>
      </c>
      <c r="B117" s="13" t="n">
        <f aca="false">Setup!$C$5+54</f>
        <v>46081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TEXT(Setup!$C$5+54,"dddd")</f>
        <v>Saturday</v>
      </c>
      <c r="B118" s="13" t="n">
        <f aca="false">Setup!$C$5+54</f>
        <v>46081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TEXT(Setup!$C$5+54,"dddd")</f>
        <v>Saturday</v>
      </c>
      <c r="B119" s="13" t="n">
        <f aca="false">Setup!$C$5+54</f>
        <v>46081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TEXT(Setup!$C$5+54,"dddd")</f>
        <v>Saturday</v>
      </c>
      <c r="B120" s="13" t="n">
        <f aca="false">Setup!$C$5+54</f>
        <v>46081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TEXT(Setup!$C$5+54,"dddd")</f>
        <v>Saturday</v>
      </c>
      <c r="B121" s="13" t="n">
        <f aca="false">Setup!$C$5+54</f>
        <v>46081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TEXT(Setup!$C$5+54,"dddd")</f>
        <v>Saturday</v>
      </c>
      <c r="B122" s="13" t="n">
        <f aca="false">Setup!$C$5+54</f>
        <v>46081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TEXT(Setup!$C$5+54,"dddd")</f>
        <v>Saturday</v>
      </c>
      <c r="B123" s="13" t="n">
        <f aca="false">Setup!$C$5+54</f>
        <v>46081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TEXT(Setup!$C$5+54,"dddd")</f>
        <v>Saturday</v>
      </c>
      <c r="B124" s="13" t="n">
        <f aca="false">Setup!$C$5+54</f>
        <v>46081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TEXT(Setup!$C$5+54,"dddd")</f>
        <v>Saturday</v>
      </c>
      <c r="B125" s="13" t="n">
        <f aca="false">Setup!$C$5+54</f>
        <v>46081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TEXT(Setup!$C$5+54,"dddd")</f>
        <v>Saturday</v>
      </c>
      <c r="B126" s="13" t="n">
        <f aca="false">Setup!$C$5+54</f>
        <v>46081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TEXT(Setup!$C$5+54,"dddd")</f>
        <v>Saturday</v>
      </c>
      <c r="B127" s="13" t="n">
        <f aca="false">Setup!$C$5+54</f>
        <v>46081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TEXT(Setup!$C$5+54,"dddd")</f>
        <v>Saturday</v>
      </c>
      <c r="B128" s="13" t="n">
        <f aca="false">Setup!$C$5+54</f>
        <v>46081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TEXT(Setup!$C$5+54,"dddd")</f>
        <v>Saturday</v>
      </c>
      <c r="B129" s="13" t="n">
        <f aca="false">Setup!$C$5+54</f>
        <v>46081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TEXT(Setup!$C$5+54,"dddd")</f>
        <v>Saturday</v>
      </c>
      <c r="B130" s="13" t="n">
        <f aca="false">Setup!$C$5+54</f>
        <v>46081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TEXT(Setup!$C$5+54,"dddd")</f>
        <v>Saturday</v>
      </c>
      <c r="B131" s="13" t="n">
        <f aca="false">Setup!$C$5+54</f>
        <v>46081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TEXT(Setup!$C$5+54,"dddd")</f>
        <v>Saturday</v>
      </c>
      <c r="B132" s="13" t="n">
        <f aca="false">Setup!$C$5+54</f>
        <v>46081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TEXT(Setup!$C$5+54,"dddd")</f>
        <v>Saturday</v>
      </c>
      <c r="B133" s="23" t="n">
        <f aca="false">Setup!$C$5+54</f>
        <v>46081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IFERROR(H133-Wk7!H133,"")</f>
        <v>0</v>
      </c>
      <c r="O133" s="24" t="n">
        <f aca="false">IFERROR(D133-Wk7!D133,"")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TEXT(Setup!$C$5+55,"dddd")</f>
        <v>Sunday</v>
      </c>
      <c r="B134" s="13" t="n">
        <f aca="false">Setup!$C$5+55</f>
        <v>46082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TEXT(Setup!$C$5+55,"dddd")</f>
        <v>Sunday</v>
      </c>
      <c r="B135" s="13" t="n">
        <f aca="false">Setup!$C$5+55</f>
        <v>46082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TEXT(Setup!$C$5+55,"dddd")</f>
        <v>Sunday</v>
      </c>
      <c r="B136" s="13" t="n">
        <f aca="false">Setup!$C$5+55</f>
        <v>46082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TEXT(Setup!$C$5+55,"dddd")</f>
        <v>Sunday</v>
      </c>
      <c r="B137" s="13" t="n">
        <f aca="false">Setup!$C$5+55</f>
        <v>46082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TEXT(Setup!$C$5+55,"dddd")</f>
        <v>Sunday</v>
      </c>
      <c r="B138" s="13" t="n">
        <f aca="false">Setup!$C$5+55</f>
        <v>46082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TEXT(Setup!$C$5+55,"dddd")</f>
        <v>Sunday</v>
      </c>
      <c r="B139" s="13" t="n">
        <f aca="false">Setup!$C$5+55</f>
        <v>46082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TEXT(Setup!$C$5+55,"dddd")</f>
        <v>Sunday</v>
      </c>
      <c r="B140" s="13" t="n">
        <f aca="false">Setup!$C$5+55</f>
        <v>46082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TEXT(Setup!$C$5+55,"dddd")</f>
        <v>Sunday</v>
      </c>
      <c r="B141" s="13" t="n">
        <f aca="false">Setup!$C$5+55</f>
        <v>46082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TEXT(Setup!$C$5+55,"dddd")</f>
        <v>Sunday</v>
      </c>
      <c r="B142" s="13" t="n">
        <f aca="false">Setup!$C$5+55</f>
        <v>46082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TEXT(Setup!$C$5+55,"dddd")</f>
        <v>Sunday</v>
      </c>
      <c r="B143" s="13" t="n">
        <f aca="false">Setup!$C$5+55</f>
        <v>46082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TEXT(Setup!$C$5+55,"dddd")</f>
        <v>Sunday</v>
      </c>
      <c r="B144" s="13" t="n">
        <f aca="false">Setup!$C$5+55</f>
        <v>46082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TEXT(Setup!$C$5+55,"dddd")</f>
        <v>Sunday</v>
      </c>
      <c r="B145" s="13" t="n">
        <f aca="false">Setup!$C$5+55</f>
        <v>46082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TEXT(Setup!$C$5+55,"dddd")</f>
        <v>Sunday</v>
      </c>
      <c r="B146" s="13" t="n">
        <f aca="false">Setup!$C$5+55</f>
        <v>46082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TEXT(Setup!$C$5+55,"dddd")</f>
        <v>Sunday</v>
      </c>
      <c r="B147" s="13" t="n">
        <f aca="false">Setup!$C$5+55</f>
        <v>46082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TEXT(Setup!$C$5+55,"dddd")</f>
        <v>Sunday</v>
      </c>
      <c r="B148" s="13" t="n">
        <f aca="false">Setup!$C$5+55</f>
        <v>46082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TEXT(Setup!$C$5+55,"dddd")</f>
        <v>Sunday</v>
      </c>
      <c r="B149" s="13" t="n">
        <f aca="false">Setup!$C$5+55</f>
        <v>46082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TEXT(Setup!$C$5+55,"dddd")</f>
        <v>Sunday</v>
      </c>
      <c r="B150" s="13" t="n">
        <f aca="false">Setup!$C$5+55</f>
        <v>46082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TEXT(Setup!$C$5+55,"dddd")</f>
        <v>Sunday</v>
      </c>
      <c r="B151" s="13" t="n">
        <f aca="false">Setup!$C$5+55</f>
        <v>46082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TEXT(Setup!$C$5+55,"dddd")</f>
        <v>Sunday</v>
      </c>
      <c r="B152" s="13" t="n">
        <f aca="false">Setup!$C$5+55</f>
        <v>46082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TEXT(Setup!$C$5+55,"dddd")</f>
        <v>Sunday</v>
      </c>
      <c r="B153" s="13" t="n">
        <f aca="false">Setup!$C$5+55</f>
        <v>46082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TEXT(Setup!$C$5+55,"dddd")</f>
        <v>Sunday</v>
      </c>
      <c r="B154" s="13" t="n">
        <f aca="false">Setup!$C$5+55</f>
        <v>46082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TEXT(Setup!$C$5+55,"dddd")</f>
        <v>Sunday</v>
      </c>
      <c r="B155" s="23" t="n">
        <f aca="false">Setup!$C$5+55</f>
        <v>46082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IFERROR(H155-Wk7!H155,"")</f>
        <v>0</v>
      </c>
      <c r="O155" s="24" t="n">
        <f aca="false">IFERROR(D155-Wk7!D155,"")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IFERROR(D156-Wk7!D156,"")</f>
        <v>0</v>
      </c>
      <c r="E157" s="34" t="n">
        <f aca="false">IFERROR(E156-Wk7!E156,"")</f>
        <v>0</v>
      </c>
      <c r="H157" s="32" t="n">
        <f aca="false">IFERROR(H156-Wk7!H156,"")</f>
        <v>0</v>
      </c>
      <c r="K157" s="32" t="n">
        <f aca="false">IFERROR(K156-Wk7!K156,"")</f>
        <v>0</v>
      </c>
      <c r="M157" s="32" t="n">
        <f aca="false">IFERROR(M156-Wk7!M156,"")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TEXT(Setup!$C$5+56,"dddd")</f>
        <v>Monday</v>
      </c>
      <c r="B2" s="13" t="n">
        <f aca="false">Setup!$C$5+56</f>
        <v>46083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TEXT(Setup!$C$5+56,"dddd")</f>
        <v>Monday</v>
      </c>
      <c r="B3" s="13" t="n">
        <f aca="false">Setup!$C$5+56</f>
        <v>46083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TEXT(Setup!$C$5+56,"dddd")</f>
        <v>Monday</v>
      </c>
      <c r="B4" s="13" t="n">
        <f aca="false">Setup!$C$5+56</f>
        <v>46083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TEXT(Setup!$C$5+56,"dddd")</f>
        <v>Monday</v>
      </c>
      <c r="B5" s="13" t="n">
        <f aca="false">Setup!$C$5+56</f>
        <v>46083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TEXT(Setup!$C$5+56,"dddd")</f>
        <v>Monday</v>
      </c>
      <c r="B6" s="13" t="n">
        <f aca="false">Setup!$C$5+56</f>
        <v>46083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TEXT(Setup!$C$5+56,"dddd")</f>
        <v>Monday</v>
      </c>
      <c r="B7" s="13" t="n">
        <f aca="false">Setup!$C$5+56</f>
        <v>46083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TEXT(Setup!$C$5+56,"dddd")</f>
        <v>Monday</v>
      </c>
      <c r="B8" s="13" t="n">
        <f aca="false">Setup!$C$5+56</f>
        <v>46083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TEXT(Setup!$C$5+56,"dddd")</f>
        <v>Monday</v>
      </c>
      <c r="B9" s="13" t="n">
        <f aca="false">Setup!$C$5+56</f>
        <v>46083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TEXT(Setup!$C$5+56,"dddd")</f>
        <v>Monday</v>
      </c>
      <c r="B10" s="13" t="n">
        <f aca="false">Setup!$C$5+56</f>
        <v>46083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TEXT(Setup!$C$5+56,"dddd")</f>
        <v>Monday</v>
      </c>
      <c r="B11" s="13" t="n">
        <f aca="false">Setup!$C$5+56</f>
        <v>46083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TEXT(Setup!$C$5+56,"dddd")</f>
        <v>Monday</v>
      </c>
      <c r="B12" s="13" t="n">
        <f aca="false">Setup!$C$5+56</f>
        <v>46083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TEXT(Setup!$C$5+56,"dddd")</f>
        <v>Monday</v>
      </c>
      <c r="B13" s="13" t="n">
        <f aca="false">Setup!$C$5+56</f>
        <v>46083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TEXT(Setup!$C$5+56,"dddd")</f>
        <v>Monday</v>
      </c>
      <c r="B14" s="13" t="n">
        <f aca="false">Setup!$C$5+56</f>
        <v>46083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TEXT(Setup!$C$5+56,"dddd")</f>
        <v>Monday</v>
      </c>
      <c r="B15" s="13" t="n">
        <f aca="false">Setup!$C$5+56</f>
        <v>46083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TEXT(Setup!$C$5+56,"dddd")</f>
        <v>Monday</v>
      </c>
      <c r="B16" s="13" t="n">
        <f aca="false">Setup!$C$5+56</f>
        <v>46083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TEXT(Setup!$C$5+56,"dddd")</f>
        <v>Monday</v>
      </c>
      <c r="B17" s="13" t="n">
        <f aca="false">Setup!$C$5+56</f>
        <v>46083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TEXT(Setup!$C$5+56,"dddd")</f>
        <v>Monday</v>
      </c>
      <c r="B18" s="13" t="n">
        <f aca="false">Setup!$C$5+56</f>
        <v>46083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TEXT(Setup!$C$5+56,"dddd")</f>
        <v>Monday</v>
      </c>
      <c r="B19" s="13" t="n">
        <f aca="false">Setup!$C$5+56</f>
        <v>46083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TEXT(Setup!$C$5+56,"dddd")</f>
        <v>Monday</v>
      </c>
      <c r="B20" s="13" t="n">
        <f aca="false">Setup!$C$5+56</f>
        <v>46083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TEXT(Setup!$C$5+56,"dddd")</f>
        <v>Monday</v>
      </c>
      <c r="B21" s="13" t="n">
        <f aca="false">Setup!$C$5+56</f>
        <v>46083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TEXT(Setup!$C$5+56,"dddd")</f>
        <v>Monday</v>
      </c>
      <c r="B22" s="13" t="n">
        <f aca="false">Setup!$C$5+56</f>
        <v>46083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TEXT(Setup!$C$5+56,"dddd")</f>
        <v>Monday</v>
      </c>
      <c r="B23" s="23" t="n">
        <f aca="false">Setup!$C$5+56</f>
        <v>46083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IFERROR(H23-Wk8!H23,"")</f>
        <v>0</v>
      </c>
      <c r="O23" s="24" t="n">
        <f aca="false">IFERROR(D23-Wk8!D23,"")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TEXT(Setup!$C$5+57,"dddd")</f>
        <v>Tuesday</v>
      </c>
      <c r="B24" s="13" t="n">
        <f aca="false">Setup!$C$5+57</f>
        <v>46084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TEXT(Setup!$C$5+57,"dddd")</f>
        <v>Tuesday</v>
      </c>
      <c r="B25" s="13" t="n">
        <f aca="false">Setup!$C$5+57</f>
        <v>46084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TEXT(Setup!$C$5+57,"dddd")</f>
        <v>Tuesday</v>
      </c>
      <c r="B26" s="13" t="n">
        <f aca="false">Setup!$C$5+57</f>
        <v>46084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TEXT(Setup!$C$5+57,"dddd")</f>
        <v>Tuesday</v>
      </c>
      <c r="B27" s="13" t="n">
        <f aca="false">Setup!$C$5+57</f>
        <v>46084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TEXT(Setup!$C$5+57,"dddd")</f>
        <v>Tuesday</v>
      </c>
      <c r="B28" s="13" t="n">
        <f aca="false">Setup!$C$5+57</f>
        <v>46084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TEXT(Setup!$C$5+57,"dddd")</f>
        <v>Tuesday</v>
      </c>
      <c r="B29" s="13" t="n">
        <f aca="false">Setup!$C$5+57</f>
        <v>46084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TEXT(Setup!$C$5+57,"dddd")</f>
        <v>Tuesday</v>
      </c>
      <c r="B30" s="13" t="n">
        <f aca="false">Setup!$C$5+57</f>
        <v>46084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TEXT(Setup!$C$5+57,"dddd")</f>
        <v>Tuesday</v>
      </c>
      <c r="B31" s="13" t="n">
        <f aca="false">Setup!$C$5+57</f>
        <v>46084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TEXT(Setup!$C$5+57,"dddd")</f>
        <v>Tuesday</v>
      </c>
      <c r="B32" s="13" t="n">
        <f aca="false">Setup!$C$5+57</f>
        <v>46084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TEXT(Setup!$C$5+57,"dddd")</f>
        <v>Tuesday</v>
      </c>
      <c r="B33" s="13" t="n">
        <f aca="false">Setup!$C$5+57</f>
        <v>46084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TEXT(Setup!$C$5+57,"dddd")</f>
        <v>Tuesday</v>
      </c>
      <c r="B34" s="13" t="n">
        <f aca="false">Setup!$C$5+57</f>
        <v>46084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TEXT(Setup!$C$5+57,"dddd")</f>
        <v>Tuesday</v>
      </c>
      <c r="B35" s="13" t="n">
        <f aca="false">Setup!$C$5+57</f>
        <v>46084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TEXT(Setup!$C$5+57,"dddd")</f>
        <v>Tuesday</v>
      </c>
      <c r="B36" s="13" t="n">
        <f aca="false">Setup!$C$5+57</f>
        <v>46084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TEXT(Setup!$C$5+57,"dddd")</f>
        <v>Tuesday</v>
      </c>
      <c r="B37" s="13" t="n">
        <f aca="false">Setup!$C$5+57</f>
        <v>46084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TEXT(Setup!$C$5+57,"dddd")</f>
        <v>Tuesday</v>
      </c>
      <c r="B38" s="13" t="n">
        <f aca="false">Setup!$C$5+57</f>
        <v>46084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TEXT(Setup!$C$5+57,"dddd")</f>
        <v>Tuesday</v>
      </c>
      <c r="B39" s="13" t="n">
        <f aca="false">Setup!$C$5+57</f>
        <v>46084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TEXT(Setup!$C$5+57,"dddd")</f>
        <v>Tuesday</v>
      </c>
      <c r="B40" s="13" t="n">
        <f aca="false">Setup!$C$5+57</f>
        <v>46084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TEXT(Setup!$C$5+57,"dddd")</f>
        <v>Tuesday</v>
      </c>
      <c r="B41" s="13" t="n">
        <f aca="false">Setup!$C$5+57</f>
        <v>46084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TEXT(Setup!$C$5+57,"dddd")</f>
        <v>Tuesday</v>
      </c>
      <c r="B42" s="13" t="n">
        <f aca="false">Setup!$C$5+57</f>
        <v>46084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TEXT(Setup!$C$5+57,"dddd")</f>
        <v>Tuesday</v>
      </c>
      <c r="B43" s="13" t="n">
        <f aca="false">Setup!$C$5+57</f>
        <v>46084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TEXT(Setup!$C$5+57,"dddd")</f>
        <v>Tuesday</v>
      </c>
      <c r="B44" s="13" t="n">
        <f aca="false">Setup!$C$5+57</f>
        <v>46084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TEXT(Setup!$C$5+57,"dddd")</f>
        <v>Tuesday</v>
      </c>
      <c r="B45" s="23" t="n">
        <f aca="false">Setup!$C$5+57</f>
        <v>46084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IFERROR(H45-Wk8!H45,"")</f>
        <v>0</v>
      </c>
      <c r="O45" s="24" t="n">
        <f aca="false">IFERROR(D45-Wk8!D45,"")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TEXT(Setup!$C$5+58,"dddd")</f>
        <v>Wednesday</v>
      </c>
      <c r="B46" s="13" t="n">
        <f aca="false">Setup!$C$5+58</f>
        <v>46085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TEXT(Setup!$C$5+58,"dddd")</f>
        <v>Wednesday</v>
      </c>
      <c r="B47" s="13" t="n">
        <f aca="false">Setup!$C$5+58</f>
        <v>46085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TEXT(Setup!$C$5+58,"dddd")</f>
        <v>Wednesday</v>
      </c>
      <c r="B48" s="13" t="n">
        <f aca="false">Setup!$C$5+58</f>
        <v>46085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TEXT(Setup!$C$5+58,"dddd")</f>
        <v>Wednesday</v>
      </c>
      <c r="B49" s="13" t="n">
        <f aca="false">Setup!$C$5+58</f>
        <v>46085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TEXT(Setup!$C$5+58,"dddd")</f>
        <v>Wednesday</v>
      </c>
      <c r="B50" s="13" t="n">
        <f aca="false">Setup!$C$5+58</f>
        <v>46085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TEXT(Setup!$C$5+58,"dddd")</f>
        <v>Wednesday</v>
      </c>
      <c r="B51" s="13" t="n">
        <f aca="false">Setup!$C$5+58</f>
        <v>46085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TEXT(Setup!$C$5+58,"dddd")</f>
        <v>Wednesday</v>
      </c>
      <c r="B52" s="13" t="n">
        <f aca="false">Setup!$C$5+58</f>
        <v>46085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TEXT(Setup!$C$5+58,"dddd")</f>
        <v>Wednesday</v>
      </c>
      <c r="B53" s="13" t="n">
        <f aca="false">Setup!$C$5+58</f>
        <v>46085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TEXT(Setup!$C$5+58,"dddd")</f>
        <v>Wednesday</v>
      </c>
      <c r="B54" s="13" t="n">
        <f aca="false">Setup!$C$5+58</f>
        <v>46085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TEXT(Setup!$C$5+58,"dddd")</f>
        <v>Wednesday</v>
      </c>
      <c r="B55" s="13" t="n">
        <f aca="false">Setup!$C$5+58</f>
        <v>46085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TEXT(Setup!$C$5+58,"dddd")</f>
        <v>Wednesday</v>
      </c>
      <c r="B56" s="13" t="n">
        <f aca="false">Setup!$C$5+58</f>
        <v>46085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TEXT(Setup!$C$5+58,"dddd")</f>
        <v>Wednesday</v>
      </c>
      <c r="B57" s="13" t="n">
        <f aca="false">Setup!$C$5+58</f>
        <v>46085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TEXT(Setup!$C$5+58,"dddd")</f>
        <v>Wednesday</v>
      </c>
      <c r="B58" s="13" t="n">
        <f aca="false">Setup!$C$5+58</f>
        <v>46085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TEXT(Setup!$C$5+58,"dddd")</f>
        <v>Wednesday</v>
      </c>
      <c r="B59" s="13" t="n">
        <f aca="false">Setup!$C$5+58</f>
        <v>46085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TEXT(Setup!$C$5+58,"dddd")</f>
        <v>Wednesday</v>
      </c>
      <c r="B60" s="13" t="n">
        <f aca="false">Setup!$C$5+58</f>
        <v>46085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TEXT(Setup!$C$5+58,"dddd")</f>
        <v>Wednesday</v>
      </c>
      <c r="B61" s="13" t="n">
        <f aca="false">Setup!$C$5+58</f>
        <v>46085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TEXT(Setup!$C$5+58,"dddd")</f>
        <v>Wednesday</v>
      </c>
      <c r="B62" s="13" t="n">
        <f aca="false">Setup!$C$5+58</f>
        <v>46085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TEXT(Setup!$C$5+58,"dddd")</f>
        <v>Wednesday</v>
      </c>
      <c r="B63" s="13" t="n">
        <f aca="false">Setup!$C$5+58</f>
        <v>46085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TEXT(Setup!$C$5+58,"dddd")</f>
        <v>Wednesday</v>
      </c>
      <c r="B64" s="13" t="n">
        <f aca="false">Setup!$C$5+58</f>
        <v>46085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TEXT(Setup!$C$5+58,"dddd")</f>
        <v>Wednesday</v>
      </c>
      <c r="B65" s="13" t="n">
        <f aca="false">Setup!$C$5+58</f>
        <v>46085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TEXT(Setup!$C$5+58,"dddd")</f>
        <v>Wednesday</v>
      </c>
      <c r="B66" s="13" t="n">
        <f aca="false">Setup!$C$5+58</f>
        <v>46085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TEXT(Setup!$C$5+58,"dddd")</f>
        <v>Wednesday</v>
      </c>
      <c r="B67" s="23" t="n">
        <f aca="false">Setup!$C$5+58</f>
        <v>46085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IFERROR(H67-Wk8!H67,"")</f>
        <v>0</v>
      </c>
      <c r="O67" s="24" t="n">
        <f aca="false">IFERROR(D67-Wk8!D67,"")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TEXT(Setup!$C$5+59,"dddd")</f>
        <v>Thursday</v>
      </c>
      <c r="B68" s="13" t="n">
        <f aca="false">Setup!$C$5+59</f>
        <v>46086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TEXT(Setup!$C$5+59,"dddd")</f>
        <v>Thursday</v>
      </c>
      <c r="B69" s="13" t="n">
        <f aca="false">Setup!$C$5+59</f>
        <v>46086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TEXT(Setup!$C$5+59,"dddd")</f>
        <v>Thursday</v>
      </c>
      <c r="B70" s="13" t="n">
        <f aca="false">Setup!$C$5+59</f>
        <v>46086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TEXT(Setup!$C$5+59,"dddd")</f>
        <v>Thursday</v>
      </c>
      <c r="B71" s="13" t="n">
        <f aca="false">Setup!$C$5+59</f>
        <v>46086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TEXT(Setup!$C$5+59,"dddd")</f>
        <v>Thursday</v>
      </c>
      <c r="B72" s="13" t="n">
        <f aca="false">Setup!$C$5+59</f>
        <v>46086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TEXT(Setup!$C$5+59,"dddd")</f>
        <v>Thursday</v>
      </c>
      <c r="B73" s="13" t="n">
        <f aca="false">Setup!$C$5+59</f>
        <v>46086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TEXT(Setup!$C$5+59,"dddd")</f>
        <v>Thursday</v>
      </c>
      <c r="B74" s="13" t="n">
        <f aca="false">Setup!$C$5+59</f>
        <v>46086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TEXT(Setup!$C$5+59,"dddd")</f>
        <v>Thursday</v>
      </c>
      <c r="B75" s="13" t="n">
        <f aca="false">Setup!$C$5+59</f>
        <v>46086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TEXT(Setup!$C$5+59,"dddd")</f>
        <v>Thursday</v>
      </c>
      <c r="B76" s="13" t="n">
        <f aca="false">Setup!$C$5+59</f>
        <v>46086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TEXT(Setup!$C$5+59,"dddd")</f>
        <v>Thursday</v>
      </c>
      <c r="B77" s="13" t="n">
        <f aca="false">Setup!$C$5+59</f>
        <v>46086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TEXT(Setup!$C$5+59,"dddd")</f>
        <v>Thursday</v>
      </c>
      <c r="B78" s="13" t="n">
        <f aca="false">Setup!$C$5+59</f>
        <v>46086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TEXT(Setup!$C$5+59,"dddd")</f>
        <v>Thursday</v>
      </c>
      <c r="B79" s="13" t="n">
        <f aca="false">Setup!$C$5+59</f>
        <v>46086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TEXT(Setup!$C$5+59,"dddd")</f>
        <v>Thursday</v>
      </c>
      <c r="B80" s="13" t="n">
        <f aca="false">Setup!$C$5+59</f>
        <v>46086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TEXT(Setup!$C$5+59,"dddd")</f>
        <v>Thursday</v>
      </c>
      <c r="B81" s="13" t="n">
        <f aca="false">Setup!$C$5+59</f>
        <v>46086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TEXT(Setup!$C$5+59,"dddd")</f>
        <v>Thursday</v>
      </c>
      <c r="B82" s="13" t="n">
        <f aca="false">Setup!$C$5+59</f>
        <v>46086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TEXT(Setup!$C$5+59,"dddd")</f>
        <v>Thursday</v>
      </c>
      <c r="B83" s="13" t="n">
        <f aca="false">Setup!$C$5+59</f>
        <v>46086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TEXT(Setup!$C$5+59,"dddd")</f>
        <v>Thursday</v>
      </c>
      <c r="B84" s="13" t="n">
        <f aca="false">Setup!$C$5+59</f>
        <v>46086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TEXT(Setup!$C$5+59,"dddd")</f>
        <v>Thursday</v>
      </c>
      <c r="B85" s="13" t="n">
        <f aca="false">Setup!$C$5+59</f>
        <v>46086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TEXT(Setup!$C$5+59,"dddd")</f>
        <v>Thursday</v>
      </c>
      <c r="B86" s="13" t="n">
        <f aca="false">Setup!$C$5+59</f>
        <v>46086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TEXT(Setup!$C$5+59,"dddd")</f>
        <v>Thursday</v>
      </c>
      <c r="B87" s="13" t="n">
        <f aca="false">Setup!$C$5+59</f>
        <v>46086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TEXT(Setup!$C$5+59,"dddd")</f>
        <v>Thursday</v>
      </c>
      <c r="B88" s="13" t="n">
        <f aca="false">Setup!$C$5+59</f>
        <v>46086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TEXT(Setup!$C$5+59,"dddd")</f>
        <v>Thursday</v>
      </c>
      <c r="B89" s="23" t="n">
        <f aca="false">Setup!$C$5+59</f>
        <v>46086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IFERROR(H89-Wk8!H89,"")</f>
        <v>0</v>
      </c>
      <c r="O89" s="24" t="n">
        <f aca="false">IFERROR(D89-Wk8!D89,"")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TEXT(Setup!$C$5+60,"dddd")</f>
        <v>Friday</v>
      </c>
      <c r="B90" s="13" t="n">
        <f aca="false">Setup!$C$5+60</f>
        <v>46087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TEXT(Setup!$C$5+60,"dddd")</f>
        <v>Friday</v>
      </c>
      <c r="B91" s="13" t="n">
        <f aca="false">Setup!$C$5+60</f>
        <v>46087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TEXT(Setup!$C$5+60,"dddd")</f>
        <v>Friday</v>
      </c>
      <c r="B92" s="13" t="n">
        <f aca="false">Setup!$C$5+60</f>
        <v>46087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TEXT(Setup!$C$5+60,"dddd")</f>
        <v>Friday</v>
      </c>
      <c r="B93" s="13" t="n">
        <f aca="false">Setup!$C$5+60</f>
        <v>46087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TEXT(Setup!$C$5+60,"dddd")</f>
        <v>Friday</v>
      </c>
      <c r="B94" s="13" t="n">
        <f aca="false">Setup!$C$5+60</f>
        <v>46087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TEXT(Setup!$C$5+60,"dddd")</f>
        <v>Friday</v>
      </c>
      <c r="B95" s="13" t="n">
        <f aca="false">Setup!$C$5+60</f>
        <v>46087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TEXT(Setup!$C$5+60,"dddd")</f>
        <v>Friday</v>
      </c>
      <c r="B96" s="13" t="n">
        <f aca="false">Setup!$C$5+60</f>
        <v>46087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TEXT(Setup!$C$5+60,"dddd")</f>
        <v>Friday</v>
      </c>
      <c r="B97" s="13" t="n">
        <f aca="false">Setup!$C$5+60</f>
        <v>46087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TEXT(Setup!$C$5+60,"dddd")</f>
        <v>Friday</v>
      </c>
      <c r="B98" s="13" t="n">
        <f aca="false">Setup!$C$5+60</f>
        <v>46087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TEXT(Setup!$C$5+60,"dddd")</f>
        <v>Friday</v>
      </c>
      <c r="B99" s="13" t="n">
        <f aca="false">Setup!$C$5+60</f>
        <v>46087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TEXT(Setup!$C$5+60,"dddd")</f>
        <v>Friday</v>
      </c>
      <c r="B100" s="13" t="n">
        <f aca="false">Setup!$C$5+60</f>
        <v>46087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TEXT(Setup!$C$5+60,"dddd")</f>
        <v>Friday</v>
      </c>
      <c r="B101" s="13" t="n">
        <f aca="false">Setup!$C$5+60</f>
        <v>46087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TEXT(Setup!$C$5+60,"dddd")</f>
        <v>Friday</v>
      </c>
      <c r="B102" s="13" t="n">
        <f aca="false">Setup!$C$5+60</f>
        <v>46087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TEXT(Setup!$C$5+60,"dddd")</f>
        <v>Friday</v>
      </c>
      <c r="B103" s="13" t="n">
        <f aca="false">Setup!$C$5+60</f>
        <v>46087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TEXT(Setup!$C$5+60,"dddd")</f>
        <v>Friday</v>
      </c>
      <c r="B104" s="13" t="n">
        <f aca="false">Setup!$C$5+60</f>
        <v>46087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TEXT(Setup!$C$5+60,"dddd")</f>
        <v>Friday</v>
      </c>
      <c r="B105" s="13" t="n">
        <f aca="false">Setup!$C$5+60</f>
        <v>46087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TEXT(Setup!$C$5+60,"dddd")</f>
        <v>Friday</v>
      </c>
      <c r="B106" s="13" t="n">
        <f aca="false">Setup!$C$5+60</f>
        <v>46087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TEXT(Setup!$C$5+60,"dddd")</f>
        <v>Friday</v>
      </c>
      <c r="B107" s="13" t="n">
        <f aca="false">Setup!$C$5+60</f>
        <v>46087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TEXT(Setup!$C$5+60,"dddd")</f>
        <v>Friday</v>
      </c>
      <c r="B108" s="13" t="n">
        <f aca="false">Setup!$C$5+60</f>
        <v>46087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TEXT(Setup!$C$5+60,"dddd")</f>
        <v>Friday</v>
      </c>
      <c r="B109" s="13" t="n">
        <f aca="false">Setup!$C$5+60</f>
        <v>46087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TEXT(Setup!$C$5+60,"dddd")</f>
        <v>Friday</v>
      </c>
      <c r="B110" s="13" t="n">
        <f aca="false">Setup!$C$5+60</f>
        <v>46087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TEXT(Setup!$C$5+60,"dddd")</f>
        <v>Friday</v>
      </c>
      <c r="B111" s="23" t="n">
        <f aca="false">Setup!$C$5+60</f>
        <v>46087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IFERROR(H111-Wk8!H111,"")</f>
        <v>0</v>
      </c>
      <c r="O111" s="24" t="n">
        <f aca="false">IFERROR(D111-Wk8!D111,"")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TEXT(Setup!$C$5+61,"dddd")</f>
        <v>Saturday</v>
      </c>
      <c r="B112" s="13" t="n">
        <f aca="false">Setup!$C$5+61</f>
        <v>46088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TEXT(Setup!$C$5+61,"dddd")</f>
        <v>Saturday</v>
      </c>
      <c r="B113" s="13" t="n">
        <f aca="false">Setup!$C$5+61</f>
        <v>46088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TEXT(Setup!$C$5+61,"dddd")</f>
        <v>Saturday</v>
      </c>
      <c r="B114" s="13" t="n">
        <f aca="false">Setup!$C$5+61</f>
        <v>46088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TEXT(Setup!$C$5+61,"dddd")</f>
        <v>Saturday</v>
      </c>
      <c r="B115" s="13" t="n">
        <f aca="false">Setup!$C$5+61</f>
        <v>46088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TEXT(Setup!$C$5+61,"dddd")</f>
        <v>Saturday</v>
      </c>
      <c r="B116" s="13" t="n">
        <f aca="false">Setup!$C$5+61</f>
        <v>46088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TEXT(Setup!$C$5+61,"dddd")</f>
        <v>Saturday</v>
      </c>
      <c r="B117" s="13" t="n">
        <f aca="false">Setup!$C$5+61</f>
        <v>46088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TEXT(Setup!$C$5+61,"dddd")</f>
        <v>Saturday</v>
      </c>
      <c r="B118" s="13" t="n">
        <f aca="false">Setup!$C$5+61</f>
        <v>46088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TEXT(Setup!$C$5+61,"dddd")</f>
        <v>Saturday</v>
      </c>
      <c r="B119" s="13" t="n">
        <f aca="false">Setup!$C$5+61</f>
        <v>46088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TEXT(Setup!$C$5+61,"dddd")</f>
        <v>Saturday</v>
      </c>
      <c r="B120" s="13" t="n">
        <f aca="false">Setup!$C$5+61</f>
        <v>46088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TEXT(Setup!$C$5+61,"dddd")</f>
        <v>Saturday</v>
      </c>
      <c r="B121" s="13" t="n">
        <f aca="false">Setup!$C$5+61</f>
        <v>46088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TEXT(Setup!$C$5+61,"dddd")</f>
        <v>Saturday</v>
      </c>
      <c r="B122" s="13" t="n">
        <f aca="false">Setup!$C$5+61</f>
        <v>46088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TEXT(Setup!$C$5+61,"dddd")</f>
        <v>Saturday</v>
      </c>
      <c r="B123" s="13" t="n">
        <f aca="false">Setup!$C$5+61</f>
        <v>46088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TEXT(Setup!$C$5+61,"dddd")</f>
        <v>Saturday</v>
      </c>
      <c r="B124" s="13" t="n">
        <f aca="false">Setup!$C$5+61</f>
        <v>46088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TEXT(Setup!$C$5+61,"dddd")</f>
        <v>Saturday</v>
      </c>
      <c r="B125" s="13" t="n">
        <f aca="false">Setup!$C$5+61</f>
        <v>46088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TEXT(Setup!$C$5+61,"dddd")</f>
        <v>Saturday</v>
      </c>
      <c r="B126" s="13" t="n">
        <f aca="false">Setup!$C$5+61</f>
        <v>46088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TEXT(Setup!$C$5+61,"dddd")</f>
        <v>Saturday</v>
      </c>
      <c r="B127" s="13" t="n">
        <f aca="false">Setup!$C$5+61</f>
        <v>46088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TEXT(Setup!$C$5+61,"dddd")</f>
        <v>Saturday</v>
      </c>
      <c r="B128" s="13" t="n">
        <f aca="false">Setup!$C$5+61</f>
        <v>46088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TEXT(Setup!$C$5+61,"dddd")</f>
        <v>Saturday</v>
      </c>
      <c r="B129" s="13" t="n">
        <f aca="false">Setup!$C$5+61</f>
        <v>46088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TEXT(Setup!$C$5+61,"dddd")</f>
        <v>Saturday</v>
      </c>
      <c r="B130" s="13" t="n">
        <f aca="false">Setup!$C$5+61</f>
        <v>46088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TEXT(Setup!$C$5+61,"dddd")</f>
        <v>Saturday</v>
      </c>
      <c r="B131" s="13" t="n">
        <f aca="false">Setup!$C$5+61</f>
        <v>46088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TEXT(Setup!$C$5+61,"dddd")</f>
        <v>Saturday</v>
      </c>
      <c r="B132" s="13" t="n">
        <f aca="false">Setup!$C$5+61</f>
        <v>46088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TEXT(Setup!$C$5+61,"dddd")</f>
        <v>Saturday</v>
      </c>
      <c r="B133" s="23" t="n">
        <f aca="false">Setup!$C$5+61</f>
        <v>46088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IFERROR(H133-Wk8!H133,"")</f>
        <v>0</v>
      </c>
      <c r="O133" s="24" t="n">
        <f aca="false">IFERROR(D133-Wk8!D133,"")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TEXT(Setup!$C$5+62,"dddd")</f>
        <v>Sunday</v>
      </c>
      <c r="B134" s="13" t="n">
        <f aca="false">Setup!$C$5+62</f>
        <v>46089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TEXT(Setup!$C$5+62,"dddd")</f>
        <v>Sunday</v>
      </c>
      <c r="B135" s="13" t="n">
        <f aca="false">Setup!$C$5+62</f>
        <v>46089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TEXT(Setup!$C$5+62,"dddd")</f>
        <v>Sunday</v>
      </c>
      <c r="B136" s="13" t="n">
        <f aca="false">Setup!$C$5+62</f>
        <v>46089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TEXT(Setup!$C$5+62,"dddd")</f>
        <v>Sunday</v>
      </c>
      <c r="B137" s="13" t="n">
        <f aca="false">Setup!$C$5+62</f>
        <v>46089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TEXT(Setup!$C$5+62,"dddd")</f>
        <v>Sunday</v>
      </c>
      <c r="B138" s="13" t="n">
        <f aca="false">Setup!$C$5+62</f>
        <v>46089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TEXT(Setup!$C$5+62,"dddd")</f>
        <v>Sunday</v>
      </c>
      <c r="B139" s="13" t="n">
        <f aca="false">Setup!$C$5+62</f>
        <v>46089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TEXT(Setup!$C$5+62,"dddd")</f>
        <v>Sunday</v>
      </c>
      <c r="B140" s="13" t="n">
        <f aca="false">Setup!$C$5+62</f>
        <v>46089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TEXT(Setup!$C$5+62,"dddd")</f>
        <v>Sunday</v>
      </c>
      <c r="B141" s="13" t="n">
        <f aca="false">Setup!$C$5+62</f>
        <v>46089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TEXT(Setup!$C$5+62,"dddd")</f>
        <v>Sunday</v>
      </c>
      <c r="B142" s="13" t="n">
        <f aca="false">Setup!$C$5+62</f>
        <v>46089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TEXT(Setup!$C$5+62,"dddd")</f>
        <v>Sunday</v>
      </c>
      <c r="B143" s="13" t="n">
        <f aca="false">Setup!$C$5+62</f>
        <v>46089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TEXT(Setup!$C$5+62,"dddd")</f>
        <v>Sunday</v>
      </c>
      <c r="B144" s="13" t="n">
        <f aca="false">Setup!$C$5+62</f>
        <v>46089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TEXT(Setup!$C$5+62,"dddd")</f>
        <v>Sunday</v>
      </c>
      <c r="B145" s="13" t="n">
        <f aca="false">Setup!$C$5+62</f>
        <v>46089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TEXT(Setup!$C$5+62,"dddd")</f>
        <v>Sunday</v>
      </c>
      <c r="B146" s="13" t="n">
        <f aca="false">Setup!$C$5+62</f>
        <v>46089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TEXT(Setup!$C$5+62,"dddd")</f>
        <v>Sunday</v>
      </c>
      <c r="B147" s="13" t="n">
        <f aca="false">Setup!$C$5+62</f>
        <v>46089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TEXT(Setup!$C$5+62,"dddd")</f>
        <v>Sunday</v>
      </c>
      <c r="B148" s="13" t="n">
        <f aca="false">Setup!$C$5+62</f>
        <v>46089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TEXT(Setup!$C$5+62,"dddd")</f>
        <v>Sunday</v>
      </c>
      <c r="B149" s="13" t="n">
        <f aca="false">Setup!$C$5+62</f>
        <v>46089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TEXT(Setup!$C$5+62,"dddd")</f>
        <v>Sunday</v>
      </c>
      <c r="B150" s="13" t="n">
        <f aca="false">Setup!$C$5+62</f>
        <v>46089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TEXT(Setup!$C$5+62,"dddd")</f>
        <v>Sunday</v>
      </c>
      <c r="B151" s="13" t="n">
        <f aca="false">Setup!$C$5+62</f>
        <v>46089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TEXT(Setup!$C$5+62,"dddd")</f>
        <v>Sunday</v>
      </c>
      <c r="B152" s="13" t="n">
        <f aca="false">Setup!$C$5+62</f>
        <v>46089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TEXT(Setup!$C$5+62,"dddd")</f>
        <v>Sunday</v>
      </c>
      <c r="B153" s="13" t="n">
        <f aca="false">Setup!$C$5+62</f>
        <v>46089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TEXT(Setup!$C$5+62,"dddd")</f>
        <v>Sunday</v>
      </c>
      <c r="B154" s="13" t="n">
        <f aca="false">Setup!$C$5+62</f>
        <v>46089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TEXT(Setup!$C$5+62,"dddd")</f>
        <v>Sunday</v>
      </c>
      <c r="B155" s="23" t="n">
        <f aca="false">Setup!$C$5+62</f>
        <v>46089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IFERROR(H155-Wk8!H155,"")</f>
        <v>0</v>
      </c>
      <c r="O155" s="24" t="n">
        <f aca="false">IFERROR(D155-Wk8!D155,"")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IFERROR(D156-Wk8!D156,"")</f>
        <v>0</v>
      </c>
      <c r="E157" s="34" t="n">
        <f aca="false">IFERROR(E156-Wk8!E156,"")</f>
        <v>0</v>
      </c>
      <c r="H157" s="32" t="n">
        <f aca="false">IFERROR(H156-Wk8!H156,"")</f>
        <v>0</v>
      </c>
      <c r="K157" s="32" t="n">
        <f aca="false">IFERROR(K156-Wk8!K156,"")</f>
        <v>0</v>
      </c>
      <c r="M157" s="32" t="n">
        <f aca="false">IFERROR(M156-Wk8!M156,"")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TEXT(Setup!$C$5+63,"dddd")</f>
        <v>Monday</v>
      </c>
      <c r="B2" s="13" t="n">
        <f aca="false">Setup!$C$5+63</f>
        <v>46090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TEXT(Setup!$C$5+63,"dddd")</f>
        <v>Monday</v>
      </c>
      <c r="B3" s="13" t="n">
        <f aca="false">Setup!$C$5+63</f>
        <v>46090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TEXT(Setup!$C$5+63,"dddd")</f>
        <v>Monday</v>
      </c>
      <c r="B4" s="13" t="n">
        <f aca="false">Setup!$C$5+63</f>
        <v>46090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TEXT(Setup!$C$5+63,"dddd")</f>
        <v>Monday</v>
      </c>
      <c r="B5" s="13" t="n">
        <f aca="false">Setup!$C$5+63</f>
        <v>46090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TEXT(Setup!$C$5+63,"dddd")</f>
        <v>Monday</v>
      </c>
      <c r="B6" s="13" t="n">
        <f aca="false">Setup!$C$5+63</f>
        <v>46090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TEXT(Setup!$C$5+63,"dddd")</f>
        <v>Monday</v>
      </c>
      <c r="B7" s="13" t="n">
        <f aca="false">Setup!$C$5+63</f>
        <v>46090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TEXT(Setup!$C$5+63,"dddd")</f>
        <v>Monday</v>
      </c>
      <c r="B8" s="13" t="n">
        <f aca="false">Setup!$C$5+63</f>
        <v>46090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TEXT(Setup!$C$5+63,"dddd")</f>
        <v>Monday</v>
      </c>
      <c r="B9" s="13" t="n">
        <f aca="false">Setup!$C$5+63</f>
        <v>46090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TEXT(Setup!$C$5+63,"dddd")</f>
        <v>Monday</v>
      </c>
      <c r="B10" s="13" t="n">
        <f aca="false">Setup!$C$5+63</f>
        <v>46090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TEXT(Setup!$C$5+63,"dddd")</f>
        <v>Monday</v>
      </c>
      <c r="B11" s="13" t="n">
        <f aca="false">Setup!$C$5+63</f>
        <v>46090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TEXT(Setup!$C$5+63,"dddd")</f>
        <v>Monday</v>
      </c>
      <c r="B12" s="13" t="n">
        <f aca="false">Setup!$C$5+63</f>
        <v>46090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TEXT(Setup!$C$5+63,"dddd")</f>
        <v>Monday</v>
      </c>
      <c r="B13" s="13" t="n">
        <f aca="false">Setup!$C$5+63</f>
        <v>46090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TEXT(Setup!$C$5+63,"dddd")</f>
        <v>Monday</v>
      </c>
      <c r="B14" s="13" t="n">
        <f aca="false">Setup!$C$5+63</f>
        <v>46090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TEXT(Setup!$C$5+63,"dddd")</f>
        <v>Monday</v>
      </c>
      <c r="B15" s="13" t="n">
        <f aca="false">Setup!$C$5+63</f>
        <v>46090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TEXT(Setup!$C$5+63,"dddd")</f>
        <v>Monday</v>
      </c>
      <c r="B16" s="13" t="n">
        <f aca="false">Setup!$C$5+63</f>
        <v>46090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TEXT(Setup!$C$5+63,"dddd")</f>
        <v>Monday</v>
      </c>
      <c r="B17" s="13" t="n">
        <f aca="false">Setup!$C$5+63</f>
        <v>46090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TEXT(Setup!$C$5+63,"dddd")</f>
        <v>Monday</v>
      </c>
      <c r="B18" s="13" t="n">
        <f aca="false">Setup!$C$5+63</f>
        <v>46090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TEXT(Setup!$C$5+63,"dddd")</f>
        <v>Monday</v>
      </c>
      <c r="B19" s="13" t="n">
        <f aca="false">Setup!$C$5+63</f>
        <v>46090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TEXT(Setup!$C$5+63,"dddd")</f>
        <v>Monday</v>
      </c>
      <c r="B20" s="13" t="n">
        <f aca="false">Setup!$C$5+63</f>
        <v>46090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TEXT(Setup!$C$5+63,"dddd")</f>
        <v>Monday</v>
      </c>
      <c r="B21" s="13" t="n">
        <f aca="false">Setup!$C$5+63</f>
        <v>46090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TEXT(Setup!$C$5+63,"dddd")</f>
        <v>Monday</v>
      </c>
      <c r="B22" s="13" t="n">
        <f aca="false">Setup!$C$5+63</f>
        <v>46090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TEXT(Setup!$C$5+63,"dddd")</f>
        <v>Monday</v>
      </c>
      <c r="B23" s="23" t="n">
        <f aca="false">Setup!$C$5+63</f>
        <v>46090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IFERROR(H23-Wk9!H23,"")</f>
        <v>0</v>
      </c>
      <c r="O23" s="24" t="n">
        <f aca="false">IFERROR(D23-Wk9!D23,"")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TEXT(Setup!$C$5+64,"dddd")</f>
        <v>Tuesday</v>
      </c>
      <c r="B24" s="13" t="n">
        <f aca="false">Setup!$C$5+64</f>
        <v>46091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TEXT(Setup!$C$5+64,"dddd")</f>
        <v>Tuesday</v>
      </c>
      <c r="B25" s="13" t="n">
        <f aca="false">Setup!$C$5+64</f>
        <v>46091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TEXT(Setup!$C$5+64,"dddd")</f>
        <v>Tuesday</v>
      </c>
      <c r="B26" s="13" t="n">
        <f aca="false">Setup!$C$5+64</f>
        <v>46091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TEXT(Setup!$C$5+64,"dddd")</f>
        <v>Tuesday</v>
      </c>
      <c r="B27" s="13" t="n">
        <f aca="false">Setup!$C$5+64</f>
        <v>46091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TEXT(Setup!$C$5+64,"dddd")</f>
        <v>Tuesday</v>
      </c>
      <c r="B28" s="13" t="n">
        <f aca="false">Setup!$C$5+64</f>
        <v>46091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TEXT(Setup!$C$5+64,"dddd")</f>
        <v>Tuesday</v>
      </c>
      <c r="B29" s="13" t="n">
        <f aca="false">Setup!$C$5+64</f>
        <v>46091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TEXT(Setup!$C$5+64,"dddd")</f>
        <v>Tuesday</v>
      </c>
      <c r="B30" s="13" t="n">
        <f aca="false">Setup!$C$5+64</f>
        <v>46091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TEXT(Setup!$C$5+64,"dddd")</f>
        <v>Tuesday</v>
      </c>
      <c r="B31" s="13" t="n">
        <f aca="false">Setup!$C$5+64</f>
        <v>46091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TEXT(Setup!$C$5+64,"dddd")</f>
        <v>Tuesday</v>
      </c>
      <c r="B32" s="13" t="n">
        <f aca="false">Setup!$C$5+64</f>
        <v>46091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TEXT(Setup!$C$5+64,"dddd")</f>
        <v>Tuesday</v>
      </c>
      <c r="B33" s="13" t="n">
        <f aca="false">Setup!$C$5+64</f>
        <v>46091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TEXT(Setup!$C$5+64,"dddd")</f>
        <v>Tuesday</v>
      </c>
      <c r="B34" s="13" t="n">
        <f aca="false">Setup!$C$5+64</f>
        <v>46091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TEXT(Setup!$C$5+64,"dddd")</f>
        <v>Tuesday</v>
      </c>
      <c r="B35" s="13" t="n">
        <f aca="false">Setup!$C$5+64</f>
        <v>46091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TEXT(Setup!$C$5+64,"dddd")</f>
        <v>Tuesday</v>
      </c>
      <c r="B36" s="13" t="n">
        <f aca="false">Setup!$C$5+64</f>
        <v>46091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TEXT(Setup!$C$5+64,"dddd")</f>
        <v>Tuesday</v>
      </c>
      <c r="B37" s="13" t="n">
        <f aca="false">Setup!$C$5+64</f>
        <v>46091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TEXT(Setup!$C$5+64,"dddd")</f>
        <v>Tuesday</v>
      </c>
      <c r="B38" s="13" t="n">
        <f aca="false">Setup!$C$5+64</f>
        <v>46091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TEXT(Setup!$C$5+64,"dddd")</f>
        <v>Tuesday</v>
      </c>
      <c r="B39" s="13" t="n">
        <f aca="false">Setup!$C$5+64</f>
        <v>46091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TEXT(Setup!$C$5+64,"dddd")</f>
        <v>Tuesday</v>
      </c>
      <c r="B40" s="13" t="n">
        <f aca="false">Setup!$C$5+64</f>
        <v>46091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TEXT(Setup!$C$5+64,"dddd")</f>
        <v>Tuesday</v>
      </c>
      <c r="B41" s="13" t="n">
        <f aca="false">Setup!$C$5+64</f>
        <v>46091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TEXT(Setup!$C$5+64,"dddd")</f>
        <v>Tuesday</v>
      </c>
      <c r="B42" s="13" t="n">
        <f aca="false">Setup!$C$5+64</f>
        <v>46091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TEXT(Setup!$C$5+64,"dddd")</f>
        <v>Tuesday</v>
      </c>
      <c r="B43" s="13" t="n">
        <f aca="false">Setup!$C$5+64</f>
        <v>46091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TEXT(Setup!$C$5+64,"dddd")</f>
        <v>Tuesday</v>
      </c>
      <c r="B44" s="13" t="n">
        <f aca="false">Setup!$C$5+64</f>
        <v>46091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TEXT(Setup!$C$5+64,"dddd")</f>
        <v>Tuesday</v>
      </c>
      <c r="B45" s="23" t="n">
        <f aca="false">Setup!$C$5+64</f>
        <v>46091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IFERROR(H45-Wk9!H45,"")</f>
        <v>0</v>
      </c>
      <c r="O45" s="24" t="n">
        <f aca="false">IFERROR(D45-Wk9!D45,"")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TEXT(Setup!$C$5+65,"dddd")</f>
        <v>Wednesday</v>
      </c>
      <c r="B46" s="13" t="n">
        <f aca="false">Setup!$C$5+65</f>
        <v>46092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TEXT(Setup!$C$5+65,"dddd")</f>
        <v>Wednesday</v>
      </c>
      <c r="B47" s="13" t="n">
        <f aca="false">Setup!$C$5+65</f>
        <v>46092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TEXT(Setup!$C$5+65,"dddd")</f>
        <v>Wednesday</v>
      </c>
      <c r="B48" s="13" t="n">
        <f aca="false">Setup!$C$5+65</f>
        <v>46092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TEXT(Setup!$C$5+65,"dddd")</f>
        <v>Wednesday</v>
      </c>
      <c r="B49" s="13" t="n">
        <f aca="false">Setup!$C$5+65</f>
        <v>46092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TEXT(Setup!$C$5+65,"dddd")</f>
        <v>Wednesday</v>
      </c>
      <c r="B50" s="13" t="n">
        <f aca="false">Setup!$C$5+65</f>
        <v>46092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TEXT(Setup!$C$5+65,"dddd")</f>
        <v>Wednesday</v>
      </c>
      <c r="B51" s="13" t="n">
        <f aca="false">Setup!$C$5+65</f>
        <v>46092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TEXT(Setup!$C$5+65,"dddd")</f>
        <v>Wednesday</v>
      </c>
      <c r="B52" s="13" t="n">
        <f aca="false">Setup!$C$5+65</f>
        <v>46092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TEXT(Setup!$C$5+65,"dddd")</f>
        <v>Wednesday</v>
      </c>
      <c r="B53" s="13" t="n">
        <f aca="false">Setup!$C$5+65</f>
        <v>46092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TEXT(Setup!$C$5+65,"dddd")</f>
        <v>Wednesday</v>
      </c>
      <c r="B54" s="13" t="n">
        <f aca="false">Setup!$C$5+65</f>
        <v>46092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TEXT(Setup!$C$5+65,"dddd")</f>
        <v>Wednesday</v>
      </c>
      <c r="B55" s="13" t="n">
        <f aca="false">Setup!$C$5+65</f>
        <v>46092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TEXT(Setup!$C$5+65,"dddd")</f>
        <v>Wednesday</v>
      </c>
      <c r="B56" s="13" t="n">
        <f aca="false">Setup!$C$5+65</f>
        <v>46092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TEXT(Setup!$C$5+65,"dddd")</f>
        <v>Wednesday</v>
      </c>
      <c r="B57" s="13" t="n">
        <f aca="false">Setup!$C$5+65</f>
        <v>46092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TEXT(Setup!$C$5+65,"dddd")</f>
        <v>Wednesday</v>
      </c>
      <c r="B58" s="13" t="n">
        <f aca="false">Setup!$C$5+65</f>
        <v>46092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TEXT(Setup!$C$5+65,"dddd")</f>
        <v>Wednesday</v>
      </c>
      <c r="B59" s="13" t="n">
        <f aca="false">Setup!$C$5+65</f>
        <v>46092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TEXT(Setup!$C$5+65,"dddd")</f>
        <v>Wednesday</v>
      </c>
      <c r="B60" s="13" t="n">
        <f aca="false">Setup!$C$5+65</f>
        <v>46092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TEXT(Setup!$C$5+65,"dddd")</f>
        <v>Wednesday</v>
      </c>
      <c r="B61" s="13" t="n">
        <f aca="false">Setup!$C$5+65</f>
        <v>46092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TEXT(Setup!$C$5+65,"dddd")</f>
        <v>Wednesday</v>
      </c>
      <c r="B62" s="13" t="n">
        <f aca="false">Setup!$C$5+65</f>
        <v>46092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TEXT(Setup!$C$5+65,"dddd")</f>
        <v>Wednesday</v>
      </c>
      <c r="B63" s="13" t="n">
        <f aca="false">Setup!$C$5+65</f>
        <v>46092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TEXT(Setup!$C$5+65,"dddd")</f>
        <v>Wednesday</v>
      </c>
      <c r="B64" s="13" t="n">
        <f aca="false">Setup!$C$5+65</f>
        <v>46092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TEXT(Setup!$C$5+65,"dddd")</f>
        <v>Wednesday</v>
      </c>
      <c r="B65" s="13" t="n">
        <f aca="false">Setup!$C$5+65</f>
        <v>46092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TEXT(Setup!$C$5+65,"dddd")</f>
        <v>Wednesday</v>
      </c>
      <c r="B66" s="13" t="n">
        <f aca="false">Setup!$C$5+65</f>
        <v>46092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TEXT(Setup!$C$5+65,"dddd")</f>
        <v>Wednesday</v>
      </c>
      <c r="B67" s="23" t="n">
        <f aca="false">Setup!$C$5+65</f>
        <v>46092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IFERROR(H67-Wk9!H67,"")</f>
        <v>0</v>
      </c>
      <c r="O67" s="24" t="n">
        <f aca="false">IFERROR(D67-Wk9!D67,"")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TEXT(Setup!$C$5+66,"dddd")</f>
        <v>Thursday</v>
      </c>
      <c r="B68" s="13" t="n">
        <f aca="false">Setup!$C$5+66</f>
        <v>46093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TEXT(Setup!$C$5+66,"dddd")</f>
        <v>Thursday</v>
      </c>
      <c r="B69" s="13" t="n">
        <f aca="false">Setup!$C$5+66</f>
        <v>46093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TEXT(Setup!$C$5+66,"dddd")</f>
        <v>Thursday</v>
      </c>
      <c r="B70" s="13" t="n">
        <f aca="false">Setup!$C$5+66</f>
        <v>46093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TEXT(Setup!$C$5+66,"dddd")</f>
        <v>Thursday</v>
      </c>
      <c r="B71" s="13" t="n">
        <f aca="false">Setup!$C$5+66</f>
        <v>46093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TEXT(Setup!$C$5+66,"dddd")</f>
        <v>Thursday</v>
      </c>
      <c r="B72" s="13" t="n">
        <f aca="false">Setup!$C$5+66</f>
        <v>46093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TEXT(Setup!$C$5+66,"dddd")</f>
        <v>Thursday</v>
      </c>
      <c r="B73" s="13" t="n">
        <f aca="false">Setup!$C$5+66</f>
        <v>46093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TEXT(Setup!$C$5+66,"dddd")</f>
        <v>Thursday</v>
      </c>
      <c r="B74" s="13" t="n">
        <f aca="false">Setup!$C$5+66</f>
        <v>46093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TEXT(Setup!$C$5+66,"dddd")</f>
        <v>Thursday</v>
      </c>
      <c r="B75" s="13" t="n">
        <f aca="false">Setup!$C$5+66</f>
        <v>46093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TEXT(Setup!$C$5+66,"dddd")</f>
        <v>Thursday</v>
      </c>
      <c r="B76" s="13" t="n">
        <f aca="false">Setup!$C$5+66</f>
        <v>46093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TEXT(Setup!$C$5+66,"dddd")</f>
        <v>Thursday</v>
      </c>
      <c r="B77" s="13" t="n">
        <f aca="false">Setup!$C$5+66</f>
        <v>46093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TEXT(Setup!$C$5+66,"dddd")</f>
        <v>Thursday</v>
      </c>
      <c r="B78" s="13" t="n">
        <f aca="false">Setup!$C$5+66</f>
        <v>46093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TEXT(Setup!$C$5+66,"dddd")</f>
        <v>Thursday</v>
      </c>
      <c r="B79" s="13" t="n">
        <f aca="false">Setup!$C$5+66</f>
        <v>46093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TEXT(Setup!$C$5+66,"dddd")</f>
        <v>Thursday</v>
      </c>
      <c r="B80" s="13" t="n">
        <f aca="false">Setup!$C$5+66</f>
        <v>46093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TEXT(Setup!$C$5+66,"dddd")</f>
        <v>Thursday</v>
      </c>
      <c r="B81" s="13" t="n">
        <f aca="false">Setup!$C$5+66</f>
        <v>46093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TEXT(Setup!$C$5+66,"dddd")</f>
        <v>Thursday</v>
      </c>
      <c r="B82" s="13" t="n">
        <f aca="false">Setup!$C$5+66</f>
        <v>46093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TEXT(Setup!$C$5+66,"dddd")</f>
        <v>Thursday</v>
      </c>
      <c r="B83" s="13" t="n">
        <f aca="false">Setup!$C$5+66</f>
        <v>46093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TEXT(Setup!$C$5+66,"dddd")</f>
        <v>Thursday</v>
      </c>
      <c r="B84" s="13" t="n">
        <f aca="false">Setup!$C$5+66</f>
        <v>46093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TEXT(Setup!$C$5+66,"dddd")</f>
        <v>Thursday</v>
      </c>
      <c r="B85" s="13" t="n">
        <f aca="false">Setup!$C$5+66</f>
        <v>46093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TEXT(Setup!$C$5+66,"dddd")</f>
        <v>Thursday</v>
      </c>
      <c r="B86" s="13" t="n">
        <f aca="false">Setup!$C$5+66</f>
        <v>46093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TEXT(Setup!$C$5+66,"dddd")</f>
        <v>Thursday</v>
      </c>
      <c r="B87" s="13" t="n">
        <f aca="false">Setup!$C$5+66</f>
        <v>46093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TEXT(Setup!$C$5+66,"dddd")</f>
        <v>Thursday</v>
      </c>
      <c r="B88" s="13" t="n">
        <f aca="false">Setup!$C$5+66</f>
        <v>46093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TEXT(Setup!$C$5+66,"dddd")</f>
        <v>Thursday</v>
      </c>
      <c r="B89" s="23" t="n">
        <f aca="false">Setup!$C$5+66</f>
        <v>46093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IFERROR(H89-Wk9!H89,"")</f>
        <v>0</v>
      </c>
      <c r="O89" s="24" t="n">
        <f aca="false">IFERROR(D89-Wk9!D89,"")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TEXT(Setup!$C$5+67,"dddd")</f>
        <v>Friday</v>
      </c>
      <c r="B90" s="13" t="n">
        <f aca="false">Setup!$C$5+67</f>
        <v>46094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TEXT(Setup!$C$5+67,"dddd")</f>
        <v>Friday</v>
      </c>
      <c r="B91" s="13" t="n">
        <f aca="false">Setup!$C$5+67</f>
        <v>46094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TEXT(Setup!$C$5+67,"dddd")</f>
        <v>Friday</v>
      </c>
      <c r="B92" s="13" t="n">
        <f aca="false">Setup!$C$5+67</f>
        <v>46094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TEXT(Setup!$C$5+67,"dddd")</f>
        <v>Friday</v>
      </c>
      <c r="B93" s="13" t="n">
        <f aca="false">Setup!$C$5+67</f>
        <v>46094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TEXT(Setup!$C$5+67,"dddd")</f>
        <v>Friday</v>
      </c>
      <c r="B94" s="13" t="n">
        <f aca="false">Setup!$C$5+67</f>
        <v>46094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TEXT(Setup!$C$5+67,"dddd")</f>
        <v>Friday</v>
      </c>
      <c r="B95" s="13" t="n">
        <f aca="false">Setup!$C$5+67</f>
        <v>46094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TEXT(Setup!$C$5+67,"dddd")</f>
        <v>Friday</v>
      </c>
      <c r="B96" s="13" t="n">
        <f aca="false">Setup!$C$5+67</f>
        <v>46094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TEXT(Setup!$C$5+67,"dddd")</f>
        <v>Friday</v>
      </c>
      <c r="B97" s="13" t="n">
        <f aca="false">Setup!$C$5+67</f>
        <v>46094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TEXT(Setup!$C$5+67,"dddd")</f>
        <v>Friday</v>
      </c>
      <c r="B98" s="13" t="n">
        <f aca="false">Setup!$C$5+67</f>
        <v>46094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TEXT(Setup!$C$5+67,"dddd")</f>
        <v>Friday</v>
      </c>
      <c r="B99" s="13" t="n">
        <f aca="false">Setup!$C$5+67</f>
        <v>46094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TEXT(Setup!$C$5+67,"dddd")</f>
        <v>Friday</v>
      </c>
      <c r="B100" s="13" t="n">
        <f aca="false">Setup!$C$5+67</f>
        <v>46094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TEXT(Setup!$C$5+67,"dddd")</f>
        <v>Friday</v>
      </c>
      <c r="B101" s="13" t="n">
        <f aca="false">Setup!$C$5+67</f>
        <v>46094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TEXT(Setup!$C$5+67,"dddd")</f>
        <v>Friday</v>
      </c>
      <c r="B102" s="13" t="n">
        <f aca="false">Setup!$C$5+67</f>
        <v>46094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TEXT(Setup!$C$5+67,"dddd")</f>
        <v>Friday</v>
      </c>
      <c r="B103" s="13" t="n">
        <f aca="false">Setup!$C$5+67</f>
        <v>46094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TEXT(Setup!$C$5+67,"dddd")</f>
        <v>Friday</v>
      </c>
      <c r="B104" s="13" t="n">
        <f aca="false">Setup!$C$5+67</f>
        <v>46094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TEXT(Setup!$C$5+67,"dddd")</f>
        <v>Friday</v>
      </c>
      <c r="B105" s="13" t="n">
        <f aca="false">Setup!$C$5+67</f>
        <v>46094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TEXT(Setup!$C$5+67,"dddd")</f>
        <v>Friday</v>
      </c>
      <c r="B106" s="13" t="n">
        <f aca="false">Setup!$C$5+67</f>
        <v>46094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TEXT(Setup!$C$5+67,"dddd")</f>
        <v>Friday</v>
      </c>
      <c r="B107" s="13" t="n">
        <f aca="false">Setup!$C$5+67</f>
        <v>46094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TEXT(Setup!$C$5+67,"dddd")</f>
        <v>Friday</v>
      </c>
      <c r="B108" s="13" t="n">
        <f aca="false">Setup!$C$5+67</f>
        <v>46094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TEXT(Setup!$C$5+67,"dddd")</f>
        <v>Friday</v>
      </c>
      <c r="B109" s="13" t="n">
        <f aca="false">Setup!$C$5+67</f>
        <v>46094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TEXT(Setup!$C$5+67,"dddd")</f>
        <v>Friday</v>
      </c>
      <c r="B110" s="13" t="n">
        <f aca="false">Setup!$C$5+67</f>
        <v>46094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TEXT(Setup!$C$5+67,"dddd")</f>
        <v>Friday</v>
      </c>
      <c r="B111" s="23" t="n">
        <f aca="false">Setup!$C$5+67</f>
        <v>46094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IFERROR(H111-Wk9!H111,"")</f>
        <v>0</v>
      </c>
      <c r="O111" s="24" t="n">
        <f aca="false">IFERROR(D111-Wk9!D111,"")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TEXT(Setup!$C$5+68,"dddd")</f>
        <v>Saturday</v>
      </c>
      <c r="B112" s="13" t="n">
        <f aca="false">Setup!$C$5+68</f>
        <v>46095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TEXT(Setup!$C$5+68,"dddd")</f>
        <v>Saturday</v>
      </c>
      <c r="B113" s="13" t="n">
        <f aca="false">Setup!$C$5+68</f>
        <v>46095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TEXT(Setup!$C$5+68,"dddd")</f>
        <v>Saturday</v>
      </c>
      <c r="B114" s="13" t="n">
        <f aca="false">Setup!$C$5+68</f>
        <v>46095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TEXT(Setup!$C$5+68,"dddd")</f>
        <v>Saturday</v>
      </c>
      <c r="B115" s="13" t="n">
        <f aca="false">Setup!$C$5+68</f>
        <v>46095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TEXT(Setup!$C$5+68,"dddd")</f>
        <v>Saturday</v>
      </c>
      <c r="B116" s="13" t="n">
        <f aca="false">Setup!$C$5+68</f>
        <v>46095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TEXT(Setup!$C$5+68,"dddd")</f>
        <v>Saturday</v>
      </c>
      <c r="B117" s="13" t="n">
        <f aca="false">Setup!$C$5+68</f>
        <v>46095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TEXT(Setup!$C$5+68,"dddd")</f>
        <v>Saturday</v>
      </c>
      <c r="B118" s="13" t="n">
        <f aca="false">Setup!$C$5+68</f>
        <v>46095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TEXT(Setup!$C$5+68,"dddd")</f>
        <v>Saturday</v>
      </c>
      <c r="B119" s="13" t="n">
        <f aca="false">Setup!$C$5+68</f>
        <v>46095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TEXT(Setup!$C$5+68,"dddd")</f>
        <v>Saturday</v>
      </c>
      <c r="B120" s="13" t="n">
        <f aca="false">Setup!$C$5+68</f>
        <v>46095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TEXT(Setup!$C$5+68,"dddd")</f>
        <v>Saturday</v>
      </c>
      <c r="B121" s="13" t="n">
        <f aca="false">Setup!$C$5+68</f>
        <v>46095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TEXT(Setup!$C$5+68,"dddd")</f>
        <v>Saturday</v>
      </c>
      <c r="B122" s="13" t="n">
        <f aca="false">Setup!$C$5+68</f>
        <v>46095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TEXT(Setup!$C$5+68,"dddd")</f>
        <v>Saturday</v>
      </c>
      <c r="B123" s="13" t="n">
        <f aca="false">Setup!$C$5+68</f>
        <v>46095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TEXT(Setup!$C$5+68,"dddd")</f>
        <v>Saturday</v>
      </c>
      <c r="B124" s="13" t="n">
        <f aca="false">Setup!$C$5+68</f>
        <v>46095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TEXT(Setup!$C$5+68,"dddd")</f>
        <v>Saturday</v>
      </c>
      <c r="B125" s="13" t="n">
        <f aca="false">Setup!$C$5+68</f>
        <v>46095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TEXT(Setup!$C$5+68,"dddd")</f>
        <v>Saturday</v>
      </c>
      <c r="B126" s="13" t="n">
        <f aca="false">Setup!$C$5+68</f>
        <v>46095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TEXT(Setup!$C$5+68,"dddd")</f>
        <v>Saturday</v>
      </c>
      <c r="B127" s="13" t="n">
        <f aca="false">Setup!$C$5+68</f>
        <v>46095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TEXT(Setup!$C$5+68,"dddd")</f>
        <v>Saturday</v>
      </c>
      <c r="B128" s="13" t="n">
        <f aca="false">Setup!$C$5+68</f>
        <v>46095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TEXT(Setup!$C$5+68,"dddd")</f>
        <v>Saturday</v>
      </c>
      <c r="B129" s="13" t="n">
        <f aca="false">Setup!$C$5+68</f>
        <v>46095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TEXT(Setup!$C$5+68,"dddd")</f>
        <v>Saturday</v>
      </c>
      <c r="B130" s="13" t="n">
        <f aca="false">Setup!$C$5+68</f>
        <v>46095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TEXT(Setup!$C$5+68,"dddd")</f>
        <v>Saturday</v>
      </c>
      <c r="B131" s="13" t="n">
        <f aca="false">Setup!$C$5+68</f>
        <v>46095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TEXT(Setup!$C$5+68,"dddd")</f>
        <v>Saturday</v>
      </c>
      <c r="B132" s="13" t="n">
        <f aca="false">Setup!$C$5+68</f>
        <v>46095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TEXT(Setup!$C$5+68,"dddd")</f>
        <v>Saturday</v>
      </c>
      <c r="B133" s="23" t="n">
        <f aca="false">Setup!$C$5+68</f>
        <v>46095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IFERROR(H133-Wk9!H133,"")</f>
        <v>0</v>
      </c>
      <c r="O133" s="24" t="n">
        <f aca="false">IFERROR(D133-Wk9!D133,"")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TEXT(Setup!$C$5+69,"dddd")</f>
        <v>Sunday</v>
      </c>
      <c r="B134" s="13" t="n">
        <f aca="false">Setup!$C$5+69</f>
        <v>46096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TEXT(Setup!$C$5+69,"dddd")</f>
        <v>Sunday</v>
      </c>
      <c r="B135" s="13" t="n">
        <f aca="false">Setup!$C$5+69</f>
        <v>46096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TEXT(Setup!$C$5+69,"dddd")</f>
        <v>Sunday</v>
      </c>
      <c r="B136" s="13" t="n">
        <f aca="false">Setup!$C$5+69</f>
        <v>46096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TEXT(Setup!$C$5+69,"dddd")</f>
        <v>Sunday</v>
      </c>
      <c r="B137" s="13" t="n">
        <f aca="false">Setup!$C$5+69</f>
        <v>46096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TEXT(Setup!$C$5+69,"dddd")</f>
        <v>Sunday</v>
      </c>
      <c r="B138" s="13" t="n">
        <f aca="false">Setup!$C$5+69</f>
        <v>46096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TEXT(Setup!$C$5+69,"dddd")</f>
        <v>Sunday</v>
      </c>
      <c r="B139" s="13" t="n">
        <f aca="false">Setup!$C$5+69</f>
        <v>46096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TEXT(Setup!$C$5+69,"dddd")</f>
        <v>Sunday</v>
      </c>
      <c r="B140" s="13" t="n">
        <f aca="false">Setup!$C$5+69</f>
        <v>46096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TEXT(Setup!$C$5+69,"dddd")</f>
        <v>Sunday</v>
      </c>
      <c r="B141" s="13" t="n">
        <f aca="false">Setup!$C$5+69</f>
        <v>46096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TEXT(Setup!$C$5+69,"dddd")</f>
        <v>Sunday</v>
      </c>
      <c r="B142" s="13" t="n">
        <f aca="false">Setup!$C$5+69</f>
        <v>46096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TEXT(Setup!$C$5+69,"dddd")</f>
        <v>Sunday</v>
      </c>
      <c r="B143" s="13" t="n">
        <f aca="false">Setup!$C$5+69</f>
        <v>46096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TEXT(Setup!$C$5+69,"dddd")</f>
        <v>Sunday</v>
      </c>
      <c r="B144" s="13" t="n">
        <f aca="false">Setup!$C$5+69</f>
        <v>46096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TEXT(Setup!$C$5+69,"dddd")</f>
        <v>Sunday</v>
      </c>
      <c r="B145" s="13" t="n">
        <f aca="false">Setup!$C$5+69</f>
        <v>46096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TEXT(Setup!$C$5+69,"dddd")</f>
        <v>Sunday</v>
      </c>
      <c r="B146" s="13" t="n">
        <f aca="false">Setup!$C$5+69</f>
        <v>46096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TEXT(Setup!$C$5+69,"dddd")</f>
        <v>Sunday</v>
      </c>
      <c r="B147" s="13" t="n">
        <f aca="false">Setup!$C$5+69</f>
        <v>46096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TEXT(Setup!$C$5+69,"dddd")</f>
        <v>Sunday</v>
      </c>
      <c r="B148" s="13" t="n">
        <f aca="false">Setup!$C$5+69</f>
        <v>46096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TEXT(Setup!$C$5+69,"dddd")</f>
        <v>Sunday</v>
      </c>
      <c r="B149" s="13" t="n">
        <f aca="false">Setup!$C$5+69</f>
        <v>46096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TEXT(Setup!$C$5+69,"dddd")</f>
        <v>Sunday</v>
      </c>
      <c r="B150" s="13" t="n">
        <f aca="false">Setup!$C$5+69</f>
        <v>46096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TEXT(Setup!$C$5+69,"dddd")</f>
        <v>Sunday</v>
      </c>
      <c r="B151" s="13" t="n">
        <f aca="false">Setup!$C$5+69</f>
        <v>46096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TEXT(Setup!$C$5+69,"dddd")</f>
        <v>Sunday</v>
      </c>
      <c r="B152" s="13" t="n">
        <f aca="false">Setup!$C$5+69</f>
        <v>46096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TEXT(Setup!$C$5+69,"dddd")</f>
        <v>Sunday</v>
      </c>
      <c r="B153" s="13" t="n">
        <f aca="false">Setup!$C$5+69</f>
        <v>46096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TEXT(Setup!$C$5+69,"dddd")</f>
        <v>Sunday</v>
      </c>
      <c r="B154" s="13" t="n">
        <f aca="false">Setup!$C$5+69</f>
        <v>46096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TEXT(Setup!$C$5+69,"dddd")</f>
        <v>Sunday</v>
      </c>
      <c r="B155" s="23" t="n">
        <f aca="false">Setup!$C$5+69</f>
        <v>46096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IFERROR(H155-Wk9!H155,"")</f>
        <v>0</v>
      </c>
      <c r="O155" s="24" t="n">
        <f aca="false">IFERROR(D155-Wk9!D155,"")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IFERROR(D156-Wk9!D156,"")</f>
        <v>0</v>
      </c>
      <c r="E157" s="34" t="n">
        <f aca="false">IFERROR(E156-Wk9!E156,"")</f>
        <v>0</v>
      </c>
      <c r="H157" s="32" t="n">
        <f aca="false">IFERROR(H156-Wk9!H156,"")</f>
        <v>0</v>
      </c>
      <c r="K157" s="32" t="n">
        <f aca="false">IFERROR(K156-Wk9!K156,"")</f>
        <v>0</v>
      </c>
      <c r="M157" s="32" t="n">
        <f aca="false">IFERROR(M156-Wk9!M156,"")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TEXT(Setup!$C$5+70,"dddd")</f>
        <v>Monday</v>
      </c>
      <c r="B2" s="13" t="n">
        <f aca="false">Setup!$C$5+70</f>
        <v>46097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TEXT(Setup!$C$5+70,"dddd")</f>
        <v>Monday</v>
      </c>
      <c r="B3" s="13" t="n">
        <f aca="false">Setup!$C$5+70</f>
        <v>46097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TEXT(Setup!$C$5+70,"dddd")</f>
        <v>Monday</v>
      </c>
      <c r="B4" s="13" t="n">
        <f aca="false">Setup!$C$5+70</f>
        <v>46097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TEXT(Setup!$C$5+70,"dddd")</f>
        <v>Monday</v>
      </c>
      <c r="B5" s="13" t="n">
        <f aca="false">Setup!$C$5+70</f>
        <v>46097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TEXT(Setup!$C$5+70,"dddd")</f>
        <v>Monday</v>
      </c>
      <c r="B6" s="13" t="n">
        <f aca="false">Setup!$C$5+70</f>
        <v>46097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TEXT(Setup!$C$5+70,"dddd")</f>
        <v>Monday</v>
      </c>
      <c r="B7" s="13" t="n">
        <f aca="false">Setup!$C$5+70</f>
        <v>46097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TEXT(Setup!$C$5+70,"dddd")</f>
        <v>Monday</v>
      </c>
      <c r="B8" s="13" t="n">
        <f aca="false">Setup!$C$5+70</f>
        <v>46097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TEXT(Setup!$C$5+70,"dddd")</f>
        <v>Monday</v>
      </c>
      <c r="B9" s="13" t="n">
        <f aca="false">Setup!$C$5+70</f>
        <v>46097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TEXT(Setup!$C$5+70,"dddd")</f>
        <v>Monday</v>
      </c>
      <c r="B10" s="13" t="n">
        <f aca="false">Setup!$C$5+70</f>
        <v>46097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TEXT(Setup!$C$5+70,"dddd")</f>
        <v>Monday</v>
      </c>
      <c r="B11" s="13" t="n">
        <f aca="false">Setup!$C$5+70</f>
        <v>46097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TEXT(Setup!$C$5+70,"dddd")</f>
        <v>Monday</v>
      </c>
      <c r="B12" s="13" t="n">
        <f aca="false">Setup!$C$5+70</f>
        <v>46097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TEXT(Setup!$C$5+70,"dddd")</f>
        <v>Monday</v>
      </c>
      <c r="B13" s="13" t="n">
        <f aca="false">Setup!$C$5+70</f>
        <v>46097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TEXT(Setup!$C$5+70,"dddd")</f>
        <v>Monday</v>
      </c>
      <c r="B14" s="13" t="n">
        <f aca="false">Setup!$C$5+70</f>
        <v>46097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TEXT(Setup!$C$5+70,"dddd")</f>
        <v>Monday</v>
      </c>
      <c r="B15" s="13" t="n">
        <f aca="false">Setup!$C$5+70</f>
        <v>46097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TEXT(Setup!$C$5+70,"dddd")</f>
        <v>Monday</v>
      </c>
      <c r="B16" s="13" t="n">
        <f aca="false">Setup!$C$5+70</f>
        <v>46097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TEXT(Setup!$C$5+70,"dddd")</f>
        <v>Monday</v>
      </c>
      <c r="B17" s="13" t="n">
        <f aca="false">Setup!$C$5+70</f>
        <v>46097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TEXT(Setup!$C$5+70,"dddd")</f>
        <v>Monday</v>
      </c>
      <c r="B18" s="13" t="n">
        <f aca="false">Setup!$C$5+70</f>
        <v>46097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TEXT(Setup!$C$5+70,"dddd")</f>
        <v>Monday</v>
      </c>
      <c r="B19" s="13" t="n">
        <f aca="false">Setup!$C$5+70</f>
        <v>46097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TEXT(Setup!$C$5+70,"dddd")</f>
        <v>Monday</v>
      </c>
      <c r="B20" s="13" t="n">
        <f aca="false">Setup!$C$5+70</f>
        <v>46097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TEXT(Setup!$C$5+70,"dddd")</f>
        <v>Monday</v>
      </c>
      <c r="B21" s="13" t="n">
        <f aca="false">Setup!$C$5+70</f>
        <v>46097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TEXT(Setup!$C$5+70,"dddd")</f>
        <v>Monday</v>
      </c>
      <c r="B22" s="13" t="n">
        <f aca="false">Setup!$C$5+70</f>
        <v>46097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TEXT(Setup!$C$5+70,"dddd")</f>
        <v>Monday</v>
      </c>
      <c r="B23" s="23" t="n">
        <f aca="false">Setup!$C$5+70</f>
        <v>46097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IFERROR(H23-Wk10!H23,"")</f>
        <v>0</v>
      </c>
      <c r="O23" s="24" t="n">
        <f aca="false">IFERROR(D23-Wk10!D23,"")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TEXT(Setup!$C$5+71,"dddd")</f>
        <v>Tuesday</v>
      </c>
      <c r="B24" s="13" t="n">
        <f aca="false">Setup!$C$5+71</f>
        <v>46098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TEXT(Setup!$C$5+71,"dddd")</f>
        <v>Tuesday</v>
      </c>
      <c r="B25" s="13" t="n">
        <f aca="false">Setup!$C$5+71</f>
        <v>46098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TEXT(Setup!$C$5+71,"dddd")</f>
        <v>Tuesday</v>
      </c>
      <c r="B26" s="13" t="n">
        <f aca="false">Setup!$C$5+71</f>
        <v>46098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TEXT(Setup!$C$5+71,"dddd")</f>
        <v>Tuesday</v>
      </c>
      <c r="B27" s="13" t="n">
        <f aca="false">Setup!$C$5+71</f>
        <v>46098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TEXT(Setup!$C$5+71,"dddd")</f>
        <v>Tuesday</v>
      </c>
      <c r="B28" s="13" t="n">
        <f aca="false">Setup!$C$5+71</f>
        <v>46098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TEXT(Setup!$C$5+71,"dddd")</f>
        <v>Tuesday</v>
      </c>
      <c r="B29" s="13" t="n">
        <f aca="false">Setup!$C$5+71</f>
        <v>46098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TEXT(Setup!$C$5+71,"dddd")</f>
        <v>Tuesday</v>
      </c>
      <c r="B30" s="13" t="n">
        <f aca="false">Setup!$C$5+71</f>
        <v>46098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TEXT(Setup!$C$5+71,"dddd")</f>
        <v>Tuesday</v>
      </c>
      <c r="B31" s="13" t="n">
        <f aca="false">Setup!$C$5+71</f>
        <v>46098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TEXT(Setup!$C$5+71,"dddd")</f>
        <v>Tuesday</v>
      </c>
      <c r="B32" s="13" t="n">
        <f aca="false">Setup!$C$5+71</f>
        <v>46098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TEXT(Setup!$C$5+71,"dddd")</f>
        <v>Tuesday</v>
      </c>
      <c r="B33" s="13" t="n">
        <f aca="false">Setup!$C$5+71</f>
        <v>46098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TEXT(Setup!$C$5+71,"dddd")</f>
        <v>Tuesday</v>
      </c>
      <c r="B34" s="13" t="n">
        <f aca="false">Setup!$C$5+71</f>
        <v>46098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TEXT(Setup!$C$5+71,"dddd")</f>
        <v>Tuesday</v>
      </c>
      <c r="B35" s="13" t="n">
        <f aca="false">Setup!$C$5+71</f>
        <v>46098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TEXT(Setup!$C$5+71,"dddd")</f>
        <v>Tuesday</v>
      </c>
      <c r="B36" s="13" t="n">
        <f aca="false">Setup!$C$5+71</f>
        <v>46098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TEXT(Setup!$C$5+71,"dddd")</f>
        <v>Tuesday</v>
      </c>
      <c r="B37" s="13" t="n">
        <f aca="false">Setup!$C$5+71</f>
        <v>46098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TEXT(Setup!$C$5+71,"dddd")</f>
        <v>Tuesday</v>
      </c>
      <c r="B38" s="13" t="n">
        <f aca="false">Setup!$C$5+71</f>
        <v>46098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TEXT(Setup!$C$5+71,"dddd")</f>
        <v>Tuesday</v>
      </c>
      <c r="B39" s="13" t="n">
        <f aca="false">Setup!$C$5+71</f>
        <v>46098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TEXT(Setup!$C$5+71,"dddd")</f>
        <v>Tuesday</v>
      </c>
      <c r="B40" s="13" t="n">
        <f aca="false">Setup!$C$5+71</f>
        <v>46098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TEXT(Setup!$C$5+71,"dddd")</f>
        <v>Tuesday</v>
      </c>
      <c r="B41" s="13" t="n">
        <f aca="false">Setup!$C$5+71</f>
        <v>46098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TEXT(Setup!$C$5+71,"dddd")</f>
        <v>Tuesday</v>
      </c>
      <c r="B42" s="13" t="n">
        <f aca="false">Setup!$C$5+71</f>
        <v>46098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TEXT(Setup!$C$5+71,"dddd")</f>
        <v>Tuesday</v>
      </c>
      <c r="B43" s="13" t="n">
        <f aca="false">Setup!$C$5+71</f>
        <v>46098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TEXT(Setup!$C$5+71,"dddd")</f>
        <v>Tuesday</v>
      </c>
      <c r="B44" s="13" t="n">
        <f aca="false">Setup!$C$5+71</f>
        <v>46098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TEXT(Setup!$C$5+71,"dddd")</f>
        <v>Tuesday</v>
      </c>
      <c r="B45" s="23" t="n">
        <f aca="false">Setup!$C$5+71</f>
        <v>46098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IFERROR(H45-Wk10!H45,"")</f>
        <v>0</v>
      </c>
      <c r="O45" s="24" t="n">
        <f aca="false">IFERROR(D45-Wk10!D45,"")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TEXT(Setup!$C$5+72,"dddd")</f>
        <v>Wednesday</v>
      </c>
      <c r="B46" s="13" t="n">
        <f aca="false">Setup!$C$5+72</f>
        <v>46099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TEXT(Setup!$C$5+72,"dddd")</f>
        <v>Wednesday</v>
      </c>
      <c r="B47" s="13" t="n">
        <f aca="false">Setup!$C$5+72</f>
        <v>46099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TEXT(Setup!$C$5+72,"dddd")</f>
        <v>Wednesday</v>
      </c>
      <c r="B48" s="13" t="n">
        <f aca="false">Setup!$C$5+72</f>
        <v>46099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TEXT(Setup!$C$5+72,"dddd")</f>
        <v>Wednesday</v>
      </c>
      <c r="B49" s="13" t="n">
        <f aca="false">Setup!$C$5+72</f>
        <v>46099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TEXT(Setup!$C$5+72,"dddd")</f>
        <v>Wednesday</v>
      </c>
      <c r="B50" s="13" t="n">
        <f aca="false">Setup!$C$5+72</f>
        <v>46099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TEXT(Setup!$C$5+72,"dddd")</f>
        <v>Wednesday</v>
      </c>
      <c r="B51" s="13" t="n">
        <f aca="false">Setup!$C$5+72</f>
        <v>46099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TEXT(Setup!$C$5+72,"dddd")</f>
        <v>Wednesday</v>
      </c>
      <c r="B52" s="13" t="n">
        <f aca="false">Setup!$C$5+72</f>
        <v>46099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TEXT(Setup!$C$5+72,"dddd")</f>
        <v>Wednesday</v>
      </c>
      <c r="B53" s="13" t="n">
        <f aca="false">Setup!$C$5+72</f>
        <v>46099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TEXT(Setup!$C$5+72,"dddd")</f>
        <v>Wednesday</v>
      </c>
      <c r="B54" s="13" t="n">
        <f aca="false">Setup!$C$5+72</f>
        <v>46099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TEXT(Setup!$C$5+72,"dddd")</f>
        <v>Wednesday</v>
      </c>
      <c r="B55" s="13" t="n">
        <f aca="false">Setup!$C$5+72</f>
        <v>46099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TEXT(Setup!$C$5+72,"dddd")</f>
        <v>Wednesday</v>
      </c>
      <c r="B56" s="13" t="n">
        <f aca="false">Setup!$C$5+72</f>
        <v>46099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TEXT(Setup!$C$5+72,"dddd")</f>
        <v>Wednesday</v>
      </c>
      <c r="B57" s="13" t="n">
        <f aca="false">Setup!$C$5+72</f>
        <v>46099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TEXT(Setup!$C$5+72,"dddd")</f>
        <v>Wednesday</v>
      </c>
      <c r="B58" s="13" t="n">
        <f aca="false">Setup!$C$5+72</f>
        <v>46099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TEXT(Setup!$C$5+72,"dddd")</f>
        <v>Wednesday</v>
      </c>
      <c r="B59" s="13" t="n">
        <f aca="false">Setup!$C$5+72</f>
        <v>46099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TEXT(Setup!$C$5+72,"dddd")</f>
        <v>Wednesday</v>
      </c>
      <c r="B60" s="13" t="n">
        <f aca="false">Setup!$C$5+72</f>
        <v>46099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TEXT(Setup!$C$5+72,"dddd")</f>
        <v>Wednesday</v>
      </c>
      <c r="B61" s="13" t="n">
        <f aca="false">Setup!$C$5+72</f>
        <v>46099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TEXT(Setup!$C$5+72,"dddd")</f>
        <v>Wednesday</v>
      </c>
      <c r="B62" s="13" t="n">
        <f aca="false">Setup!$C$5+72</f>
        <v>46099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TEXT(Setup!$C$5+72,"dddd")</f>
        <v>Wednesday</v>
      </c>
      <c r="B63" s="13" t="n">
        <f aca="false">Setup!$C$5+72</f>
        <v>46099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TEXT(Setup!$C$5+72,"dddd")</f>
        <v>Wednesday</v>
      </c>
      <c r="B64" s="13" t="n">
        <f aca="false">Setup!$C$5+72</f>
        <v>46099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TEXT(Setup!$C$5+72,"dddd")</f>
        <v>Wednesday</v>
      </c>
      <c r="B65" s="13" t="n">
        <f aca="false">Setup!$C$5+72</f>
        <v>46099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TEXT(Setup!$C$5+72,"dddd")</f>
        <v>Wednesday</v>
      </c>
      <c r="B66" s="13" t="n">
        <f aca="false">Setup!$C$5+72</f>
        <v>46099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TEXT(Setup!$C$5+72,"dddd")</f>
        <v>Wednesday</v>
      </c>
      <c r="B67" s="23" t="n">
        <f aca="false">Setup!$C$5+72</f>
        <v>46099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IFERROR(H67-Wk10!H67,"")</f>
        <v>0</v>
      </c>
      <c r="O67" s="24" t="n">
        <f aca="false">IFERROR(D67-Wk10!D67,"")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TEXT(Setup!$C$5+73,"dddd")</f>
        <v>Thursday</v>
      </c>
      <c r="B68" s="13" t="n">
        <f aca="false">Setup!$C$5+73</f>
        <v>46100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TEXT(Setup!$C$5+73,"dddd")</f>
        <v>Thursday</v>
      </c>
      <c r="B69" s="13" t="n">
        <f aca="false">Setup!$C$5+73</f>
        <v>46100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TEXT(Setup!$C$5+73,"dddd")</f>
        <v>Thursday</v>
      </c>
      <c r="B70" s="13" t="n">
        <f aca="false">Setup!$C$5+73</f>
        <v>46100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TEXT(Setup!$C$5+73,"dddd")</f>
        <v>Thursday</v>
      </c>
      <c r="B71" s="13" t="n">
        <f aca="false">Setup!$C$5+73</f>
        <v>46100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TEXT(Setup!$C$5+73,"dddd")</f>
        <v>Thursday</v>
      </c>
      <c r="B72" s="13" t="n">
        <f aca="false">Setup!$C$5+73</f>
        <v>46100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TEXT(Setup!$C$5+73,"dddd")</f>
        <v>Thursday</v>
      </c>
      <c r="B73" s="13" t="n">
        <f aca="false">Setup!$C$5+73</f>
        <v>46100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TEXT(Setup!$C$5+73,"dddd")</f>
        <v>Thursday</v>
      </c>
      <c r="B74" s="13" t="n">
        <f aca="false">Setup!$C$5+73</f>
        <v>46100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TEXT(Setup!$C$5+73,"dddd")</f>
        <v>Thursday</v>
      </c>
      <c r="B75" s="13" t="n">
        <f aca="false">Setup!$C$5+73</f>
        <v>46100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TEXT(Setup!$C$5+73,"dddd")</f>
        <v>Thursday</v>
      </c>
      <c r="B76" s="13" t="n">
        <f aca="false">Setup!$C$5+73</f>
        <v>46100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TEXT(Setup!$C$5+73,"dddd")</f>
        <v>Thursday</v>
      </c>
      <c r="B77" s="13" t="n">
        <f aca="false">Setup!$C$5+73</f>
        <v>46100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TEXT(Setup!$C$5+73,"dddd")</f>
        <v>Thursday</v>
      </c>
      <c r="B78" s="13" t="n">
        <f aca="false">Setup!$C$5+73</f>
        <v>46100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TEXT(Setup!$C$5+73,"dddd")</f>
        <v>Thursday</v>
      </c>
      <c r="B79" s="13" t="n">
        <f aca="false">Setup!$C$5+73</f>
        <v>46100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TEXT(Setup!$C$5+73,"dddd")</f>
        <v>Thursday</v>
      </c>
      <c r="B80" s="13" t="n">
        <f aca="false">Setup!$C$5+73</f>
        <v>46100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TEXT(Setup!$C$5+73,"dddd")</f>
        <v>Thursday</v>
      </c>
      <c r="B81" s="13" t="n">
        <f aca="false">Setup!$C$5+73</f>
        <v>46100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TEXT(Setup!$C$5+73,"dddd")</f>
        <v>Thursday</v>
      </c>
      <c r="B82" s="13" t="n">
        <f aca="false">Setup!$C$5+73</f>
        <v>46100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TEXT(Setup!$C$5+73,"dddd")</f>
        <v>Thursday</v>
      </c>
      <c r="B83" s="13" t="n">
        <f aca="false">Setup!$C$5+73</f>
        <v>46100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TEXT(Setup!$C$5+73,"dddd")</f>
        <v>Thursday</v>
      </c>
      <c r="B84" s="13" t="n">
        <f aca="false">Setup!$C$5+73</f>
        <v>46100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TEXT(Setup!$C$5+73,"dddd")</f>
        <v>Thursday</v>
      </c>
      <c r="B85" s="13" t="n">
        <f aca="false">Setup!$C$5+73</f>
        <v>46100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TEXT(Setup!$C$5+73,"dddd")</f>
        <v>Thursday</v>
      </c>
      <c r="B86" s="13" t="n">
        <f aca="false">Setup!$C$5+73</f>
        <v>46100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TEXT(Setup!$C$5+73,"dddd")</f>
        <v>Thursday</v>
      </c>
      <c r="B87" s="13" t="n">
        <f aca="false">Setup!$C$5+73</f>
        <v>46100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TEXT(Setup!$C$5+73,"dddd")</f>
        <v>Thursday</v>
      </c>
      <c r="B88" s="13" t="n">
        <f aca="false">Setup!$C$5+73</f>
        <v>46100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TEXT(Setup!$C$5+73,"dddd")</f>
        <v>Thursday</v>
      </c>
      <c r="B89" s="23" t="n">
        <f aca="false">Setup!$C$5+73</f>
        <v>46100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IFERROR(H89-Wk10!H89,"")</f>
        <v>0</v>
      </c>
      <c r="O89" s="24" t="n">
        <f aca="false">IFERROR(D89-Wk10!D89,"")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TEXT(Setup!$C$5+74,"dddd")</f>
        <v>Friday</v>
      </c>
      <c r="B90" s="13" t="n">
        <f aca="false">Setup!$C$5+74</f>
        <v>46101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TEXT(Setup!$C$5+74,"dddd")</f>
        <v>Friday</v>
      </c>
      <c r="B91" s="13" t="n">
        <f aca="false">Setup!$C$5+74</f>
        <v>46101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TEXT(Setup!$C$5+74,"dddd")</f>
        <v>Friday</v>
      </c>
      <c r="B92" s="13" t="n">
        <f aca="false">Setup!$C$5+74</f>
        <v>46101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TEXT(Setup!$C$5+74,"dddd")</f>
        <v>Friday</v>
      </c>
      <c r="B93" s="13" t="n">
        <f aca="false">Setup!$C$5+74</f>
        <v>46101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TEXT(Setup!$C$5+74,"dddd")</f>
        <v>Friday</v>
      </c>
      <c r="B94" s="13" t="n">
        <f aca="false">Setup!$C$5+74</f>
        <v>46101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TEXT(Setup!$C$5+74,"dddd")</f>
        <v>Friday</v>
      </c>
      <c r="B95" s="13" t="n">
        <f aca="false">Setup!$C$5+74</f>
        <v>46101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TEXT(Setup!$C$5+74,"dddd")</f>
        <v>Friday</v>
      </c>
      <c r="B96" s="13" t="n">
        <f aca="false">Setup!$C$5+74</f>
        <v>46101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TEXT(Setup!$C$5+74,"dddd")</f>
        <v>Friday</v>
      </c>
      <c r="B97" s="13" t="n">
        <f aca="false">Setup!$C$5+74</f>
        <v>46101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TEXT(Setup!$C$5+74,"dddd")</f>
        <v>Friday</v>
      </c>
      <c r="B98" s="13" t="n">
        <f aca="false">Setup!$C$5+74</f>
        <v>46101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TEXT(Setup!$C$5+74,"dddd")</f>
        <v>Friday</v>
      </c>
      <c r="B99" s="13" t="n">
        <f aca="false">Setup!$C$5+74</f>
        <v>46101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TEXT(Setup!$C$5+74,"dddd")</f>
        <v>Friday</v>
      </c>
      <c r="B100" s="13" t="n">
        <f aca="false">Setup!$C$5+74</f>
        <v>46101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TEXT(Setup!$C$5+74,"dddd")</f>
        <v>Friday</v>
      </c>
      <c r="B101" s="13" t="n">
        <f aca="false">Setup!$C$5+74</f>
        <v>46101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TEXT(Setup!$C$5+74,"dddd")</f>
        <v>Friday</v>
      </c>
      <c r="B102" s="13" t="n">
        <f aca="false">Setup!$C$5+74</f>
        <v>46101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TEXT(Setup!$C$5+74,"dddd")</f>
        <v>Friday</v>
      </c>
      <c r="B103" s="13" t="n">
        <f aca="false">Setup!$C$5+74</f>
        <v>46101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TEXT(Setup!$C$5+74,"dddd")</f>
        <v>Friday</v>
      </c>
      <c r="B104" s="13" t="n">
        <f aca="false">Setup!$C$5+74</f>
        <v>46101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TEXT(Setup!$C$5+74,"dddd")</f>
        <v>Friday</v>
      </c>
      <c r="B105" s="13" t="n">
        <f aca="false">Setup!$C$5+74</f>
        <v>46101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TEXT(Setup!$C$5+74,"dddd")</f>
        <v>Friday</v>
      </c>
      <c r="B106" s="13" t="n">
        <f aca="false">Setup!$C$5+74</f>
        <v>46101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TEXT(Setup!$C$5+74,"dddd")</f>
        <v>Friday</v>
      </c>
      <c r="B107" s="13" t="n">
        <f aca="false">Setup!$C$5+74</f>
        <v>46101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TEXT(Setup!$C$5+74,"dddd")</f>
        <v>Friday</v>
      </c>
      <c r="B108" s="13" t="n">
        <f aca="false">Setup!$C$5+74</f>
        <v>46101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TEXT(Setup!$C$5+74,"dddd")</f>
        <v>Friday</v>
      </c>
      <c r="B109" s="13" t="n">
        <f aca="false">Setup!$C$5+74</f>
        <v>46101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TEXT(Setup!$C$5+74,"dddd")</f>
        <v>Friday</v>
      </c>
      <c r="B110" s="13" t="n">
        <f aca="false">Setup!$C$5+74</f>
        <v>46101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TEXT(Setup!$C$5+74,"dddd")</f>
        <v>Friday</v>
      </c>
      <c r="B111" s="23" t="n">
        <f aca="false">Setup!$C$5+74</f>
        <v>46101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IFERROR(H111-Wk10!H111,"")</f>
        <v>0</v>
      </c>
      <c r="O111" s="24" t="n">
        <f aca="false">IFERROR(D111-Wk10!D111,"")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TEXT(Setup!$C$5+75,"dddd")</f>
        <v>Saturday</v>
      </c>
      <c r="B112" s="13" t="n">
        <f aca="false">Setup!$C$5+75</f>
        <v>46102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TEXT(Setup!$C$5+75,"dddd")</f>
        <v>Saturday</v>
      </c>
      <c r="B113" s="13" t="n">
        <f aca="false">Setup!$C$5+75</f>
        <v>46102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TEXT(Setup!$C$5+75,"dddd")</f>
        <v>Saturday</v>
      </c>
      <c r="B114" s="13" t="n">
        <f aca="false">Setup!$C$5+75</f>
        <v>46102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TEXT(Setup!$C$5+75,"dddd")</f>
        <v>Saturday</v>
      </c>
      <c r="B115" s="13" t="n">
        <f aca="false">Setup!$C$5+75</f>
        <v>46102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TEXT(Setup!$C$5+75,"dddd")</f>
        <v>Saturday</v>
      </c>
      <c r="B116" s="13" t="n">
        <f aca="false">Setup!$C$5+75</f>
        <v>46102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TEXT(Setup!$C$5+75,"dddd")</f>
        <v>Saturday</v>
      </c>
      <c r="B117" s="13" t="n">
        <f aca="false">Setup!$C$5+75</f>
        <v>46102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TEXT(Setup!$C$5+75,"dddd")</f>
        <v>Saturday</v>
      </c>
      <c r="B118" s="13" t="n">
        <f aca="false">Setup!$C$5+75</f>
        <v>46102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TEXT(Setup!$C$5+75,"dddd")</f>
        <v>Saturday</v>
      </c>
      <c r="B119" s="13" t="n">
        <f aca="false">Setup!$C$5+75</f>
        <v>46102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TEXT(Setup!$C$5+75,"dddd")</f>
        <v>Saturday</v>
      </c>
      <c r="B120" s="13" t="n">
        <f aca="false">Setup!$C$5+75</f>
        <v>46102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TEXT(Setup!$C$5+75,"dddd")</f>
        <v>Saturday</v>
      </c>
      <c r="B121" s="13" t="n">
        <f aca="false">Setup!$C$5+75</f>
        <v>46102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TEXT(Setup!$C$5+75,"dddd")</f>
        <v>Saturday</v>
      </c>
      <c r="B122" s="13" t="n">
        <f aca="false">Setup!$C$5+75</f>
        <v>46102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TEXT(Setup!$C$5+75,"dddd")</f>
        <v>Saturday</v>
      </c>
      <c r="B123" s="13" t="n">
        <f aca="false">Setup!$C$5+75</f>
        <v>46102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TEXT(Setup!$C$5+75,"dddd")</f>
        <v>Saturday</v>
      </c>
      <c r="B124" s="13" t="n">
        <f aca="false">Setup!$C$5+75</f>
        <v>46102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TEXT(Setup!$C$5+75,"dddd")</f>
        <v>Saturday</v>
      </c>
      <c r="B125" s="13" t="n">
        <f aca="false">Setup!$C$5+75</f>
        <v>46102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TEXT(Setup!$C$5+75,"dddd")</f>
        <v>Saturday</v>
      </c>
      <c r="B126" s="13" t="n">
        <f aca="false">Setup!$C$5+75</f>
        <v>46102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TEXT(Setup!$C$5+75,"dddd")</f>
        <v>Saturday</v>
      </c>
      <c r="B127" s="13" t="n">
        <f aca="false">Setup!$C$5+75</f>
        <v>46102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TEXT(Setup!$C$5+75,"dddd")</f>
        <v>Saturday</v>
      </c>
      <c r="B128" s="13" t="n">
        <f aca="false">Setup!$C$5+75</f>
        <v>46102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TEXT(Setup!$C$5+75,"dddd")</f>
        <v>Saturday</v>
      </c>
      <c r="B129" s="13" t="n">
        <f aca="false">Setup!$C$5+75</f>
        <v>46102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TEXT(Setup!$C$5+75,"dddd")</f>
        <v>Saturday</v>
      </c>
      <c r="B130" s="13" t="n">
        <f aca="false">Setup!$C$5+75</f>
        <v>46102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TEXT(Setup!$C$5+75,"dddd")</f>
        <v>Saturday</v>
      </c>
      <c r="B131" s="13" t="n">
        <f aca="false">Setup!$C$5+75</f>
        <v>46102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TEXT(Setup!$C$5+75,"dddd")</f>
        <v>Saturday</v>
      </c>
      <c r="B132" s="13" t="n">
        <f aca="false">Setup!$C$5+75</f>
        <v>46102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TEXT(Setup!$C$5+75,"dddd")</f>
        <v>Saturday</v>
      </c>
      <c r="B133" s="23" t="n">
        <f aca="false">Setup!$C$5+75</f>
        <v>46102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IFERROR(H133-Wk10!H133,"")</f>
        <v>0</v>
      </c>
      <c r="O133" s="24" t="n">
        <f aca="false">IFERROR(D133-Wk10!D133,"")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TEXT(Setup!$C$5+76,"dddd")</f>
        <v>Sunday</v>
      </c>
      <c r="B134" s="13" t="n">
        <f aca="false">Setup!$C$5+76</f>
        <v>46103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TEXT(Setup!$C$5+76,"dddd")</f>
        <v>Sunday</v>
      </c>
      <c r="B135" s="13" t="n">
        <f aca="false">Setup!$C$5+76</f>
        <v>46103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TEXT(Setup!$C$5+76,"dddd")</f>
        <v>Sunday</v>
      </c>
      <c r="B136" s="13" t="n">
        <f aca="false">Setup!$C$5+76</f>
        <v>46103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TEXT(Setup!$C$5+76,"dddd")</f>
        <v>Sunday</v>
      </c>
      <c r="B137" s="13" t="n">
        <f aca="false">Setup!$C$5+76</f>
        <v>46103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TEXT(Setup!$C$5+76,"dddd")</f>
        <v>Sunday</v>
      </c>
      <c r="B138" s="13" t="n">
        <f aca="false">Setup!$C$5+76</f>
        <v>46103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TEXT(Setup!$C$5+76,"dddd")</f>
        <v>Sunday</v>
      </c>
      <c r="B139" s="13" t="n">
        <f aca="false">Setup!$C$5+76</f>
        <v>46103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TEXT(Setup!$C$5+76,"dddd")</f>
        <v>Sunday</v>
      </c>
      <c r="B140" s="13" t="n">
        <f aca="false">Setup!$C$5+76</f>
        <v>46103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TEXT(Setup!$C$5+76,"dddd")</f>
        <v>Sunday</v>
      </c>
      <c r="B141" s="13" t="n">
        <f aca="false">Setup!$C$5+76</f>
        <v>46103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TEXT(Setup!$C$5+76,"dddd")</f>
        <v>Sunday</v>
      </c>
      <c r="B142" s="13" t="n">
        <f aca="false">Setup!$C$5+76</f>
        <v>46103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TEXT(Setup!$C$5+76,"dddd")</f>
        <v>Sunday</v>
      </c>
      <c r="B143" s="13" t="n">
        <f aca="false">Setup!$C$5+76</f>
        <v>46103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TEXT(Setup!$C$5+76,"dddd")</f>
        <v>Sunday</v>
      </c>
      <c r="B144" s="13" t="n">
        <f aca="false">Setup!$C$5+76</f>
        <v>46103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TEXT(Setup!$C$5+76,"dddd")</f>
        <v>Sunday</v>
      </c>
      <c r="B145" s="13" t="n">
        <f aca="false">Setup!$C$5+76</f>
        <v>46103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TEXT(Setup!$C$5+76,"dddd")</f>
        <v>Sunday</v>
      </c>
      <c r="B146" s="13" t="n">
        <f aca="false">Setup!$C$5+76</f>
        <v>46103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TEXT(Setup!$C$5+76,"dddd")</f>
        <v>Sunday</v>
      </c>
      <c r="B147" s="13" t="n">
        <f aca="false">Setup!$C$5+76</f>
        <v>46103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TEXT(Setup!$C$5+76,"dddd")</f>
        <v>Sunday</v>
      </c>
      <c r="B148" s="13" t="n">
        <f aca="false">Setup!$C$5+76</f>
        <v>46103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TEXT(Setup!$C$5+76,"dddd")</f>
        <v>Sunday</v>
      </c>
      <c r="B149" s="13" t="n">
        <f aca="false">Setup!$C$5+76</f>
        <v>46103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TEXT(Setup!$C$5+76,"dddd")</f>
        <v>Sunday</v>
      </c>
      <c r="B150" s="13" t="n">
        <f aca="false">Setup!$C$5+76</f>
        <v>46103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TEXT(Setup!$C$5+76,"dddd")</f>
        <v>Sunday</v>
      </c>
      <c r="B151" s="13" t="n">
        <f aca="false">Setup!$C$5+76</f>
        <v>46103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TEXT(Setup!$C$5+76,"dddd")</f>
        <v>Sunday</v>
      </c>
      <c r="B152" s="13" t="n">
        <f aca="false">Setup!$C$5+76</f>
        <v>46103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TEXT(Setup!$C$5+76,"dddd")</f>
        <v>Sunday</v>
      </c>
      <c r="B153" s="13" t="n">
        <f aca="false">Setup!$C$5+76</f>
        <v>46103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TEXT(Setup!$C$5+76,"dddd")</f>
        <v>Sunday</v>
      </c>
      <c r="B154" s="13" t="n">
        <f aca="false">Setup!$C$5+76</f>
        <v>46103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TEXT(Setup!$C$5+76,"dddd")</f>
        <v>Sunday</v>
      </c>
      <c r="B155" s="23" t="n">
        <f aca="false">Setup!$C$5+76</f>
        <v>46103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IFERROR(H155-Wk10!H155,"")</f>
        <v>0</v>
      </c>
      <c r="O155" s="24" t="n">
        <f aca="false">IFERROR(D155-Wk10!D155,"")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IFERROR(D156-Wk10!D156,"")</f>
        <v>0</v>
      </c>
      <c r="E157" s="34" t="n">
        <f aca="false">IFERROR(E156-Wk10!E156,"")</f>
        <v>0</v>
      </c>
      <c r="H157" s="32" t="n">
        <f aca="false">IFERROR(H156-Wk10!H156,"")</f>
        <v>0</v>
      </c>
      <c r="K157" s="32" t="n">
        <f aca="false">IFERROR(K156-Wk10!K156,"")</f>
        <v>0</v>
      </c>
      <c r="M157" s="32" t="n">
        <f aca="false">IFERROR(M156-Wk10!M156,"")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TEXT(Setup!$C$5+77,"dddd")</f>
        <v>Monday</v>
      </c>
      <c r="B2" s="13" t="n">
        <f aca="false">Setup!$C$5+77</f>
        <v>46104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TEXT(Setup!$C$5+77,"dddd")</f>
        <v>Monday</v>
      </c>
      <c r="B3" s="13" t="n">
        <f aca="false">Setup!$C$5+77</f>
        <v>46104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TEXT(Setup!$C$5+77,"dddd")</f>
        <v>Monday</v>
      </c>
      <c r="B4" s="13" t="n">
        <f aca="false">Setup!$C$5+77</f>
        <v>46104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TEXT(Setup!$C$5+77,"dddd")</f>
        <v>Monday</v>
      </c>
      <c r="B5" s="13" t="n">
        <f aca="false">Setup!$C$5+77</f>
        <v>46104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TEXT(Setup!$C$5+77,"dddd")</f>
        <v>Monday</v>
      </c>
      <c r="B6" s="13" t="n">
        <f aca="false">Setup!$C$5+77</f>
        <v>46104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TEXT(Setup!$C$5+77,"dddd")</f>
        <v>Monday</v>
      </c>
      <c r="B7" s="13" t="n">
        <f aca="false">Setup!$C$5+77</f>
        <v>46104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TEXT(Setup!$C$5+77,"dddd")</f>
        <v>Monday</v>
      </c>
      <c r="B8" s="13" t="n">
        <f aca="false">Setup!$C$5+77</f>
        <v>46104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TEXT(Setup!$C$5+77,"dddd")</f>
        <v>Monday</v>
      </c>
      <c r="B9" s="13" t="n">
        <f aca="false">Setup!$C$5+77</f>
        <v>46104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TEXT(Setup!$C$5+77,"dddd")</f>
        <v>Monday</v>
      </c>
      <c r="B10" s="13" t="n">
        <f aca="false">Setup!$C$5+77</f>
        <v>46104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TEXT(Setup!$C$5+77,"dddd")</f>
        <v>Monday</v>
      </c>
      <c r="B11" s="13" t="n">
        <f aca="false">Setup!$C$5+77</f>
        <v>46104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TEXT(Setup!$C$5+77,"dddd")</f>
        <v>Monday</v>
      </c>
      <c r="B12" s="13" t="n">
        <f aca="false">Setup!$C$5+77</f>
        <v>46104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TEXT(Setup!$C$5+77,"dddd")</f>
        <v>Monday</v>
      </c>
      <c r="B13" s="13" t="n">
        <f aca="false">Setup!$C$5+77</f>
        <v>46104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TEXT(Setup!$C$5+77,"dddd")</f>
        <v>Monday</v>
      </c>
      <c r="B14" s="13" t="n">
        <f aca="false">Setup!$C$5+77</f>
        <v>46104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TEXT(Setup!$C$5+77,"dddd")</f>
        <v>Monday</v>
      </c>
      <c r="B15" s="13" t="n">
        <f aca="false">Setup!$C$5+77</f>
        <v>46104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TEXT(Setup!$C$5+77,"dddd")</f>
        <v>Monday</v>
      </c>
      <c r="B16" s="13" t="n">
        <f aca="false">Setup!$C$5+77</f>
        <v>46104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TEXT(Setup!$C$5+77,"dddd")</f>
        <v>Monday</v>
      </c>
      <c r="B17" s="13" t="n">
        <f aca="false">Setup!$C$5+77</f>
        <v>46104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TEXT(Setup!$C$5+77,"dddd")</f>
        <v>Monday</v>
      </c>
      <c r="B18" s="13" t="n">
        <f aca="false">Setup!$C$5+77</f>
        <v>46104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TEXT(Setup!$C$5+77,"dddd")</f>
        <v>Monday</v>
      </c>
      <c r="B19" s="13" t="n">
        <f aca="false">Setup!$C$5+77</f>
        <v>46104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TEXT(Setup!$C$5+77,"dddd")</f>
        <v>Monday</v>
      </c>
      <c r="B20" s="13" t="n">
        <f aca="false">Setup!$C$5+77</f>
        <v>46104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TEXT(Setup!$C$5+77,"dddd")</f>
        <v>Monday</v>
      </c>
      <c r="B21" s="13" t="n">
        <f aca="false">Setup!$C$5+77</f>
        <v>46104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TEXT(Setup!$C$5+77,"dddd")</f>
        <v>Monday</v>
      </c>
      <c r="B22" s="13" t="n">
        <f aca="false">Setup!$C$5+77</f>
        <v>46104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TEXT(Setup!$C$5+77,"dddd")</f>
        <v>Monday</v>
      </c>
      <c r="B23" s="23" t="n">
        <f aca="false">Setup!$C$5+77</f>
        <v>46104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IFERROR(H23-Wk11!H23,"")</f>
        <v>0</v>
      </c>
      <c r="O23" s="24" t="n">
        <f aca="false">IFERROR(D23-Wk11!D23,"")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TEXT(Setup!$C$5+78,"dddd")</f>
        <v>Tuesday</v>
      </c>
      <c r="B24" s="13" t="n">
        <f aca="false">Setup!$C$5+78</f>
        <v>46105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TEXT(Setup!$C$5+78,"dddd")</f>
        <v>Tuesday</v>
      </c>
      <c r="B25" s="13" t="n">
        <f aca="false">Setup!$C$5+78</f>
        <v>46105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TEXT(Setup!$C$5+78,"dddd")</f>
        <v>Tuesday</v>
      </c>
      <c r="B26" s="13" t="n">
        <f aca="false">Setup!$C$5+78</f>
        <v>46105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TEXT(Setup!$C$5+78,"dddd")</f>
        <v>Tuesday</v>
      </c>
      <c r="B27" s="13" t="n">
        <f aca="false">Setup!$C$5+78</f>
        <v>46105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TEXT(Setup!$C$5+78,"dddd")</f>
        <v>Tuesday</v>
      </c>
      <c r="B28" s="13" t="n">
        <f aca="false">Setup!$C$5+78</f>
        <v>46105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TEXT(Setup!$C$5+78,"dddd")</f>
        <v>Tuesday</v>
      </c>
      <c r="B29" s="13" t="n">
        <f aca="false">Setup!$C$5+78</f>
        <v>46105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TEXT(Setup!$C$5+78,"dddd")</f>
        <v>Tuesday</v>
      </c>
      <c r="B30" s="13" t="n">
        <f aca="false">Setup!$C$5+78</f>
        <v>46105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TEXT(Setup!$C$5+78,"dddd")</f>
        <v>Tuesday</v>
      </c>
      <c r="B31" s="13" t="n">
        <f aca="false">Setup!$C$5+78</f>
        <v>46105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TEXT(Setup!$C$5+78,"dddd")</f>
        <v>Tuesday</v>
      </c>
      <c r="B32" s="13" t="n">
        <f aca="false">Setup!$C$5+78</f>
        <v>46105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TEXT(Setup!$C$5+78,"dddd")</f>
        <v>Tuesday</v>
      </c>
      <c r="B33" s="13" t="n">
        <f aca="false">Setup!$C$5+78</f>
        <v>46105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TEXT(Setup!$C$5+78,"dddd")</f>
        <v>Tuesday</v>
      </c>
      <c r="B34" s="13" t="n">
        <f aca="false">Setup!$C$5+78</f>
        <v>46105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TEXT(Setup!$C$5+78,"dddd")</f>
        <v>Tuesday</v>
      </c>
      <c r="B35" s="13" t="n">
        <f aca="false">Setup!$C$5+78</f>
        <v>46105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TEXT(Setup!$C$5+78,"dddd")</f>
        <v>Tuesday</v>
      </c>
      <c r="B36" s="13" t="n">
        <f aca="false">Setup!$C$5+78</f>
        <v>46105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TEXT(Setup!$C$5+78,"dddd")</f>
        <v>Tuesday</v>
      </c>
      <c r="B37" s="13" t="n">
        <f aca="false">Setup!$C$5+78</f>
        <v>46105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TEXT(Setup!$C$5+78,"dddd")</f>
        <v>Tuesday</v>
      </c>
      <c r="B38" s="13" t="n">
        <f aca="false">Setup!$C$5+78</f>
        <v>46105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TEXT(Setup!$C$5+78,"dddd")</f>
        <v>Tuesday</v>
      </c>
      <c r="B39" s="13" t="n">
        <f aca="false">Setup!$C$5+78</f>
        <v>46105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TEXT(Setup!$C$5+78,"dddd")</f>
        <v>Tuesday</v>
      </c>
      <c r="B40" s="13" t="n">
        <f aca="false">Setup!$C$5+78</f>
        <v>46105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TEXT(Setup!$C$5+78,"dddd")</f>
        <v>Tuesday</v>
      </c>
      <c r="B41" s="13" t="n">
        <f aca="false">Setup!$C$5+78</f>
        <v>46105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TEXT(Setup!$C$5+78,"dddd")</f>
        <v>Tuesday</v>
      </c>
      <c r="B42" s="13" t="n">
        <f aca="false">Setup!$C$5+78</f>
        <v>46105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TEXT(Setup!$C$5+78,"dddd")</f>
        <v>Tuesday</v>
      </c>
      <c r="B43" s="13" t="n">
        <f aca="false">Setup!$C$5+78</f>
        <v>46105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TEXT(Setup!$C$5+78,"dddd")</f>
        <v>Tuesday</v>
      </c>
      <c r="B44" s="13" t="n">
        <f aca="false">Setup!$C$5+78</f>
        <v>46105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TEXT(Setup!$C$5+78,"dddd")</f>
        <v>Tuesday</v>
      </c>
      <c r="B45" s="23" t="n">
        <f aca="false">Setup!$C$5+78</f>
        <v>46105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IFERROR(H45-Wk11!H45,"")</f>
        <v>0</v>
      </c>
      <c r="O45" s="24" t="n">
        <f aca="false">IFERROR(D45-Wk11!D45,"")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TEXT(Setup!$C$5+79,"dddd")</f>
        <v>Wednesday</v>
      </c>
      <c r="B46" s="13" t="n">
        <f aca="false">Setup!$C$5+79</f>
        <v>46106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TEXT(Setup!$C$5+79,"dddd")</f>
        <v>Wednesday</v>
      </c>
      <c r="B47" s="13" t="n">
        <f aca="false">Setup!$C$5+79</f>
        <v>46106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TEXT(Setup!$C$5+79,"dddd")</f>
        <v>Wednesday</v>
      </c>
      <c r="B48" s="13" t="n">
        <f aca="false">Setup!$C$5+79</f>
        <v>46106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TEXT(Setup!$C$5+79,"dddd")</f>
        <v>Wednesday</v>
      </c>
      <c r="B49" s="13" t="n">
        <f aca="false">Setup!$C$5+79</f>
        <v>46106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TEXT(Setup!$C$5+79,"dddd")</f>
        <v>Wednesday</v>
      </c>
      <c r="B50" s="13" t="n">
        <f aca="false">Setup!$C$5+79</f>
        <v>46106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TEXT(Setup!$C$5+79,"dddd")</f>
        <v>Wednesday</v>
      </c>
      <c r="B51" s="13" t="n">
        <f aca="false">Setup!$C$5+79</f>
        <v>46106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TEXT(Setup!$C$5+79,"dddd")</f>
        <v>Wednesday</v>
      </c>
      <c r="B52" s="13" t="n">
        <f aca="false">Setup!$C$5+79</f>
        <v>46106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TEXT(Setup!$C$5+79,"dddd")</f>
        <v>Wednesday</v>
      </c>
      <c r="B53" s="13" t="n">
        <f aca="false">Setup!$C$5+79</f>
        <v>46106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TEXT(Setup!$C$5+79,"dddd")</f>
        <v>Wednesday</v>
      </c>
      <c r="B54" s="13" t="n">
        <f aca="false">Setup!$C$5+79</f>
        <v>46106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TEXT(Setup!$C$5+79,"dddd")</f>
        <v>Wednesday</v>
      </c>
      <c r="B55" s="13" t="n">
        <f aca="false">Setup!$C$5+79</f>
        <v>46106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TEXT(Setup!$C$5+79,"dddd")</f>
        <v>Wednesday</v>
      </c>
      <c r="B56" s="13" t="n">
        <f aca="false">Setup!$C$5+79</f>
        <v>46106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TEXT(Setup!$C$5+79,"dddd")</f>
        <v>Wednesday</v>
      </c>
      <c r="B57" s="13" t="n">
        <f aca="false">Setup!$C$5+79</f>
        <v>46106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TEXT(Setup!$C$5+79,"dddd")</f>
        <v>Wednesday</v>
      </c>
      <c r="B58" s="13" t="n">
        <f aca="false">Setup!$C$5+79</f>
        <v>46106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TEXT(Setup!$C$5+79,"dddd")</f>
        <v>Wednesday</v>
      </c>
      <c r="B59" s="13" t="n">
        <f aca="false">Setup!$C$5+79</f>
        <v>46106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TEXT(Setup!$C$5+79,"dddd")</f>
        <v>Wednesday</v>
      </c>
      <c r="B60" s="13" t="n">
        <f aca="false">Setup!$C$5+79</f>
        <v>46106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TEXT(Setup!$C$5+79,"dddd")</f>
        <v>Wednesday</v>
      </c>
      <c r="B61" s="13" t="n">
        <f aca="false">Setup!$C$5+79</f>
        <v>46106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TEXT(Setup!$C$5+79,"dddd")</f>
        <v>Wednesday</v>
      </c>
      <c r="B62" s="13" t="n">
        <f aca="false">Setup!$C$5+79</f>
        <v>46106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TEXT(Setup!$C$5+79,"dddd")</f>
        <v>Wednesday</v>
      </c>
      <c r="B63" s="13" t="n">
        <f aca="false">Setup!$C$5+79</f>
        <v>46106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TEXT(Setup!$C$5+79,"dddd")</f>
        <v>Wednesday</v>
      </c>
      <c r="B64" s="13" t="n">
        <f aca="false">Setup!$C$5+79</f>
        <v>46106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TEXT(Setup!$C$5+79,"dddd")</f>
        <v>Wednesday</v>
      </c>
      <c r="B65" s="13" t="n">
        <f aca="false">Setup!$C$5+79</f>
        <v>46106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TEXT(Setup!$C$5+79,"dddd")</f>
        <v>Wednesday</v>
      </c>
      <c r="B66" s="13" t="n">
        <f aca="false">Setup!$C$5+79</f>
        <v>46106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TEXT(Setup!$C$5+79,"dddd")</f>
        <v>Wednesday</v>
      </c>
      <c r="B67" s="23" t="n">
        <f aca="false">Setup!$C$5+79</f>
        <v>46106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IFERROR(H67-Wk11!H67,"")</f>
        <v>0</v>
      </c>
      <c r="O67" s="24" t="n">
        <f aca="false">IFERROR(D67-Wk11!D67,"")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TEXT(Setup!$C$5+80,"dddd")</f>
        <v>Thursday</v>
      </c>
      <c r="B68" s="13" t="n">
        <f aca="false">Setup!$C$5+80</f>
        <v>46107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TEXT(Setup!$C$5+80,"dddd")</f>
        <v>Thursday</v>
      </c>
      <c r="B69" s="13" t="n">
        <f aca="false">Setup!$C$5+80</f>
        <v>46107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TEXT(Setup!$C$5+80,"dddd")</f>
        <v>Thursday</v>
      </c>
      <c r="B70" s="13" t="n">
        <f aca="false">Setup!$C$5+80</f>
        <v>46107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TEXT(Setup!$C$5+80,"dddd")</f>
        <v>Thursday</v>
      </c>
      <c r="B71" s="13" t="n">
        <f aca="false">Setup!$C$5+80</f>
        <v>46107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TEXT(Setup!$C$5+80,"dddd")</f>
        <v>Thursday</v>
      </c>
      <c r="B72" s="13" t="n">
        <f aca="false">Setup!$C$5+80</f>
        <v>46107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TEXT(Setup!$C$5+80,"dddd")</f>
        <v>Thursday</v>
      </c>
      <c r="B73" s="13" t="n">
        <f aca="false">Setup!$C$5+80</f>
        <v>46107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TEXT(Setup!$C$5+80,"dddd")</f>
        <v>Thursday</v>
      </c>
      <c r="B74" s="13" t="n">
        <f aca="false">Setup!$C$5+80</f>
        <v>46107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TEXT(Setup!$C$5+80,"dddd")</f>
        <v>Thursday</v>
      </c>
      <c r="B75" s="13" t="n">
        <f aca="false">Setup!$C$5+80</f>
        <v>46107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TEXT(Setup!$C$5+80,"dddd")</f>
        <v>Thursday</v>
      </c>
      <c r="B76" s="13" t="n">
        <f aca="false">Setup!$C$5+80</f>
        <v>46107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TEXT(Setup!$C$5+80,"dddd")</f>
        <v>Thursday</v>
      </c>
      <c r="B77" s="13" t="n">
        <f aca="false">Setup!$C$5+80</f>
        <v>46107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TEXT(Setup!$C$5+80,"dddd")</f>
        <v>Thursday</v>
      </c>
      <c r="B78" s="13" t="n">
        <f aca="false">Setup!$C$5+80</f>
        <v>46107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TEXT(Setup!$C$5+80,"dddd")</f>
        <v>Thursday</v>
      </c>
      <c r="B79" s="13" t="n">
        <f aca="false">Setup!$C$5+80</f>
        <v>46107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TEXT(Setup!$C$5+80,"dddd")</f>
        <v>Thursday</v>
      </c>
      <c r="B80" s="13" t="n">
        <f aca="false">Setup!$C$5+80</f>
        <v>46107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TEXT(Setup!$C$5+80,"dddd")</f>
        <v>Thursday</v>
      </c>
      <c r="B81" s="13" t="n">
        <f aca="false">Setup!$C$5+80</f>
        <v>46107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TEXT(Setup!$C$5+80,"dddd")</f>
        <v>Thursday</v>
      </c>
      <c r="B82" s="13" t="n">
        <f aca="false">Setup!$C$5+80</f>
        <v>46107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TEXT(Setup!$C$5+80,"dddd")</f>
        <v>Thursday</v>
      </c>
      <c r="B83" s="13" t="n">
        <f aca="false">Setup!$C$5+80</f>
        <v>46107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TEXT(Setup!$C$5+80,"dddd")</f>
        <v>Thursday</v>
      </c>
      <c r="B84" s="13" t="n">
        <f aca="false">Setup!$C$5+80</f>
        <v>46107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TEXT(Setup!$C$5+80,"dddd")</f>
        <v>Thursday</v>
      </c>
      <c r="B85" s="13" t="n">
        <f aca="false">Setup!$C$5+80</f>
        <v>46107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TEXT(Setup!$C$5+80,"dddd")</f>
        <v>Thursday</v>
      </c>
      <c r="B86" s="13" t="n">
        <f aca="false">Setup!$C$5+80</f>
        <v>46107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TEXT(Setup!$C$5+80,"dddd")</f>
        <v>Thursday</v>
      </c>
      <c r="B87" s="13" t="n">
        <f aca="false">Setup!$C$5+80</f>
        <v>46107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TEXT(Setup!$C$5+80,"dddd")</f>
        <v>Thursday</v>
      </c>
      <c r="B88" s="13" t="n">
        <f aca="false">Setup!$C$5+80</f>
        <v>46107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TEXT(Setup!$C$5+80,"dddd")</f>
        <v>Thursday</v>
      </c>
      <c r="B89" s="23" t="n">
        <f aca="false">Setup!$C$5+80</f>
        <v>46107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IFERROR(H89-Wk11!H89,"")</f>
        <v>0</v>
      </c>
      <c r="O89" s="24" t="n">
        <f aca="false">IFERROR(D89-Wk11!D89,"")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TEXT(Setup!$C$5+81,"dddd")</f>
        <v>Friday</v>
      </c>
      <c r="B90" s="13" t="n">
        <f aca="false">Setup!$C$5+81</f>
        <v>46108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TEXT(Setup!$C$5+81,"dddd")</f>
        <v>Friday</v>
      </c>
      <c r="B91" s="13" t="n">
        <f aca="false">Setup!$C$5+81</f>
        <v>46108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TEXT(Setup!$C$5+81,"dddd")</f>
        <v>Friday</v>
      </c>
      <c r="B92" s="13" t="n">
        <f aca="false">Setup!$C$5+81</f>
        <v>46108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TEXT(Setup!$C$5+81,"dddd")</f>
        <v>Friday</v>
      </c>
      <c r="B93" s="13" t="n">
        <f aca="false">Setup!$C$5+81</f>
        <v>46108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TEXT(Setup!$C$5+81,"dddd")</f>
        <v>Friday</v>
      </c>
      <c r="B94" s="13" t="n">
        <f aca="false">Setup!$C$5+81</f>
        <v>46108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TEXT(Setup!$C$5+81,"dddd")</f>
        <v>Friday</v>
      </c>
      <c r="B95" s="13" t="n">
        <f aca="false">Setup!$C$5+81</f>
        <v>46108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TEXT(Setup!$C$5+81,"dddd")</f>
        <v>Friday</v>
      </c>
      <c r="B96" s="13" t="n">
        <f aca="false">Setup!$C$5+81</f>
        <v>46108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TEXT(Setup!$C$5+81,"dddd")</f>
        <v>Friday</v>
      </c>
      <c r="B97" s="13" t="n">
        <f aca="false">Setup!$C$5+81</f>
        <v>46108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TEXT(Setup!$C$5+81,"dddd")</f>
        <v>Friday</v>
      </c>
      <c r="B98" s="13" t="n">
        <f aca="false">Setup!$C$5+81</f>
        <v>46108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TEXT(Setup!$C$5+81,"dddd")</f>
        <v>Friday</v>
      </c>
      <c r="B99" s="13" t="n">
        <f aca="false">Setup!$C$5+81</f>
        <v>46108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TEXT(Setup!$C$5+81,"dddd")</f>
        <v>Friday</v>
      </c>
      <c r="B100" s="13" t="n">
        <f aca="false">Setup!$C$5+81</f>
        <v>46108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TEXT(Setup!$C$5+81,"dddd")</f>
        <v>Friday</v>
      </c>
      <c r="B101" s="13" t="n">
        <f aca="false">Setup!$C$5+81</f>
        <v>46108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TEXT(Setup!$C$5+81,"dddd")</f>
        <v>Friday</v>
      </c>
      <c r="B102" s="13" t="n">
        <f aca="false">Setup!$C$5+81</f>
        <v>46108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TEXT(Setup!$C$5+81,"dddd")</f>
        <v>Friday</v>
      </c>
      <c r="B103" s="13" t="n">
        <f aca="false">Setup!$C$5+81</f>
        <v>46108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TEXT(Setup!$C$5+81,"dddd")</f>
        <v>Friday</v>
      </c>
      <c r="B104" s="13" t="n">
        <f aca="false">Setup!$C$5+81</f>
        <v>46108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TEXT(Setup!$C$5+81,"dddd")</f>
        <v>Friday</v>
      </c>
      <c r="B105" s="13" t="n">
        <f aca="false">Setup!$C$5+81</f>
        <v>46108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TEXT(Setup!$C$5+81,"dddd")</f>
        <v>Friday</v>
      </c>
      <c r="B106" s="13" t="n">
        <f aca="false">Setup!$C$5+81</f>
        <v>46108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TEXT(Setup!$C$5+81,"dddd")</f>
        <v>Friday</v>
      </c>
      <c r="B107" s="13" t="n">
        <f aca="false">Setup!$C$5+81</f>
        <v>46108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TEXT(Setup!$C$5+81,"dddd")</f>
        <v>Friday</v>
      </c>
      <c r="B108" s="13" t="n">
        <f aca="false">Setup!$C$5+81</f>
        <v>46108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TEXT(Setup!$C$5+81,"dddd")</f>
        <v>Friday</v>
      </c>
      <c r="B109" s="13" t="n">
        <f aca="false">Setup!$C$5+81</f>
        <v>46108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TEXT(Setup!$C$5+81,"dddd")</f>
        <v>Friday</v>
      </c>
      <c r="B110" s="13" t="n">
        <f aca="false">Setup!$C$5+81</f>
        <v>46108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TEXT(Setup!$C$5+81,"dddd")</f>
        <v>Friday</v>
      </c>
      <c r="B111" s="23" t="n">
        <f aca="false">Setup!$C$5+81</f>
        <v>46108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IFERROR(H111-Wk11!H111,"")</f>
        <v>0</v>
      </c>
      <c r="O111" s="24" t="n">
        <f aca="false">IFERROR(D111-Wk11!D111,"")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TEXT(Setup!$C$5+82,"dddd")</f>
        <v>Saturday</v>
      </c>
      <c r="B112" s="13" t="n">
        <f aca="false">Setup!$C$5+82</f>
        <v>46109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TEXT(Setup!$C$5+82,"dddd")</f>
        <v>Saturday</v>
      </c>
      <c r="B113" s="13" t="n">
        <f aca="false">Setup!$C$5+82</f>
        <v>46109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TEXT(Setup!$C$5+82,"dddd")</f>
        <v>Saturday</v>
      </c>
      <c r="B114" s="13" t="n">
        <f aca="false">Setup!$C$5+82</f>
        <v>46109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TEXT(Setup!$C$5+82,"dddd")</f>
        <v>Saturday</v>
      </c>
      <c r="B115" s="13" t="n">
        <f aca="false">Setup!$C$5+82</f>
        <v>46109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TEXT(Setup!$C$5+82,"dddd")</f>
        <v>Saturday</v>
      </c>
      <c r="B116" s="13" t="n">
        <f aca="false">Setup!$C$5+82</f>
        <v>46109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TEXT(Setup!$C$5+82,"dddd")</f>
        <v>Saturday</v>
      </c>
      <c r="B117" s="13" t="n">
        <f aca="false">Setup!$C$5+82</f>
        <v>46109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TEXT(Setup!$C$5+82,"dddd")</f>
        <v>Saturday</v>
      </c>
      <c r="B118" s="13" t="n">
        <f aca="false">Setup!$C$5+82</f>
        <v>46109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TEXT(Setup!$C$5+82,"dddd")</f>
        <v>Saturday</v>
      </c>
      <c r="B119" s="13" t="n">
        <f aca="false">Setup!$C$5+82</f>
        <v>46109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TEXT(Setup!$C$5+82,"dddd")</f>
        <v>Saturday</v>
      </c>
      <c r="B120" s="13" t="n">
        <f aca="false">Setup!$C$5+82</f>
        <v>46109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TEXT(Setup!$C$5+82,"dddd")</f>
        <v>Saturday</v>
      </c>
      <c r="B121" s="13" t="n">
        <f aca="false">Setup!$C$5+82</f>
        <v>46109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TEXT(Setup!$C$5+82,"dddd")</f>
        <v>Saturday</v>
      </c>
      <c r="B122" s="13" t="n">
        <f aca="false">Setup!$C$5+82</f>
        <v>46109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TEXT(Setup!$C$5+82,"dddd")</f>
        <v>Saturday</v>
      </c>
      <c r="B123" s="13" t="n">
        <f aca="false">Setup!$C$5+82</f>
        <v>46109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TEXT(Setup!$C$5+82,"dddd")</f>
        <v>Saturday</v>
      </c>
      <c r="B124" s="13" t="n">
        <f aca="false">Setup!$C$5+82</f>
        <v>46109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TEXT(Setup!$C$5+82,"dddd")</f>
        <v>Saturday</v>
      </c>
      <c r="B125" s="13" t="n">
        <f aca="false">Setup!$C$5+82</f>
        <v>46109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TEXT(Setup!$C$5+82,"dddd")</f>
        <v>Saturday</v>
      </c>
      <c r="B126" s="13" t="n">
        <f aca="false">Setup!$C$5+82</f>
        <v>46109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TEXT(Setup!$C$5+82,"dddd")</f>
        <v>Saturday</v>
      </c>
      <c r="B127" s="13" t="n">
        <f aca="false">Setup!$C$5+82</f>
        <v>46109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TEXT(Setup!$C$5+82,"dddd")</f>
        <v>Saturday</v>
      </c>
      <c r="B128" s="13" t="n">
        <f aca="false">Setup!$C$5+82</f>
        <v>46109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TEXT(Setup!$C$5+82,"dddd")</f>
        <v>Saturday</v>
      </c>
      <c r="B129" s="13" t="n">
        <f aca="false">Setup!$C$5+82</f>
        <v>46109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TEXT(Setup!$C$5+82,"dddd")</f>
        <v>Saturday</v>
      </c>
      <c r="B130" s="13" t="n">
        <f aca="false">Setup!$C$5+82</f>
        <v>46109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TEXT(Setup!$C$5+82,"dddd")</f>
        <v>Saturday</v>
      </c>
      <c r="B131" s="13" t="n">
        <f aca="false">Setup!$C$5+82</f>
        <v>46109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TEXT(Setup!$C$5+82,"dddd")</f>
        <v>Saturday</v>
      </c>
      <c r="B132" s="13" t="n">
        <f aca="false">Setup!$C$5+82</f>
        <v>46109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TEXT(Setup!$C$5+82,"dddd")</f>
        <v>Saturday</v>
      </c>
      <c r="B133" s="23" t="n">
        <f aca="false">Setup!$C$5+82</f>
        <v>46109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IFERROR(H133-Wk11!H133,"")</f>
        <v>0</v>
      </c>
      <c r="O133" s="24" t="n">
        <f aca="false">IFERROR(D133-Wk11!D133,"")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TEXT(Setup!$C$5+83,"dddd")</f>
        <v>Sunday</v>
      </c>
      <c r="B134" s="13" t="n">
        <f aca="false">Setup!$C$5+83</f>
        <v>46110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TEXT(Setup!$C$5+83,"dddd")</f>
        <v>Sunday</v>
      </c>
      <c r="B135" s="13" t="n">
        <f aca="false">Setup!$C$5+83</f>
        <v>46110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TEXT(Setup!$C$5+83,"dddd")</f>
        <v>Sunday</v>
      </c>
      <c r="B136" s="13" t="n">
        <f aca="false">Setup!$C$5+83</f>
        <v>46110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TEXT(Setup!$C$5+83,"dddd")</f>
        <v>Sunday</v>
      </c>
      <c r="B137" s="13" t="n">
        <f aca="false">Setup!$C$5+83</f>
        <v>46110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TEXT(Setup!$C$5+83,"dddd")</f>
        <v>Sunday</v>
      </c>
      <c r="B138" s="13" t="n">
        <f aca="false">Setup!$C$5+83</f>
        <v>46110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TEXT(Setup!$C$5+83,"dddd")</f>
        <v>Sunday</v>
      </c>
      <c r="B139" s="13" t="n">
        <f aca="false">Setup!$C$5+83</f>
        <v>46110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TEXT(Setup!$C$5+83,"dddd")</f>
        <v>Sunday</v>
      </c>
      <c r="B140" s="13" t="n">
        <f aca="false">Setup!$C$5+83</f>
        <v>46110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TEXT(Setup!$C$5+83,"dddd")</f>
        <v>Sunday</v>
      </c>
      <c r="B141" s="13" t="n">
        <f aca="false">Setup!$C$5+83</f>
        <v>46110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TEXT(Setup!$C$5+83,"dddd")</f>
        <v>Sunday</v>
      </c>
      <c r="B142" s="13" t="n">
        <f aca="false">Setup!$C$5+83</f>
        <v>46110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TEXT(Setup!$C$5+83,"dddd")</f>
        <v>Sunday</v>
      </c>
      <c r="B143" s="13" t="n">
        <f aca="false">Setup!$C$5+83</f>
        <v>46110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TEXT(Setup!$C$5+83,"dddd")</f>
        <v>Sunday</v>
      </c>
      <c r="B144" s="13" t="n">
        <f aca="false">Setup!$C$5+83</f>
        <v>46110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TEXT(Setup!$C$5+83,"dddd")</f>
        <v>Sunday</v>
      </c>
      <c r="B145" s="13" t="n">
        <f aca="false">Setup!$C$5+83</f>
        <v>46110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TEXT(Setup!$C$5+83,"dddd")</f>
        <v>Sunday</v>
      </c>
      <c r="B146" s="13" t="n">
        <f aca="false">Setup!$C$5+83</f>
        <v>46110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TEXT(Setup!$C$5+83,"dddd")</f>
        <v>Sunday</v>
      </c>
      <c r="B147" s="13" t="n">
        <f aca="false">Setup!$C$5+83</f>
        <v>46110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TEXT(Setup!$C$5+83,"dddd")</f>
        <v>Sunday</v>
      </c>
      <c r="B148" s="13" t="n">
        <f aca="false">Setup!$C$5+83</f>
        <v>46110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TEXT(Setup!$C$5+83,"dddd")</f>
        <v>Sunday</v>
      </c>
      <c r="B149" s="13" t="n">
        <f aca="false">Setup!$C$5+83</f>
        <v>46110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TEXT(Setup!$C$5+83,"dddd")</f>
        <v>Sunday</v>
      </c>
      <c r="B150" s="13" t="n">
        <f aca="false">Setup!$C$5+83</f>
        <v>46110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TEXT(Setup!$C$5+83,"dddd")</f>
        <v>Sunday</v>
      </c>
      <c r="B151" s="13" t="n">
        <f aca="false">Setup!$C$5+83</f>
        <v>46110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TEXT(Setup!$C$5+83,"dddd")</f>
        <v>Sunday</v>
      </c>
      <c r="B152" s="13" t="n">
        <f aca="false">Setup!$C$5+83</f>
        <v>46110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TEXT(Setup!$C$5+83,"dddd")</f>
        <v>Sunday</v>
      </c>
      <c r="B153" s="13" t="n">
        <f aca="false">Setup!$C$5+83</f>
        <v>46110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TEXT(Setup!$C$5+83,"dddd")</f>
        <v>Sunday</v>
      </c>
      <c r="B154" s="13" t="n">
        <f aca="false">Setup!$C$5+83</f>
        <v>46110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TEXT(Setup!$C$5+83,"dddd")</f>
        <v>Sunday</v>
      </c>
      <c r="B155" s="23" t="n">
        <f aca="false">Setup!$C$5+83</f>
        <v>46110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IFERROR(H155-Wk11!H155,"")</f>
        <v>0</v>
      </c>
      <c r="O155" s="24" t="n">
        <f aca="false">IFERROR(D155-Wk11!D155,"")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IFERROR(D156-Wk11!D156,"")</f>
        <v>0</v>
      </c>
      <c r="E157" s="34" t="n">
        <f aca="false">IFERROR(E156-Wk11!E156,"")</f>
        <v>0</v>
      </c>
      <c r="H157" s="32" t="n">
        <f aca="false">IFERROR(H156-Wk11!H156,"")</f>
        <v>0</v>
      </c>
      <c r="K157" s="32" t="n">
        <f aca="false">IFERROR(K156-Wk11!K156,"")</f>
        <v>0</v>
      </c>
      <c r="M157" s="32" t="n">
        <f aca="false">IFERROR(M156-Wk11!M156,"")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TEXT(Setup!$C$5+84,"dddd")</f>
        <v>Monday</v>
      </c>
      <c r="B2" s="13" t="n">
        <f aca="false">Setup!$C$5+84</f>
        <v>46111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TEXT(Setup!$C$5+84,"dddd")</f>
        <v>Monday</v>
      </c>
      <c r="B3" s="13" t="n">
        <f aca="false">Setup!$C$5+84</f>
        <v>46111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TEXT(Setup!$C$5+84,"dddd")</f>
        <v>Monday</v>
      </c>
      <c r="B4" s="13" t="n">
        <f aca="false">Setup!$C$5+84</f>
        <v>46111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TEXT(Setup!$C$5+84,"dddd")</f>
        <v>Monday</v>
      </c>
      <c r="B5" s="13" t="n">
        <f aca="false">Setup!$C$5+84</f>
        <v>46111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TEXT(Setup!$C$5+84,"dddd")</f>
        <v>Monday</v>
      </c>
      <c r="B6" s="13" t="n">
        <f aca="false">Setup!$C$5+84</f>
        <v>46111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TEXT(Setup!$C$5+84,"dddd")</f>
        <v>Monday</v>
      </c>
      <c r="B7" s="13" t="n">
        <f aca="false">Setup!$C$5+84</f>
        <v>46111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TEXT(Setup!$C$5+84,"dddd")</f>
        <v>Monday</v>
      </c>
      <c r="B8" s="13" t="n">
        <f aca="false">Setup!$C$5+84</f>
        <v>46111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TEXT(Setup!$C$5+84,"dddd")</f>
        <v>Monday</v>
      </c>
      <c r="B9" s="13" t="n">
        <f aca="false">Setup!$C$5+84</f>
        <v>46111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TEXT(Setup!$C$5+84,"dddd")</f>
        <v>Monday</v>
      </c>
      <c r="B10" s="13" t="n">
        <f aca="false">Setup!$C$5+84</f>
        <v>46111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TEXT(Setup!$C$5+84,"dddd")</f>
        <v>Monday</v>
      </c>
      <c r="B11" s="13" t="n">
        <f aca="false">Setup!$C$5+84</f>
        <v>46111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TEXT(Setup!$C$5+84,"dddd")</f>
        <v>Monday</v>
      </c>
      <c r="B12" s="13" t="n">
        <f aca="false">Setup!$C$5+84</f>
        <v>46111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TEXT(Setup!$C$5+84,"dddd")</f>
        <v>Monday</v>
      </c>
      <c r="B13" s="13" t="n">
        <f aca="false">Setup!$C$5+84</f>
        <v>46111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TEXT(Setup!$C$5+84,"dddd")</f>
        <v>Monday</v>
      </c>
      <c r="B14" s="13" t="n">
        <f aca="false">Setup!$C$5+84</f>
        <v>46111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TEXT(Setup!$C$5+84,"dddd")</f>
        <v>Monday</v>
      </c>
      <c r="B15" s="13" t="n">
        <f aca="false">Setup!$C$5+84</f>
        <v>46111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TEXT(Setup!$C$5+84,"dddd")</f>
        <v>Monday</v>
      </c>
      <c r="B16" s="13" t="n">
        <f aca="false">Setup!$C$5+84</f>
        <v>46111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TEXT(Setup!$C$5+84,"dddd")</f>
        <v>Monday</v>
      </c>
      <c r="B17" s="13" t="n">
        <f aca="false">Setup!$C$5+84</f>
        <v>46111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TEXT(Setup!$C$5+84,"dddd")</f>
        <v>Monday</v>
      </c>
      <c r="B18" s="13" t="n">
        <f aca="false">Setup!$C$5+84</f>
        <v>46111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TEXT(Setup!$C$5+84,"dddd")</f>
        <v>Monday</v>
      </c>
      <c r="B19" s="13" t="n">
        <f aca="false">Setup!$C$5+84</f>
        <v>46111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TEXT(Setup!$C$5+84,"dddd")</f>
        <v>Monday</v>
      </c>
      <c r="B20" s="13" t="n">
        <f aca="false">Setup!$C$5+84</f>
        <v>46111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TEXT(Setup!$C$5+84,"dddd")</f>
        <v>Monday</v>
      </c>
      <c r="B21" s="13" t="n">
        <f aca="false">Setup!$C$5+84</f>
        <v>46111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TEXT(Setup!$C$5+84,"dddd")</f>
        <v>Monday</v>
      </c>
      <c r="B22" s="13" t="n">
        <f aca="false">Setup!$C$5+84</f>
        <v>46111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TEXT(Setup!$C$5+84,"dddd")</f>
        <v>Monday</v>
      </c>
      <c r="B23" s="23" t="n">
        <f aca="false">Setup!$C$5+84</f>
        <v>46111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IFERROR(H23-Wk12!H23,"")</f>
        <v>0</v>
      </c>
      <c r="O23" s="24" t="n">
        <f aca="false">IFERROR(D23-Wk12!D23,"")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TEXT(Setup!$C$5+85,"dddd")</f>
        <v>Tuesday</v>
      </c>
      <c r="B24" s="13" t="n">
        <f aca="false">Setup!$C$5+85</f>
        <v>46112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TEXT(Setup!$C$5+85,"dddd")</f>
        <v>Tuesday</v>
      </c>
      <c r="B25" s="13" t="n">
        <f aca="false">Setup!$C$5+85</f>
        <v>46112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TEXT(Setup!$C$5+85,"dddd")</f>
        <v>Tuesday</v>
      </c>
      <c r="B26" s="13" t="n">
        <f aca="false">Setup!$C$5+85</f>
        <v>46112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TEXT(Setup!$C$5+85,"dddd")</f>
        <v>Tuesday</v>
      </c>
      <c r="B27" s="13" t="n">
        <f aca="false">Setup!$C$5+85</f>
        <v>46112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TEXT(Setup!$C$5+85,"dddd")</f>
        <v>Tuesday</v>
      </c>
      <c r="B28" s="13" t="n">
        <f aca="false">Setup!$C$5+85</f>
        <v>46112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TEXT(Setup!$C$5+85,"dddd")</f>
        <v>Tuesday</v>
      </c>
      <c r="B29" s="13" t="n">
        <f aca="false">Setup!$C$5+85</f>
        <v>46112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TEXT(Setup!$C$5+85,"dddd")</f>
        <v>Tuesday</v>
      </c>
      <c r="B30" s="13" t="n">
        <f aca="false">Setup!$C$5+85</f>
        <v>46112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TEXT(Setup!$C$5+85,"dddd")</f>
        <v>Tuesday</v>
      </c>
      <c r="B31" s="13" t="n">
        <f aca="false">Setup!$C$5+85</f>
        <v>46112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TEXT(Setup!$C$5+85,"dddd")</f>
        <v>Tuesday</v>
      </c>
      <c r="B32" s="13" t="n">
        <f aca="false">Setup!$C$5+85</f>
        <v>46112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TEXT(Setup!$C$5+85,"dddd")</f>
        <v>Tuesday</v>
      </c>
      <c r="B33" s="13" t="n">
        <f aca="false">Setup!$C$5+85</f>
        <v>46112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TEXT(Setup!$C$5+85,"dddd")</f>
        <v>Tuesday</v>
      </c>
      <c r="B34" s="13" t="n">
        <f aca="false">Setup!$C$5+85</f>
        <v>46112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TEXT(Setup!$C$5+85,"dddd")</f>
        <v>Tuesday</v>
      </c>
      <c r="B35" s="13" t="n">
        <f aca="false">Setup!$C$5+85</f>
        <v>46112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TEXT(Setup!$C$5+85,"dddd")</f>
        <v>Tuesday</v>
      </c>
      <c r="B36" s="13" t="n">
        <f aca="false">Setup!$C$5+85</f>
        <v>46112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TEXT(Setup!$C$5+85,"dddd")</f>
        <v>Tuesday</v>
      </c>
      <c r="B37" s="13" t="n">
        <f aca="false">Setup!$C$5+85</f>
        <v>46112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TEXT(Setup!$C$5+85,"dddd")</f>
        <v>Tuesday</v>
      </c>
      <c r="B38" s="13" t="n">
        <f aca="false">Setup!$C$5+85</f>
        <v>46112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TEXT(Setup!$C$5+85,"dddd")</f>
        <v>Tuesday</v>
      </c>
      <c r="B39" s="13" t="n">
        <f aca="false">Setup!$C$5+85</f>
        <v>46112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TEXT(Setup!$C$5+85,"dddd")</f>
        <v>Tuesday</v>
      </c>
      <c r="B40" s="13" t="n">
        <f aca="false">Setup!$C$5+85</f>
        <v>46112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TEXT(Setup!$C$5+85,"dddd")</f>
        <v>Tuesday</v>
      </c>
      <c r="B41" s="13" t="n">
        <f aca="false">Setup!$C$5+85</f>
        <v>46112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TEXT(Setup!$C$5+85,"dddd")</f>
        <v>Tuesday</v>
      </c>
      <c r="B42" s="13" t="n">
        <f aca="false">Setup!$C$5+85</f>
        <v>46112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TEXT(Setup!$C$5+85,"dddd")</f>
        <v>Tuesday</v>
      </c>
      <c r="B43" s="13" t="n">
        <f aca="false">Setup!$C$5+85</f>
        <v>46112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TEXT(Setup!$C$5+85,"dddd")</f>
        <v>Tuesday</v>
      </c>
      <c r="B44" s="13" t="n">
        <f aca="false">Setup!$C$5+85</f>
        <v>46112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TEXT(Setup!$C$5+85,"dddd")</f>
        <v>Tuesday</v>
      </c>
      <c r="B45" s="23" t="n">
        <f aca="false">Setup!$C$5+85</f>
        <v>46112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IFERROR(H45-Wk12!H45,"")</f>
        <v>0</v>
      </c>
      <c r="O45" s="24" t="n">
        <f aca="false">IFERROR(D45-Wk12!D45,"")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TEXT(Setup!$C$5+86,"dddd")</f>
        <v>Wednesday</v>
      </c>
      <c r="B46" s="13" t="n">
        <f aca="false">Setup!$C$5+86</f>
        <v>46113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TEXT(Setup!$C$5+86,"dddd")</f>
        <v>Wednesday</v>
      </c>
      <c r="B47" s="13" t="n">
        <f aca="false">Setup!$C$5+86</f>
        <v>46113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TEXT(Setup!$C$5+86,"dddd")</f>
        <v>Wednesday</v>
      </c>
      <c r="B48" s="13" t="n">
        <f aca="false">Setup!$C$5+86</f>
        <v>46113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TEXT(Setup!$C$5+86,"dddd")</f>
        <v>Wednesday</v>
      </c>
      <c r="B49" s="13" t="n">
        <f aca="false">Setup!$C$5+86</f>
        <v>46113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TEXT(Setup!$C$5+86,"dddd")</f>
        <v>Wednesday</v>
      </c>
      <c r="B50" s="13" t="n">
        <f aca="false">Setup!$C$5+86</f>
        <v>46113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TEXT(Setup!$C$5+86,"dddd")</f>
        <v>Wednesday</v>
      </c>
      <c r="B51" s="13" t="n">
        <f aca="false">Setup!$C$5+86</f>
        <v>46113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TEXT(Setup!$C$5+86,"dddd")</f>
        <v>Wednesday</v>
      </c>
      <c r="B52" s="13" t="n">
        <f aca="false">Setup!$C$5+86</f>
        <v>46113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TEXT(Setup!$C$5+86,"dddd")</f>
        <v>Wednesday</v>
      </c>
      <c r="B53" s="13" t="n">
        <f aca="false">Setup!$C$5+86</f>
        <v>46113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TEXT(Setup!$C$5+86,"dddd")</f>
        <v>Wednesday</v>
      </c>
      <c r="B54" s="13" t="n">
        <f aca="false">Setup!$C$5+86</f>
        <v>46113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TEXT(Setup!$C$5+86,"dddd")</f>
        <v>Wednesday</v>
      </c>
      <c r="B55" s="13" t="n">
        <f aca="false">Setup!$C$5+86</f>
        <v>46113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TEXT(Setup!$C$5+86,"dddd")</f>
        <v>Wednesday</v>
      </c>
      <c r="B56" s="13" t="n">
        <f aca="false">Setup!$C$5+86</f>
        <v>46113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TEXT(Setup!$C$5+86,"dddd")</f>
        <v>Wednesday</v>
      </c>
      <c r="B57" s="13" t="n">
        <f aca="false">Setup!$C$5+86</f>
        <v>46113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TEXT(Setup!$C$5+86,"dddd")</f>
        <v>Wednesday</v>
      </c>
      <c r="B58" s="13" t="n">
        <f aca="false">Setup!$C$5+86</f>
        <v>46113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TEXT(Setup!$C$5+86,"dddd")</f>
        <v>Wednesday</v>
      </c>
      <c r="B59" s="13" t="n">
        <f aca="false">Setup!$C$5+86</f>
        <v>46113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TEXT(Setup!$C$5+86,"dddd")</f>
        <v>Wednesday</v>
      </c>
      <c r="B60" s="13" t="n">
        <f aca="false">Setup!$C$5+86</f>
        <v>46113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TEXT(Setup!$C$5+86,"dddd")</f>
        <v>Wednesday</v>
      </c>
      <c r="B61" s="13" t="n">
        <f aca="false">Setup!$C$5+86</f>
        <v>46113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TEXT(Setup!$C$5+86,"dddd")</f>
        <v>Wednesday</v>
      </c>
      <c r="B62" s="13" t="n">
        <f aca="false">Setup!$C$5+86</f>
        <v>46113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TEXT(Setup!$C$5+86,"dddd")</f>
        <v>Wednesday</v>
      </c>
      <c r="B63" s="13" t="n">
        <f aca="false">Setup!$C$5+86</f>
        <v>46113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TEXT(Setup!$C$5+86,"dddd")</f>
        <v>Wednesday</v>
      </c>
      <c r="B64" s="13" t="n">
        <f aca="false">Setup!$C$5+86</f>
        <v>46113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TEXT(Setup!$C$5+86,"dddd")</f>
        <v>Wednesday</v>
      </c>
      <c r="B65" s="13" t="n">
        <f aca="false">Setup!$C$5+86</f>
        <v>46113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TEXT(Setup!$C$5+86,"dddd")</f>
        <v>Wednesday</v>
      </c>
      <c r="B66" s="13" t="n">
        <f aca="false">Setup!$C$5+86</f>
        <v>46113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TEXT(Setup!$C$5+86,"dddd")</f>
        <v>Wednesday</v>
      </c>
      <c r="B67" s="23" t="n">
        <f aca="false">Setup!$C$5+86</f>
        <v>46113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IFERROR(H67-Wk12!H67,"")</f>
        <v>0</v>
      </c>
      <c r="O67" s="24" t="n">
        <f aca="false">IFERROR(D67-Wk12!D67,"")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TEXT(Setup!$C$5+87,"dddd")</f>
        <v>Thursday</v>
      </c>
      <c r="B68" s="13" t="n">
        <f aca="false">Setup!$C$5+87</f>
        <v>46114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TEXT(Setup!$C$5+87,"dddd")</f>
        <v>Thursday</v>
      </c>
      <c r="B69" s="13" t="n">
        <f aca="false">Setup!$C$5+87</f>
        <v>46114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TEXT(Setup!$C$5+87,"dddd")</f>
        <v>Thursday</v>
      </c>
      <c r="B70" s="13" t="n">
        <f aca="false">Setup!$C$5+87</f>
        <v>46114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TEXT(Setup!$C$5+87,"dddd")</f>
        <v>Thursday</v>
      </c>
      <c r="B71" s="13" t="n">
        <f aca="false">Setup!$C$5+87</f>
        <v>46114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TEXT(Setup!$C$5+87,"dddd")</f>
        <v>Thursday</v>
      </c>
      <c r="B72" s="13" t="n">
        <f aca="false">Setup!$C$5+87</f>
        <v>46114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TEXT(Setup!$C$5+87,"dddd")</f>
        <v>Thursday</v>
      </c>
      <c r="B73" s="13" t="n">
        <f aca="false">Setup!$C$5+87</f>
        <v>46114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TEXT(Setup!$C$5+87,"dddd")</f>
        <v>Thursday</v>
      </c>
      <c r="B74" s="13" t="n">
        <f aca="false">Setup!$C$5+87</f>
        <v>46114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TEXT(Setup!$C$5+87,"dddd")</f>
        <v>Thursday</v>
      </c>
      <c r="B75" s="13" t="n">
        <f aca="false">Setup!$C$5+87</f>
        <v>46114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TEXT(Setup!$C$5+87,"dddd")</f>
        <v>Thursday</v>
      </c>
      <c r="B76" s="13" t="n">
        <f aca="false">Setup!$C$5+87</f>
        <v>46114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TEXT(Setup!$C$5+87,"dddd")</f>
        <v>Thursday</v>
      </c>
      <c r="B77" s="13" t="n">
        <f aca="false">Setup!$C$5+87</f>
        <v>46114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TEXT(Setup!$C$5+87,"dddd")</f>
        <v>Thursday</v>
      </c>
      <c r="B78" s="13" t="n">
        <f aca="false">Setup!$C$5+87</f>
        <v>46114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TEXT(Setup!$C$5+87,"dddd")</f>
        <v>Thursday</v>
      </c>
      <c r="B79" s="13" t="n">
        <f aca="false">Setup!$C$5+87</f>
        <v>46114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TEXT(Setup!$C$5+87,"dddd")</f>
        <v>Thursday</v>
      </c>
      <c r="B80" s="13" t="n">
        <f aca="false">Setup!$C$5+87</f>
        <v>46114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TEXT(Setup!$C$5+87,"dddd")</f>
        <v>Thursday</v>
      </c>
      <c r="B81" s="13" t="n">
        <f aca="false">Setup!$C$5+87</f>
        <v>46114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TEXT(Setup!$C$5+87,"dddd")</f>
        <v>Thursday</v>
      </c>
      <c r="B82" s="13" t="n">
        <f aca="false">Setup!$C$5+87</f>
        <v>46114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TEXT(Setup!$C$5+87,"dddd")</f>
        <v>Thursday</v>
      </c>
      <c r="B83" s="13" t="n">
        <f aca="false">Setup!$C$5+87</f>
        <v>46114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TEXT(Setup!$C$5+87,"dddd")</f>
        <v>Thursday</v>
      </c>
      <c r="B84" s="13" t="n">
        <f aca="false">Setup!$C$5+87</f>
        <v>46114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TEXT(Setup!$C$5+87,"dddd")</f>
        <v>Thursday</v>
      </c>
      <c r="B85" s="13" t="n">
        <f aca="false">Setup!$C$5+87</f>
        <v>46114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TEXT(Setup!$C$5+87,"dddd")</f>
        <v>Thursday</v>
      </c>
      <c r="B86" s="13" t="n">
        <f aca="false">Setup!$C$5+87</f>
        <v>46114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TEXT(Setup!$C$5+87,"dddd")</f>
        <v>Thursday</v>
      </c>
      <c r="B87" s="13" t="n">
        <f aca="false">Setup!$C$5+87</f>
        <v>46114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TEXT(Setup!$C$5+87,"dddd")</f>
        <v>Thursday</v>
      </c>
      <c r="B88" s="13" t="n">
        <f aca="false">Setup!$C$5+87</f>
        <v>46114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TEXT(Setup!$C$5+87,"dddd")</f>
        <v>Thursday</v>
      </c>
      <c r="B89" s="23" t="n">
        <f aca="false">Setup!$C$5+87</f>
        <v>46114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IFERROR(H89-Wk12!H89,"")</f>
        <v>0</v>
      </c>
      <c r="O89" s="24" t="n">
        <f aca="false">IFERROR(D89-Wk12!D89,"")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TEXT(Setup!$C$5+88,"dddd")</f>
        <v>Friday</v>
      </c>
      <c r="B90" s="13" t="n">
        <f aca="false">Setup!$C$5+88</f>
        <v>46115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TEXT(Setup!$C$5+88,"dddd")</f>
        <v>Friday</v>
      </c>
      <c r="B91" s="13" t="n">
        <f aca="false">Setup!$C$5+88</f>
        <v>46115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TEXT(Setup!$C$5+88,"dddd")</f>
        <v>Friday</v>
      </c>
      <c r="B92" s="13" t="n">
        <f aca="false">Setup!$C$5+88</f>
        <v>46115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TEXT(Setup!$C$5+88,"dddd")</f>
        <v>Friday</v>
      </c>
      <c r="B93" s="13" t="n">
        <f aca="false">Setup!$C$5+88</f>
        <v>46115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TEXT(Setup!$C$5+88,"dddd")</f>
        <v>Friday</v>
      </c>
      <c r="B94" s="13" t="n">
        <f aca="false">Setup!$C$5+88</f>
        <v>46115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TEXT(Setup!$C$5+88,"dddd")</f>
        <v>Friday</v>
      </c>
      <c r="B95" s="13" t="n">
        <f aca="false">Setup!$C$5+88</f>
        <v>46115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TEXT(Setup!$C$5+88,"dddd")</f>
        <v>Friday</v>
      </c>
      <c r="B96" s="13" t="n">
        <f aca="false">Setup!$C$5+88</f>
        <v>46115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TEXT(Setup!$C$5+88,"dddd")</f>
        <v>Friday</v>
      </c>
      <c r="B97" s="13" t="n">
        <f aca="false">Setup!$C$5+88</f>
        <v>46115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TEXT(Setup!$C$5+88,"dddd")</f>
        <v>Friday</v>
      </c>
      <c r="B98" s="13" t="n">
        <f aca="false">Setup!$C$5+88</f>
        <v>46115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TEXT(Setup!$C$5+88,"dddd")</f>
        <v>Friday</v>
      </c>
      <c r="B99" s="13" t="n">
        <f aca="false">Setup!$C$5+88</f>
        <v>46115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TEXT(Setup!$C$5+88,"dddd")</f>
        <v>Friday</v>
      </c>
      <c r="B100" s="13" t="n">
        <f aca="false">Setup!$C$5+88</f>
        <v>46115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TEXT(Setup!$C$5+88,"dddd")</f>
        <v>Friday</v>
      </c>
      <c r="B101" s="13" t="n">
        <f aca="false">Setup!$C$5+88</f>
        <v>46115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TEXT(Setup!$C$5+88,"dddd")</f>
        <v>Friday</v>
      </c>
      <c r="B102" s="13" t="n">
        <f aca="false">Setup!$C$5+88</f>
        <v>46115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TEXT(Setup!$C$5+88,"dddd")</f>
        <v>Friday</v>
      </c>
      <c r="B103" s="13" t="n">
        <f aca="false">Setup!$C$5+88</f>
        <v>46115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TEXT(Setup!$C$5+88,"dddd")</f>
        <v>Friday</v>
      </c>
      <c r="B104" s="13" t="n">
        <f aca="false">Setup!$C$5+88</f>
        <v>46115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TEXT(Setup!$C$5+88,"dddd")</f>
        <v>Friday</v>
      </c>
      <c r="B105" s="13" t="n">
        <f aca="false">Setup!$C$5+88</f>
        <v>46115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TEXT(Setup!$C$5+88,"dddd")</f>
        <v>Friday</v>
      </c>
      <c r="B106" s="13" t="n">
        <f aca="false">Setup!$C$5+88</f>
        <v>46115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TEXT(Setup!$C$5+88,"dddd")</f>
        <v>Friday</v>
      </c>
      <c r="B107" s="13" t="n">
        <f aca="false">Setup!$C$5+88</f>
        <v>46115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TEXT(Setup!$C$5+88,"dddd")</f>
        <v>Friday</v>
      </c>
      <c r="B108" s="13" t="n">
        <f aca="false">Setup!$C$5+88</f>
        <v>46115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TEXT(Setup!$C$5+88,"dddd")</f>
        <v>Friday</v>
      </c>
      <c r="B109" s="13" t="n">
        <f aca="false">Setup!$C$5+88</f>
        <v>46115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TEXT(Setup!$C$5+88,"dddd")</f>
        <v>Friday</v>
      </c>
      <c r="B110" s="13" t="n">
        <f aca="false">Setup!$C$5+88</f>
        <v>46115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TEXT(Setup!$C$5+88,"dddd")</f>
        <v>Friday</v>
      </c>
      <c r="B111" s="23" t="n">
        <f aca="false">Setup!$C$5+88</f>
        <v>46115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IFERROR(H111-Wk12!H111,"")</f>
        <v>0</v>
      </c>
      <c r="O111" s="24" t="n">
        <f aca="false">IFERROR(D111-Wk12!D111,"")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TEXT(Setup!$C$5+89,"dddd")</f>
        <v>Saturday</v>
      </c>
      <c r="B112" s="13" t="n">
        <f aca="false">Setup!$C$5+89</f>
        <v>46116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TEXT(Setup!$C$5+89,"dddd")</f>
        <v>Saturday</v>
      </c>
      <c r="B113" s="13" t="n">
        <f aca="false">Setup!$C$5+89</f>
        <v>46116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TEXT(Setup!$C$5+89,"dddd")</f>
        <v>Saturday</v>
      </c>
      <c r="B114" s="13" t="n">
        <f aca="false">Setup!$C$5+89</f>
        <v>46116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TEXT(Setup!$C$5+89,"dddd")</f>
        <v>Saturday</v>
      </c>
      <c r="B115" s="13" t="n">
        <f aca="false">Setup!$C$5+89</f>
        <v>46116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TEXT(Setup!$C$5+89,"dddd")</f>
        <v>Saturday</v>
      </c>
      <c r="B116" s="13" t="n">
        <f aca="false">Setup!$C$5+89</f>
        <v>46116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TEXT(Setup!$C$5+89,"dddd")</f>
        <v>Saturday</v>
      </c>
      <c r="B117" s="13" t="n">
        <f aca="false">Setup!$C$5+89</f>
        <v>46116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TEXT(Setup!$C$5+89,"dddd")</f>
        <v>Saturday</v>
      </c>
      <c r="B118" s="13" t="n">
        <f aca="false">Setup!$C$5+89</f>
        <v>46116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TEXT(Setup!$C$5+89,"dddd")</f>
        <v>Saturday</v>
      </c>
      <c r="B119" s="13" t="n">
        <f aca="false">Setup!$C$5+89</f>
        <v>46116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TEXT(Setup!$C$5+89,"dddd")</f>
        <v>Saturday</v>
      </c>
      <c r="B120" s="13" t="n">
        <f aca="false">Setup!$C$5+89</f>
        <v>46116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TEXT(Setup!$C$5+89,"dddd")</f>
        <v>Saturday</v>
      </c>
      <c r="B121" s="13" t="n">
        <f aca="false">Setup!$C$5+89</f>
        <v>46116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TEXT(Setup!$C$5+89,"dddd")</f>
        <v>Saturday</v>
      </c>
      <c r="B122" s="13" t="n">
        <f aca="false">Setup!$C$5+89</f>
        <v>46116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TEXT(Setup!$C$5+89,"dddd")</f>
        <v>Saturday</v>
      </c>
      <c r="B123" s="13" t="n">
        <f aca="false">Setup!$C$5+89</f>
        <v>46116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TEXT(Setup!$C$5+89,"dddd")</f>
        <v>Saturday</v>
      </c>
      <c r="B124" s="13" t="n">
        <f aca="false">Setup!$C$5+89</f>
        <v>46116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TEXT(Setup!$C$5+89,"dddd")</f>
        <v>Saturday</v>
      </c>
      <c r="B125" s="13" t="n">
        <f aca="false">Setup!$C$5+89</f>
        <v>46116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TEXT(Setup!$C$5+89,"dddd")</f>
        <v>Saturday</v>
      </c>
      <c r="B126" s="13" t="n">
        <f aca="false">Setup!$C$5+89</f>
        <v>46116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TEXT(Setup!$C$5+89,"dddd")</f>
        <v>Saturday</v>
      </c>
      <c r="B127" s="13" t="n">
        <f aca="false">Setup!$C$5+89</f>
        <v>46116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TEXT(Setup!$C$5+89,"dddd")</f>
        <v>Saturday</v>
      </c>
      <c r="B128" s="13" t="n">
        <f aca="false">Setup!$C$5+89</f>
        <v>46116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TEXT(Setup!$C$5+89,"dddd")</f>
        <v>Saturday</v>
      </c>
      <c r="B129" s="13" t="n">
        <f aca="false">Setup!$C$5+89</f>
        <v>46116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TEXT(Setup!$C$5+89,"dddd")</f>
        <v>Saturday</v>
      </c>
      <c r="B130" s="13" t="n">
        <f aca="false">Setup!$C$5+89</f>
        <v>46116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TEXT(Setup!$C$5+89,"dddd")</f>
        <v>Saturday</v>
      </c>
      <c r="B131" s="13" t="n">
        <f aca="false">Setup!$C$5+89</f>
        <v>46116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TEXT(Setup!$C$5+89,"dddd")</f>
        <v>Saturday</v>
      </c>
      <c r="B132" s="13" t="n">
        <f aca="false">Setup!$C$5+89</f>
        <v>46116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TEXT(Setup!$C$5+89,"dddd")</f>
        <v>Saturday</v>
      </c>
      <c r="B133" s="23" t="n">
        <f aca="false">Setup!$C$5+89</f>
        <v>46116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IFERROR(H133-Wk12!H133,"")</f>
        <v>0</v>
      </c>
      <c r="O133" s="24" t="n">
        <f aca="false">IFERROR(D133-Wk12!D133,"")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TEXT(Setup!$C$5+90,"dddd")</f>
        <v>Sunday</v>
      </c>
      <c r="B134" s="13" t="n">
        <f aca="false">Setup!$C$5+90</f>
        <v>46117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TEXT(Setup!$C$5+90,"dddd")</f>
        <v>Sunday</v>
      </c>
      <c r="B135" s="13" t="n">
        <f aca="false">Setup!$C$5+90</f>
        <v>46117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TEXT(Setup!$C$5+90,"dddd")</f>
        <v>Sunday</v>
      </c>
      <c r="B136" s="13" t="n">
        <f aca="false">Setup!$C$5+90</f>
        <v>46117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TEXT(Setup!$C$5+90,"dddd")</f>
        <v>Sunday</v>
      </c>
      <c r="B137" s="13" t="n">
        <f aca="false">Setup!$C$5+90</f>
        <v>46117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TEXT(Setup!$C$5+90,"dddd")</f>
        <v>Sunday</v>
      </c>
      <c r="B138" s="13" t="n">
        <f aca="false">Setup!$C$5+90</f>
        <v>46117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TEXT(Setup!$C$5+90,"dddd")</f>
        <v>Sunday</v>
      </c>
      <c r="B139" s="13" t="n">
        <f aca="false">Setup!$C$5+90</f>
        <v>46117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TEXT(Setup!$C$5+90,"dddd")</f>
        <v>Sunday</v>
      </c>
      <c r="B140" s="13" t="n">
        <f aca="false">Setup!$C$5+90</f>
        <v>46117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TEXT(Setup!$C$5+90,"dddd")</f>
        <v>Sunday</v>
      </c>
      <c r="B141" s="13" t="n">
        <f aca="false">Setup!$C$5+90</f>
        <v>46117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TEXT(Setup!$C$5+90,"dddd")</f>
        <v>Sunday</v>
      </c>
      <c r="B142" s="13" t="n">
        <f aca="false">Setup!$C$5+90</f>
        <v>46117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TEXT(Setup!$C$5+90,"dddd")</f>
        <v>Sunday</v>
      </c>
      <c r="B143" s="13" t="n">
        <f aca="false">Setup!$C$5+90</f>
        <v>46117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TEXT(Setup!$C$5+90,"dddd")</f>
        <v>Sunday</v>
      </c>
      <c r="B144" s="13" t="n">
        <f aca="false">Setup!$C$5+90</f>
        <v>46117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TEXT(Setup!$C$5+90,"dddd")</f>
        <v>Sunday</v>
      </c>
      <c r="B145" s="13" t="n">
        <f aca="false">Setup!$C$5+90</f>
        <v>46117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TEXT(Setup!$C$5+90,"dddd")</f>
        <v>Sunday</v>
      </c>
      <c r="B146" s="13" t="n">
        <f aca="false">Setup!$C$5+90</f>
        <v>46117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TEXT(Setup!$C$5+90,"dddd")</f>
        <v>Sunday</v>
      </c>
      <c r="B147" s="13" t="n">
        <f aca="false">Setup!$C$5+90</f>
        <v>46117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TEXT(Setup!$C$5+90,"dddd")</f>
        <v>Sunday</v>
      </c>
      <c r="B148" s="13" t="n">
        <f aca="false">Setup!$C$5+90</f>
        <v>46117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TEXT(Setup!$C$5+90,"dddd")</f>
        <v>Sunday</v>
      </c>
      <c r="B149" s="13" t="n">
        <f aca="false">Setup!$C$5+90</f>
        <v>46117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TEXT(Setup!$C$5+90,"dddd")</f>
        <v>Sunday</v>
      </c>
      <c r="B150" s="13" t="n">
        <f aca="false">Setup!$C$5+90</f>
        <v>46117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TEXT(Setup!$C$5+90,"dddd")</f>
        <v>Sunday</v>
      </c>
      <c r="B151" s="13" t="n">
        <f aca="false">Setup!$C$5+90</f>
        <v>46117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TEXT(Setup!$C$5+90,"dddd")</f>
        <v>Sunday</v>
      </c>
      <c r="B152" s="13" t="n">
        <f aca="false">Setup!$C$5+90</f>
        <v>46117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TEXT(Setup!$C$5+90,"dddd")</f>
        <v>Sunday</v>
      </c>
      <c r="B153" s="13" t="n">
        <f aca="false">Setup!$C$5+90</f>
        <v>46117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TEXT(Setup!$C$5+90,"dddd")</f>
        <v>Sunday</v>
      </c>
      <c r="B154" s="13" t="n">
        <f aca="false">Setup!$C$5+90</f>
        <v>46117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TEXT(Setup!$C$5+90,"dddd")</f>
        <v>Sunday</v>
      </c>
      <c r="B155" s="23" t="n">
        <f aca="false">Setup!$C$5+90</f>
        <v>46117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IFERROR(H155-Wk12!H155,"")</f>
        <v>0</v>
      </c>
      <c r="O155" s="24" t="n">
        <f aca="false">IFERROR(D155-Wk12!D155,"")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IFERROR(D156-Wk12!D156,"")</f>
        <v>0</v>
      </c>
      <c r="E157" s="34" t="n">
        <f aca="false">IFERROR(E156-Wk12!E156,"")</f>
        <v>0</v>
      </c>
      <c r="H157" s="32" t="n">
        <f aca="false">IFERROR(H156-Wk12!H156,"")</f>
        <v>0</v>
      </c>
      <c r="K157" s="32" t="n">
        <f aca="false">IFERROR(K156-Wk12!K156,"")</f>
        <v>0</v>
      </c>
      <c r="M157" s="32" t="n">
        <f aca="false">IFERROR(M156-Wk12!M156,"")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TEXT(Setup!$C$5+91,"dddd")</f>
        <v>Monday</v>
      </c>
      <c r="B2" s="13" t="n">
        <f aca="false">Setup!$C$5+91</f>
        <v>46118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TEXT(Setup!$C$5+91,"dddd")</f>
        <v>Monday</v>
      </c>
      <c r="B3" s="13" t="n">
        <f aca="false">Setup!$C$5+91</f>
        <v>46118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TEXT(Setup!$C$5+91,"dddd")</f>
        <v>Monday</v>
      </c>
      <c r="B4" s="13" t="n">
        <f aca="false">Setup!$C$5+91</f>
        <v>46118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TEXT(Setup!$C$5+91,"dddd")</f>
        <v>Monday</v>
      </c>
      <c r="B5" s="13" t="n">
        <f aca="false">Setup!$C$5+91</f>
        <v>46118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TEXT(Setup!$C$5+91,"dddd")</f>
        <v>Monday</v>
      </c>
      <c r="B6" s="13" t="n">
        <f aca="false">Setup!$C$5+91</f>
        <v>46118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TEXT(Setup!$C$5+91,"dddd")</f>
        <v>Monday</v>
      </c>
      <c r="B7" s="13" t="n">
        <f aca="false">Setup!$C$5+91</f>
        <v>46118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TEXT(Setup!$C$5+91,"dddd")</f>
        <v>Monday</v>
      </c>
      <c r="B8" s="13" t="n">
        <f aca="false">Setup!$C$5+91</f>
        <v>46118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TEXT(Setup!$C$5+91,"dddd")</f>
        <v>Monday</v>
      </c>
      <c r="B9" s="13" t="n">
        <f aca="false">Setup!$C$5+91</f>
        <v>46118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TEXT(Setup!$C$5+91,"dddd")</f>
        <v>Monday</v>
      </c>
      <c r="B10" s="13" t="n">
        <f aca="false">Setup!$C$5+91</f>
        <v>46118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TEXT(Setup!$C$5+91,"dddd")</f>
        <v>Monday</v>
      </c>
      <c r="B11" s="13" t="n">
        <f aca="false">Setup!$C$5+91</f>
        <v>46118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TEXT(Setup!$C$5+91,"dddd")</f>
        <v>Monday</v>
      </c>
      <c r="B12" s="13" t="n">
        <f aca="false">Setup!$C$5+91</f>
        <v>46118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TEXT(Setup!$C$5+91,"dddd")</f>
        <v>Monday</v>
      </c>
      <c r="B13" s="13" t="n">
        <f aca="false">Setup!$C$5+91</f>
        <v>46118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TEXT(Setup!$C$5+91,"dddd")</f>
        <v>Monday</v>
      </c>
      <c r="B14" s="13" t="n">
        <f aca="false">Setup!$C$5+91</f>
        <v>46118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TEXT(Setup!$C$5+91,"dddd")</f>
        <v>Monday</v>
      </c>
      <c r="B15" s="13" t="n">
        <f aca="false">Setup!$C$5+91</f>
        <v>46118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TEXT(Setup!$C$5+91,"dddd")</f>
        <v>Monday</v>
      </c>
      <c r="B16" s="13" t="n">
        <f aca="false">Setup!$C$5+91</f>
        <v>46118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TEXT(Setup!$C$5+91,"dddd")</f>
        <v>Monday</v>
      </c>
      <c r="B17" s="13" t="n">
        <f aca="false">Setup!$C$5+91</f>
        <v>46118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TEXT(Setup!$C$5+91,"dddd")</f>
        <v>Monday</v>
      </c>
      <c r="B18" s="13" t="n">
        <f aca="false">Setup!$C$5+91</f>
        <v>46118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TEXT(Setup!$C$5+91,"dddd")</f>
        <v>Monday</v>
      </c>
      <c r="B19" s="13" t="n">
        <f aca="false">Setup!$C$5+91</f>
        <v>46118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TEXT(Setup!$C$5+91,"dddd")</f>
        <v>Monday</v>
      </c>
      <c r="B20" s="13" t="n">
        <f aca="false">Setup!$C$5+91</f>
        <v>46118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TEXT(Setup!$C$5+91,"dddd")</f>
        <v>Monday</v>
      </c>
      <c r="B21" s="13" t="n">
        <f aca="false">Setup!$C$5+91</f>
        <v>46118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TEXT(Setup!$C$5+91,"dddd")</f>
        <v>Monday</v>
      </c>
      <c r="B22" s="13" t="n">
        <f aca="false">Setup!$C$5+91</f>
        <v>46118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TEXT(Setup!$C$5+91,"dddd")</f>
        <v>Monday</v>
      </c>
      <c r="B23" s="23" t="n">
        <f aca="false">Setup!$C$5+91</f>
        <v>46118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IFERROR(H23-Wk13!H23,"")</f>
        <v>0</v>
      </c>
      <c r="O23" s="24" t="n">
        <f aca="false">IFERROR(D23-Wk13!D23,"")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TEXT(Setup!$C$5+92,"dddd")</f>
        <v>Tuesday</v>
      </c>
      <c r="B24" s="13" t="n">
        <f aca="false">Setup!$C$5+92</f>
        <v>46119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TEXT(Setup!$C$5+92,"dddd")</f>
        <v>Tuesday</v>
      </c>
      <c r="B25" s="13" t="n">
        <f aca="false">Setup!$C$5+92</f>
        <v>46119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TEXT(Setup!$C$5+92,"dddd")</f>
        <v>Tuesday</v>
      </c>
      <c r="B26" s="13" t="n">
        <f aca="false">Setup!$C$5+92</f>
        <v>46119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TEXT(Setup!$C$5+92,"dddd")</f>
        <v>Tuesday</v>
      </c>
      <c r="B27" s="13" t="n">
        <f aca="false">Setup!$C$5+92</f>
        <v>46119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TEXT(Setup!$C$5+92,"dddd")</f>
        <v>Tuesday</v>
      </c>
      <c r="B28" s="13" t="n">
        <f aca="false">Setup!$C$5+92</f>
        <v>46119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TEXT(Setup!$C$5+92,"dddd")</f>
        <v>Tuesday</v>
      </c>
      <c r="B29" s="13" t="n">
        <f aca="false">Setup!$C$5+92</f>
        <v>46119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TEXT(Setup!$C$5+92,"dddd")</f>
        <v>Tuesday</v>
      </c>
      <c r="B30" s="13" t="n">
        <f aca="false">Setup!$C$5+92</f>
        <v>46119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TEXT(Setup!$C$5+92,"dddd")</f>
        <v>Tuesday</v>
      </c>
      <c r="B31" s="13" t="n">
        <f aca="false">Setup!$C$5+92</f>
        <v>46119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TEXT(Setup!$C$5+92,"dddd")</f>
        <v>Tuesday</v>
      </c>
      <c r="B32" s="13" t="n">
        <f aca="false">Setup!$C$5+92</f>
        <v>46119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TEXT(Setup!$C$5+92,"dddd")</f>
        <v>Tuesday</v>
      </c>
      <c r="B33" s="13" t="n">
        <f aca="false">Setup!$C$5+92</f>
        <v>46119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TEXT(Setup!$C$5+92,"dddd")</f>
        <v>Tuesday</v>
      </c>
      <c r="B34" s="13" t="n">
        <f aca="false">Setup!$C$5+92</f>
        <v>46119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TEXT(Setup!$C$5+92,"dddd")</f>
        <v>Tuesday</v>
      </c>
      <c r="B35" s="13" t="n">
        <f aca="false">Setup!$C$5+92</f>
        <v>46119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TEXT(Setup!$C$5+92,"dddd")</f>
        <v>Tuesday</v>
      </c>
      <c r="B36" s="13" t="n">
        <f aca="false">Setup!$C$5+92</f>
        <v>46119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TEXT(Setup!$C$5+92,"dddd")</f>
        <v>Tuesday</v>
      </c>
      <c r="B37" s="13" t="n">
        <f aca="false">Setup!$C$5+92</f>
        <v>46119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TEXT(Setup!$C$5+92,"dddd")</f>
        <v>Tuesday</v>
      </c>
      <c r="B38" s="13" t="n">
        <f aca="false">Setup!$C$5+92</f>
        <v>46119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TEXT(Setup!$C$5+92,"dddd")</f>
        <v>Tuesday</v>
      </c>
      <c r="B39" s="13" t="n">
        <f aca="false">Setup!$C$5+92</f>
        <v>46119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TEXT(Setup!$C$5+92,"dddd")</f>
        <v>Tuesday</v>
      </c>
      <c r="B40" s="13" t="n">
        <f aca="false">Setup!$C$5+92</f>
        <v>46119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TEXT(Setup!$C$5+92,"dddd")</f>
        <v>Tuesday</v>
      </c>
      <c r="B41" s="13" t="n">
        <f aca="false">Setup!$C$5+92</f>
        <v>46119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TEXT(Setup!$C$5+92,"dddd")</f>
        <v>Tuesday</v>
      </c>
      <c r="B42" s="13" t="n">
        <f aca="false">Setup!$C$5+92</f>
        <v>46119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TEXT(Setup!$C$5+92,"dddd")</f>
        <v>Tuesday</v>
      </c>
      <c r="B43" s="13" t="n">
        <f aca="false">Setup!$C$5+92</f>
        <v>46119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TEXT(Setup!$C$5+92,"dddd")</f>
        <v>Tuesday</v>
      </c>
      <c r="B44" s="13" t="n">
        <f aca="false">Setup!$C$5+92</f>
        <v>46119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TEXT(Setup!$C$5+92,"dddd")</f>
        <v>Tuesday</v>
      </c>
      <c r="B45" s="23" t="n">
        <f aca="false">Setup!$C$5+92</f>
        <v>46119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IFERROR(H45-Wk13!H45,"")</f>
        <v>0</v>
      </c>
      <c r="O45" s="24" t="n">
        <f aca="false">IFERROR(D45-Wk13!D45,"")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TEXT(Setup!$C$5+93,"dddd")</f>
        <v>Wednesday</v>
      </c>
      <c r="B46" s="13" t="n">
        <f aca="false">Setup!$C$5+93</f>
        <v>46120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TEXT(Setup!$C$5+93,"dddd")</f>
        <v>Wednesday</v>
      </c>
      <c r="B47" s="13" t="n">
        <f aca="false">Setup!$C$5+93</f>
        <v>46120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TEXT(Setup!$C$5+93,"dddd")</f>
        <v>Wednesday</v>
      </c>
      <c r="B48" s="13" t="n">
        <f aca="false">Setup!$C$5+93</f>
        <v>46120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TEXT(Setup!$C$5+93,"dddd")</f>
        <v>Wednesday</v>
      </c>
      <c r="B49" s="13" t="n">
        <f aca="false">Setup!$C$5+93</f>
        <v>46120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TEXT(Setup!$C$5+93,"dddd")</f>
        <v>Wednesday</v>
      </c>
      <c r="B50" s="13" t="n">
        <f aca="false">Setup!$C$5+93</f>
        <v>46120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TEXT(Setup!$C$5+93,"dddd")</f>
        <v>Wednesday</v>
      </c>
      <c r="B51" s="13" t="n">
        <f aca="false">Setup!$C$5+93</f>
        <v>46120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TEXT(Setup!$C$5+93,"dddd")</f>
        <v>Wednesday</v>
      </c>
      <c r="B52" s="13" t="n">
        <f aca="false">Setup!$C$5+93</f>
        <v>46120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TEXT(Setup!$C$5+93,"dddd")</f>
        <v>Wednesday</v>
      </c>
      <c r="B53" s="13" t="n">
        <f aca="false">Setup!$C$5+93</f>
        <v>46120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TEXT(Setup!$C$5+93,"dddd")</f>
        <v>Wednesday</v>
      </c>
      <c r="B54" s="13" t="n">
        <f aca="false">Setup!$C$5+93</f>
        <v>46120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TEXT(Setup!$C$5+93,"dddd")</f>
        <v>Wednesday</v>
      </c>
      <c r="B55" s="13" t="n">
        <f aca="false">Setup!$C$5+93</f>
        <v>46120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TEXT(Setup!$C$5+93,"dddd")</f>
        <v>Wednesday</v>
      </c>
      <c r="B56" s="13" t="n">
        <f aca="false">Setup!$C$5+93</f>
        <v>46120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TEXT(Setup!$C$5+93,"dddd")</f>
        <v>Wednesday</v>
      </c>
      <c r="B57" s="13" t="n">
        <f aca="false">Setup!$C$5+93</f>
        <v>46120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TEXT(Setup!$C$5+93,"dddd")</f>
        <v>Wednesday</v>
      </c>
      <c r="B58" s="13" t="n">
        <f aca="false">Setup!$C$5+93</f>
        <v>46120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TEXT(Setup!$C$5+93,"dddd")</f>
        <v>Wednesday</v>
      </c>
      <c r="B59" s="13" t="n">
        <f aca="false">Setup!$C$5+93</f>
        <v>46120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TEXT(Setup!$C$5+93,"dddd")</f>
        <v>Wednesday</v>
      </c>
      <c r="B60" s="13" t="n">
        <f aca="false">Setup!$C$5+93</f>
        <v>46120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TEXT(Setup!$C$5+93,"dddd")</f>
        <v>Wednesday</v>
      </c>
      <c r="B61" s="13" t="n">
        <f aca="false">Setup!$C$5+93</f>
        <v>46120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TEXT(Setup!$C$5+93,"dddd")</f>
        <v>Wednesday</v>
      </c>
      <c r="B62" s="13" t="n">
        <f aca="false">Setup!$C$5+93</f>
        <v>46120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TEXT(Setup!$C$5+93,"dddd")</f>
        <v>Wednesday</v>
      </c>
      <c r="B63" s="13" t="n">
        <f aca="false">Setup!$C$5+93</f>
        <v>46120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TEXT(Setup!$C$5+93,"dddd")</f>
        <v>Wednesday</v>
      </c>
      <c r="B64" s="13" t="n">
        <f aca="false">Setup!$C$5+93</f>
        <v>46120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TEXT(Setup!$C$5+93,"dddd")</f>
        <v>Wednesday</v>
      </c>
      <c r="B65" s="13" t="n">
        <f aca="false">Setup!$C$5+93</f>
        <v>46120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TEXT(Setup!$C$5+93,"dddd")</f>
        <v>Wednesday</v>
      </c>
      <c r="B66" s="13" t="n">
        <f aca="false">Setup!$C$5+93</f>
        <v>46120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TEXT(Setup!$C$5+93,"dddd")</f>
        <v>Wednesday</v>
      </c>
      <c r="B67" s="23" t="n">
        <f aca="false">Setup!$C$5+93</f>
        <v>46120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IFERROR(H67-Wk13!H67,"")</f>
        <v>0</v>
      </c>
      <c r="O67" s="24" t="n">
        <f aca="false">IFERROR(D67-Wk13!D67,"")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TEXT(Setup!$C$5+94,"dddd")</f>
        <v>Thursday</v>
      </c>
      <c r="B68" s="13" t="n">
        <f aca="false">Setup!$C$5+94</f>
        <v>46121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TEXT(Setup!$C$5+94,"dddd")</f>
        <v>Thursday</v>
      </c>
      <c r="B69" s="13" t="n">
        <f aca="false">Setup!$C$5+94</f>
        <v>46121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TEXT(Setup!$C$5+94,"dddd")</f>
        <v>Thursday</v>
      </c>
      <c r="B70" s="13" t="n">
        <f aca="false">Setup!$C$5+94</f>
        <v>46121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TEXT(Setup!$C$5+94,"dddd")</f>
        <v>Thursday</v>
      </c>
      <c r="B71" s="13" t="n">
        <f aca="false">Setup!$C$5+94</f>
        <v>46121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TEXT(Setup!$C$5+94,"dddd")</f>
        <v>Thursday</v>
      </c>
      <c r="B72" s="13" t="n">
        <f aca="false">Setup!$C$5+94</f>
        <v>46121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TEXT(Setup!$C$5+94,"dddd")</f>
        <v>Thursday</v>
      </c>
      <c r="B73" s="13" t="n">
        <f aca="false">Setup!$C$5+94</f>
        <v>46121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TEXT(Setup!$C$5+94,"dddd")</f>
        <v>Thursday</v>
      </c>
      <c r="B74" s="13" t="n">
        <f aca="false">Setup!$C$5+94</f>
        <v>46121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TEXT(Setup!$C$5+94,"dddd")</f>
        <v>Thursday</v>
      </c>
      <c r="B75" s="13" t="n">
        <f aca="false">Setup!$C$5+94</f>
        <v>46121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TEXT(Setup!$C$5+94,"dddd")</f>
        <v>Thursday</v>
      </c>
      <c r="B76" s="13" t="n">
        <f aca="false">Setup!$C$5+94</f>
        <v>46121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TEXT(Setup!$C$5+94,"dddd")</f>
        <v>Thursday</v>
      </c>
      <c r="B77" s="13" t="n">
        <f aca="false">Setup!$C$5+94</f>
        <v>46121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TEXT(Setup!$C$5+94,"dddd")</f>
        <v>Thursday</v>
      </c>
      <c r="B78" s="13" t="n">
        <f aca="false">Setup!$C$5+94</f>
        <v>46121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TEXT(Setup!$C$5+94,"dddd")</f>
        <v>Thursday</v>
      </c>
      <c r="B79" s="13" t="n">
        <f aca="false">Setup!$C$5+94</f>
        <v>46121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TEXT(Setup!$C$5+94,"dddd")</f>
        <v>Thursday</v>
      </c>
      <c r="B80" s="13" t="n">
        <f aca="false">Setup!$C$5+94</f>
        <v>46121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TEXT(Setup!$C$5+94,"dddd")</f>
        <v>Thursday</v>
      </c>
      <c r="B81" s="13" t="n">
        <f aca="false">Setup!$C$5+94</f>
        <v>46121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TEXT(Setup!$C$5+94,"dddd")</f>
        <v>Thursday</v>
      </c>
      <c r="B82" s="13" t="n">
        <f aca="false">Setup!$C$5+94</f>
        <v>46121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TEXT(Setup!$C$5+94,"dddd")</f>
        <v>Thursday</v>
      </c>
      <c r="B83" s="13" t="n">
        <f aca="false">Setup!$C$5+94</f>
        <v>46121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TEXT(Setup!$C$5+94,"dddd")</f>
        <v>Thursday</v>
      </c>
      <c r="B84" s="13" t="n">
        <f aca="false">Setup!$C$5+94</f>
        <v>46121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TEXT(Setup!$C$5+94,"dddd")</f>
        <v>Thursday</v>
      </c>
      <c r="B85" s="13" t="n">
        <f aca="false">Setup!$C$5+94</f>
        <v>46121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TEXT(Setup!$C$5+94,"dddd")</f>
        <v>Thursday</v>
      </c>
      <c r="B86" s="13" t="n">
        <f aca="false">Setup!$C$5+94</f>
        <v>46121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TEXT(Setup!$C$5+94,"dddd")</f>
        <v>Thursday</v>
      </c>
      <c r="B87" s="13" t="n">
        <f aca="false">Setup!$C$5+94</f>
        <v>46121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TEXT(Setup!$C$5+94,"dddd")</f>
        <v>Thursday</v>
      </c>
      <c r="B88" s="13" t="n">
        <f aca="false">Setup!$C$5+94</f>
        <v>46121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TEXT(Setup!$C$5+94,"dddd")</f>
        <v>Thursday</v>
      </c>
      <c r="B89" s="23" t="n">
        <f aca="false">Setup!$C$5+94</f>
        <v>46121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IFERROR(H89-Wk13!H89,"")</f>
        <v>0</v>
      </c>
      <c r="O89" s="24" t="n">
        <f aca="false">IFERROR(D89-Wk13!D89,"")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TEXT(Setup!$C$5+95,"dddd")</f>
        <v>Friday</v>
      </c>
      <c r="B90" s="13" t="n">
        <f aca="false">Setup!$C$5+95</f>
        <v>46122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TEXT(Setup!$C$5+95,"dddd")</f>
        <v>Friday</v>
      </c>
      <c r="B91" s="13" t="n">
        <f aca="false">Setup!$C$5+95</f>
        <v>46122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TEXT(Setup!$C$5+95,"dddd")</f>
        <v>Friday</v>
      </c>
      <c r="B92" s="13" t="n">
        <f aca="false">Setup!$C$5+95</f>
        <v>46122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TEXT(Setup!$C$5+95,"dddd")</f>
        <v>Friday</v>
      </c>
      <c r="B93" s="13" t="n">
        <f aca="false">Setup!$C$5+95</f>
        <v>46122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TEXT(Setup!$C$5+95,"dddd")</f>
        <v>Friday</v>
      </c>
      <c r="B94" s="13" t="n">
        <f aca="false">Setup!$C$5+95</f>
        <v>46122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TEXT(Setup!$C$5+95,"dddd")</f>
        <v>Friday</v>
      </c>
      <c r="B95" s="13" t="n">
        <f aca="false">Setup!$C$5+95</f>
        <v>46122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TEXT(Setup!$C$5+95,"dddd")</f>
        <v>Friday</v>
      </c>
      <c r="B96" s="13" t="n">
        <f aca="false">Setup!$C$5+95</f>
        <v>46122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TEXT(Setup!$C$5+95,"dddd")</f>
        <v>Friday</v>
      </c>
      <c r="B97" s="13" t="n">
        <f aca="false">Setup!$C$5+95</f>
        <v>46122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TEXT(Setup!$C$5+95,"dddd")</f>
        <v>Friday</v>
      </c>
      <c r="B98" s="13" t="n">
        <f aca="false">Setup!$C$5+95</f>
        <v>46122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TEXT(Setup!$C$5+95,"dddd")</f>
        <v>Friday</v>
      </c>
      <c r="B99" s="13" t="n">
        <f aca="false">Setup!$C$5+95</f>
        <v>46122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TEXT(Setup!$C$5+95,"dddd")</f>
        <v>Friday</v>
      </c>
      <c r="B100" s="13" t="n">
        <f aca="false">Setup!$C$5+95</f>
        <v>46122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TEXT(Setup!$C$5+95,"dddd")</f>
        <v>Friday</v>
      </c>
      <c r="B101" s="13" t="n">
        <f aca="false">Setup!$C$5+95</f>
        <v>46122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TEXT(Setup!$C$5+95,"dddd")</f>
        <v>Friday</v>
      </c>
      <c r="B102" s="13" t="n">
        <f aca="false">Setup!$C$5+95</f>
        <v>46122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TEXT(Setup!$C$5+95,"dddd")</f>
        <v>Friday</v>
      </c>
      <c r="B103" s="13" t="n">
        <f aca="false">Setup!$C$5+95</f>
        <v>46122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TEXT(Setup!$C$5+95,"dddd")</f>
        <v>Friday</v>
      </c>
      <c r="B104" s="13" t="n">
        <f aca="false">Setup!$C$5+95</f>
        <v>46122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TEXT(Setup!$C$5+95,"dddd")</f>
        <v>Friday</v>
      </c>
      <c r="B105" s="13" t="n">
        <f aca="false">Setup!$C$5+95</f>
        <v>46122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TEXT(Setup!$C$5+95,"dddd")</f>
        <v>Friday</v>
      </c>
      <c r="B106" s="13" t="n">
        <f aca="false">Setup!$C$5+95</f>
        <v>46122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TEXT(Setup!$C$5+95,"dddd")</f>
        <v>Friday</v>
      </c>
      <c r="B107" s="13" t="n">
        <f aca="false">Setup!$C$5+95</f>
        <v>46122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TEXT(Setup!$C$5+95,"dddd")</f>
        <v>Friday</v>
      </c>
      <c r="B108" s="13" t="n">
        <f aca="false">Setup!$C$5+95</f>
        <v>46122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TEXT(Setup!$C$5+95,"dddd")</f>
        <v>Friday</v>
      </c>
      <c r="B109" s="13" t="n">
        <f aca="false">Setup!$C$5+95</f>
        <v>46122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TEXT(Setup!$C$5+95,"dddd")</f>
        <v>Friday</v>
      </c>
      <c r="B110" s="13" t="n">
        <f aca="false">Setup!$C$5+95</f>
        <v>46122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TEXT(Setup!$C$5+95,"dddd")</f>
        <v>Friday</v>
      </c>
      <c r="B111" s="23" t="n">
        <f aca="false">Setup!$C$5+95</f>
        <v>46122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IFERROR(H111-Wk13!H111,"")</f>
        <v>0</v>
      </c>
      <c r="O111" s="24" t="n">
        <f aca="false">IFERROR(D111-Wk13!D111,"")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TEXT(Setup!$C$5+96,"dddd")</f>
        <v>Saturday</v>
      </c>
      <c r="B112" s="13" t="n">
        <f aca="false">Setup!$C$5+96</f>
        <v>46123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TEXT(Setup!$C$5+96,"dddd")</f>
        <v>Saturday</v>
      </c>
      <c r="B113" s="13" t="n">
        <f aca="false">Setup!$C$5+96</f>
        <v>46123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TEXT(Setup!$C$5+96,"dddd")</f>
        <v>Saturday</v>
      </c>
      <c r="B114" s="13" t="n">
        <f aca="false">Setup!$C$5+96</f>
        <v>46123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TEXT(Setup!$C$5+96,"dddd")</f>
        <v>Saturday</v>
      </c>
      <c r="B115" s="13" t="n">
        <f aca="false">Setup!$C$5+96</f>
        <v>46123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TEXT(Setup!$C$5+96,"dddd")</f>
        <v>Saturday</v>
      </c>
      <c r="B116" s="13" t="n">
        <f aca="false">Setup!$C$5+96</f>
        <v>46123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TEXT(Setup!$C$5+96,"dddd")</f>
        <v>Saturday</v>
      </c>
      <c r="B117" s="13" t="n">
        <f aca="false">Setup!$C$5+96</f>
        <v>46123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TEXT(Setup!$C$5+96,"dddd")</f>
        <v>Saturday</v>
      </c>
      <c r="B118" s="13" t="n">
        <f aca="false">Setup!$C$5+96</f>
        <v>46123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TEXT(Setup!$C$5+96,"dddd")</f>
        <v>Saturday</v>
      </c>
      <c r="B119" s="13" t="n">
        <f aca="false">Setup!$C$5+96</f>
        <v>46123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TEXT(Setup!$C$5+96,"dddd")</f>
        <v>Saturday</v>
      </c>
      <c r="B120" s="13" t="n">
        <f aca="false">Setup!$C$5+96</f>
        <v>46123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TEXT(Setup!$C$5+96,"dddd")</f>
        <v>Saturday</v>
      </c>
      <c r="B121" s="13" t="n">
        <f aca="false">Setup!$C$5+96</f>
        <v>46123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TEXT(Setup!$C$5+96,"dddd")</f>
        <v>Saturday</v>
      </c>
      <c r="B122" s="13" t="n">
        <f aca="false">Setup!$C$5+96</f>
        <v>46123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TEXT(Setup!$C$5+96,"dddd")</f>
        <v>Saturday</v>
      </c>
      <c r="B123" s="13" t="n">
        <f aca="false">Setup!$C$5+96</f>
        <v>46123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TEXT(Setup!$C$5+96,"dddd")</f>
        <v>Saturday</v>
      </c>
      <c r="B124" s="13" t="n">
        <f aca="false">Setup!$C$5+96</f>
        <v>46123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TEXT(Setup!$C$5+96,"dddd")</f>
        <v>Saturday</v>
      </c>
      <c r="B125" s="13" t="n">
        <f aca="false">Setup!$C$5+96</f>
        <v>46123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TEXT(Setup!$C$5+96,"dddd")</f>
        <v>Saturday</v>
      </c>
      <c r="B126" s="13" t="n">
        <f aca="false">Setup!$C$5+96</f>
        <v>46123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TEXT(Setup!$C$5+96,"dddd")</f>
        <v>Saturday</v>
      </c>
      <c r="B127" s="13" t="n">
        <f aca="false">Setup!$C$5+96</f>
        <v>46123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TEXT(Setup!$C$5+96,"dddd")</f>
        <v>Saturday</v>
      </c>
      <c r="B128" s="13" t="n">
        <f aca="false">Setup!$C$5+96</f>
        <v>46123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TEXT(Setup!$C$5+96,"dddd")</f>
        <v>Saturday</v>
      </c>
      <c r="B129" s="13" t="n">
        <f aca="false">Setup!$C$5+96</f>
        <v>46123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TEXT(Setup!$C$5+96,"dddd")</f>
        <v>Saturday</v>
      </c>
      <c r="B130" s="13" t="n">
        <f aca="false">Setup!$C$5+96</f>
        <v>46123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TEXT(Setup!$C$5+96,"dddd")</f>
        <v>Saturday</v>
      </c>
      <c r="B131" s="13" t="n">
        <f aca="false">Setup!$C$5+96</f>
        <v>46123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TEXT(Setup!$C$5+96,"dddd")</f>
        <v>Saturday</v>
      </c>
      <c r="B132" s="13" t="n">
        <f aca="false">Setup!$C$5+96</f>
        <v>46123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TEXT(Setup!$C$5+96,"dddd")</f>
        <v>Saturday</v>
      </c>
      <c r="B133" s="23" t="n">
        <f aca="false">Setup!$C$5+96</f>
        <v>46123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IFERROR(H133-Wk13!H133,"")</f>
        <v>0</v>
      </c>
      <c r="O133" s="24" t="n">
        <f aca="false">IFERROR(D133-Wk13!D133,"")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TEXT(Setup!$C$5+97,"dddd")</f>
        <v>Sunday</v>
      </c>
      <c r="B134" s="13" t="n">
        <f aca="false">Setup!$C$5+97</f>
        <v>46124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TEXT(Setup!$C$5+97,"dddd")</f>
        <v>Sunday</v>
      </c>
      <c r="B135" s="13" t="n">
        <f aca="false">Setup!$C$5+97</f>
        <v>46124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TEXT(Setup!$C$5+97,"dddd")</f>
        <v>Sunday</v>
      </c>
      <c r="B136" s="13" t="n">
        <f aca="false">Setup!$C$5+97</f>
        <v>46124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TEXT(Setup!$C$5+97,"dddd")</f>
        <v>Sunday</v>
      </c>
      <c r="B137" s="13" t="n">
        <f aca="false">Setup!$C$5+97</f>
        <v>46124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TEXT(Setup!$C$5+97,"dddd")</f>
        <v>Sunday</v>
      </c>
      <c r="B138" s="13" t="n">
        <f aca="false">Setup!$C$5+97</f>
        <v>46124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TEXT(Setup!$C$5+97,"dddd")</f>
        <v>Sunday</v>
      </c>
      <c r="B139" s="13" t="n">
        <f aca="false">Setup!$C$5+97</f>
        <v>46124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TEXT(Setup!$C$5+97,"dddd")</f>
        <v>Sunday</v>
      </c>
      <c r="B140" s="13" t="n">
        <f aca="false">Setup!$C$5+97</f>
        <v>46124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TEXT(Setup!$C$5+97,"dddd")</f>
        <v>Sunday</v>
      </c>
      <c r="B141" s="13" t="n">
        <f aca="false">Setup!$C$5+97</f>
        <v>46124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TEXT(Setup!$C$5+97,"dddd")</f>
        <v>Sunday</v>
      </c>
      <c r="B142" s="13" t="n">
        <f aca="false">Setup!$C$5+97</f>
        <v>46124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TEXT(Setup!$C$5+97,"dddd")</f>
        <v>Sunday</v>
      </c>
      <c r="B143" s="13" t="n">
        <f aca="false">Setup!$C$5+97</f>
        <v>46124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TEXT(Setup!$C$5+97,"dddd")</f>
        <v>Sunday</v>
      </c>
      <c r="B144" s="13" t="n">
        <f aca="false">Setup!$C$5+97</f>
        <v>46124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TEXT(Setup!$C$5+97,"dddd")</f>
        <v>Sunday</v>
      </c>
      <c r="B145" s="13" t="n">
        <f aca="false">Setup!$C$5+97</f>
        <v>46124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TEXT(Setup!$C$5+97,"dddd")</f>
        <v>Sunday</v>
      </c>
      <c r="B146" s="13" t="n">
        <f aca="false">Setup!$C$5+97</f>
        <v>46124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TEXT(Setup!$C$5+97,"dddd")</f>
        <v>Sunday</v>
      </c>
      <c r="B147" s="13" t="n">
        <f aca="false">Setup!$C$5+97</f>
        <v>46124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TEXT(Setup!$C$5+97,"dddd")</f>
        <v>Sunday</v>
      </c>
      <c r="B148" s="13" t="n">
        <f aca="false">Setup!$C$5+97</f>
        <v>46124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TEXT(Setup!$C$5+97,"dddd")</f>
        <v>Sunday</v>
      </c>
      <c r="B149" s="13" t="n">
        <f aca="false">Setup!$C$5+97</f>
        <v>46124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TEXT(Setup!$C$5+97,"dddd")</f>
        <v>Sunday</v>
      </c>
      <c r="B150" s="13" t="n">
        <f aca="false">Setup!$C$5+97</f>
        <v>46124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TEXT(Setup!$C$5+97,"dddd")</f>
        <v>Sunday</v>
      </c>
      <c r="B151" s="13" t="n">
        <f aca="false">Setup!$C$5+97</f>
        <v>46124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TEXT(Setup!$C$5+97,"dddd")</f>
        <v>Sunday</v>
      </c>
      <c r="B152" s="13" t="n">
        <f aca="false">Setup!$C$5+97</f>
        <v>46124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TEXT(Setup!$C$5+97,"dddd")</f>
        <v>Sunday</v>
      </c>
      <c r="B153" s="13" t="n">
        <f aca="false">Setup!$C$5+97</f>
        <v>46124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TEXT(Setup!$C$5+97,"dddd")</f>
        <v>Sunday</v>
      </c>
      <c r="B154" s="13" t="n">
        <f aca="false">Setup!$C$5+97</f>
        <v>46124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TEXT(Setup!$C$5+97,"dddd")</f>
        <v>Sunday</v>
      </c>
      <c r="B155" s="23" t="n">
        <f aca="false">Setup!$C$5+97</f>
        <v>46124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IFERROR(H155-Wk13!H155,"")</f>
        <v>0</v>
      </c>
      <c r="O155" s="24" t="n">
        <f aca="false">IFERROR(D155-Wk13!D155,"")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IFERROR(D156-Wk13!D156,"")</f>
        <v>0</v>
      </c>
      <c r="E157" s="34" t="n">
        <f aca="false">IFERROR(E156-Wk13!E156,"")</f>
        <v>0</v>
      </c>
      <c r="H157" s="32" t="n">
        <f aca="false">IFERROR(H156-Wk13!H156,"")</f>
        <v>0</v>
      </c>
      <c r="K157" s="32" t="n">
        <f aca="false">IFERROR(K156-Wk13!K156,"")</f>
        <v>0</v>
      </c>
      <c r="M157" s="32" t="n">
        <f aca="false">IFERROR(M156-Wk13!M156,"")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TEXT(Setup!$C$5+98,"dddd")</f>
        <v>Monday</v>
      </c>
      <c r="B2" s="13" t="n">
        <f aca="false">Setup!$C$5+98</f>
        <v>46125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TEXT(Setup!$C$5+98,"dddd")</f>
        <v>Monday</v>
      </c>
      <c r="B3" s="13" t="n">
        <f aca="false">Setup!$C$5+98</f>
        <v>46125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TEXT(Setup!$C$5+98,"dddd")</f>
        <v>Monday</v>
      </c>
      <c r="B4" s="13" t="n">
        <f aca="false">Setup!$C$5+98</f>
        <v>46125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TEXT(Setup!$C$5+98,"dddd")</f>
        <v>Monday</v>
      </c>
      <c r="B5" s="13" t="n">
        <f aca="false">Setup!$C$5+98</f>
        <v>46125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TEXT(Setup!$C$5+98,"dddd")</f>
        <v>Monday</v>
      </c>
      <c r="B6" s="13" t="n">
        <f aca="false">Setup!$C$5+98</f>
        <v>46125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TEXT(Setup!$C$5+98,"dddd")</f>
        <v>Monday</v>
      </c>
      <c r="B7" s="13" t="n">
        <f aca="false">Setup!$C$5+98</f>
        <v>46125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TEXT(Setup!$C$5+98,"dddd")</f>
        <v>Monday</v>
      </c>
      <c r="B8" s="13" t="n">
        <f aca="false">Setup!$C$5+98</f>
        <v>46125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TEXT(Setup!$C$5+98,"dddd")</f>
        <v>Monday</v>
      </c>
      <c r="B9" s="13" t="n">
        <f aca="false">Setup!$C$5+98</f>
        <v>46125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TEXT(Setup!$C$5+98,"dddd")</f>
        <v>Monday</v>
      </c>
      <c r="B10" s="13" t="n">
        <f aca="false">Setup!$C$5+98</f>
        <v>46125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TEXT(Setup!$C$5+98,"dddd")</f>
        <v>Monday</v>
      </c>
      <c r="B11" s="13" t="n">
        <f aca="false">Setup!$C$5+98</f>
        <v>46125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TEXT(Setup!$C$5+98,"dddd")</f>
        <v>Monday</v>
      </c>
      <c r="B12" s="13" t="n">
        <f aca="false">Setup!$C$5+98</f>
        <v>46125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TEXT(Setup!$C$5+98,"dddd")</f>
        <v>Monday</v>
      </c>
      <c r="B13" s="13" t="n">
        <f aca="false">Setup!$C$5+98</f>
        <v>46125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TEXT(Setup!$C$5+98,"dddd")</f>
        <v>Monday</v>
      </c>
      <c r="B14" s="13" t="n">
        <f aca="false">Setup!$C$5+98</f>
        <v>46125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TEXT(Setup!$C$5+98,"dddd")</f>
        <v>Monday</v>
      </c>
      <c r="B15" s="13" t="n">
        <f aca="false">Setup!$C$5+98</f>
        <v>46125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TEXT(Setup!$C$5+98,"dddd")</f>
        <v>Monday</v>
      </c>
      <c r="B16" s="13" t="n">
        <f aca="false">Setup!$C$5+98</f>
        <v>46125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TEXT(Setup!$C$5+98,"dddd")</f>
        <v>Monday</v>
      </c>
      <c r="B17" s="13" t="n">
        <f aca="false">Setup!$C$5+98</f>
        <v>46125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TEXT(Setup!$C$5+98,"dddd")</f>
        <v>Monday</v>
      </c>
      <c r="B18" s="13" t="n">
        <f aca="false">Setup!$C$5+98</f>
        <v>46125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TEXT(Setup!$C$5+98,"dddd")</f>
        <v>Monday</v>
      </c>
      <c r="B19" s="13" t="n">
        <f aca="false">Setup!$C$5+98</f>
        <v>46125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TEXT(Setup!$C$5+98,"dddd")</f>
        <v>Monday</v>
      </c>
      <c r="B20" s="13" t="n">
        <f aca="false">Setup!$C$5+98</f>
        <v>46125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TEXT(Setup!$C$5+98,"dddd")</f>
        <v>Monday</v>
      </c>
      <c r="B21" s="13" t="n">
        <f aca="false">Setup!$C$5+98</f>
        <v>46125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TEXT(Setup!$C$5+98,"dddd")</f>
        <v>Monday</v>
      </c>
      <c r="B22" s="13" t="n">
        <f aca="false">Setup!$C$5+98</f>
        <v>46125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TEXT(Setup!$C$5+98,"dddd")</f>
        <v>Monday</v>
      </c>
      <c r="B23" s="23" t="n">
        <f aca="false">Setup!$C$5+98</f>
        <v>46125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IFERROR(H23-Wk14!H23,"")</f>
        <v>0</v>
      </c>
      <c r="O23" s="24" t="n">
        <f aca="false">IFERROR(D23-Wk14!D23,"")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TEXT(Setup!$C$5+99,"dddd")</f>
        <v>Tuesday</v>
      </c>
      <c r="B24" s="13" t="n">
        <f aca="false">Setup!$C$5+99</f>
        <v>46126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TEXT(Setup!$C$5+99,"dddd")</f>
        <v>Tuesday</v>
      </c>
      <c r="B25" s="13" t="n">
        <f aca="false">Setup!$C$5+99</f>
        <v>46126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TEXT(Setup!$C$5+99,"dddd")</f>
        <v>Tuesday</v>
      </c>
      <c r="B26" s="13" t="n">
        <f aca="false">Setup!$C$5+99</f>
        <v>46126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TEXT(Setup!$C$5+99,"dddd")</f>
        <v>Tuesday</v>
      </c>
      <c r="B27" s="13" t="n">
        <f aca="false">Setup!$C$5+99</f>
        <v>46126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TEXT(Setup!$C$5+99,"dddd")</f>
        <v>Tuesday</v>
      </c>
      <c r="B28" s="13" t="n">
        <f aca="false">Setup!$C$5+99</f>
        <v>46126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TEXT(Setup!$C$5+99,"dddd")</f>
        <v>Tuesday</v>
      </c>
      <c r="B29" s="13" t="n">
        <f aca="false">Setup!$C$5+99</f>
        <v>46126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TEXT(Setup!$C$5+99,"dddd")</f>
        <v>Tuesday</v>
      </c>
      <c r="B30" s="13" t="n">
        <f aca="false">Setup!$C$5+99</f>
        <v>46126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TEXT(Setup!$C$5+99,"dddd")</f>
        <v>Tuesday</v>
      </c>
      <c r="B31" s="13" t="n">
        <f aca="false">Setup!$C$5+99</f>
        <v>46126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TEXT(Setup!$C$5+99,"dddd")</f>
        <v>Tuesday</v>
      </c>
      <c r="B32" s="13" t="n">
        <f aca="false">Setup!$C$5+99</f>
        <v>46126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TEXT(Setup!$C$5+99,"dddd")</f>
        <v>Tuesday</v>
      </c>
      <c r="B33" s="13" t="n">
        <f aca="false">Setup!$C$5+99</f>
        <v>46126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TEXT(Setup!$C$5+99,"dddd")</f>
        <v>Tuesday</v>
      </c>
      <c r="B34" s="13" t="n">
        <f aca="false">Setup!$C$5+99</f>
        <v>46126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TEXT(Setup!$C$5+99,"dddd")</f>
        <v>Tuesday</v>
      </c>
      <c r="B35" s="13" t="n">
        <f aca="false">Setup!$C$5+99</f>
        <v>46126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TEXT(Setup!$C$5+99,"dddd")</f>
        <v>Tuesday</v>
      </c>
      <c r="B36" s="13" t="n">
        <f aca="false">Setup!$C$5+99</f>
        <v>46126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TEXT(Setup!$C$5+99,"dddd")</f>
        <v>Tuesday</v>
      </c>
      <c r="B37" s="13" t="n">
        <f aca="false">Setup!$C$5+99</f>
        <v>46126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TEXT(Setup!$C$5+99,"dddd")</f>
        <v>Tuesday</v>
      </c>
      <c r="B38" s="13" t="n">
        <f aca="false">Setup!$C$5+99</f>
        <v>46126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TEXT(Setup!$C$5+99,"dddd")</f>
        <v>Tuesday</v>
      </c>
      <c r="B39" s="13" t="n">
        <f aca="false">Setup!$C$5+99</f>
        <v>46126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TEXT(Setup!$C$5+99,"dddd")</f>
        <v>Tuesday</v>
      </c>
      <c r="B40" s="13" t="n">
        <f aca="false">Setup!$C$5+99</f>
        <v>46126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TEXT(Setup!$C$5+99,"dddd")</f>
        <v>Tuesday</v>
      </c>
      <c r="B41" s="13" t="n">
        <f aca="false">Setup!$C$5+99</f>
        <v>46126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TEXT(Setup!$C$5+99,"dddd")</f>
        <v>Tuesday</v>
      </c>
      <c r="B42" s="13" t="n">
        <f aca="false">Setup!$C$5+99</f>
        <v>46126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TEXT(Setup!$C$5+99,"dddd")</f>
        <v>Tuesday</v>
      </c>
      <c r="B43" s="13" t="n">
        <f aca="false">Setup!$C$5+99</f>
        <v>46126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TEXT(Setup!$C$5+99,"dddd")</f>
        <v>Tuesday</v>
      </c>
      <c r="B44" s="13" t="n">
        <f aca="false">Setup!$C$5+99</f>
        <v>46126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TEXT(Setup!$C$5+99,"dddd")</f>
        <v>Tuesday</v>
      </c>
      <c r="B45" s="23" t="n">
        <f aca="false">Setup!$C$5+99</f>
        <v>46126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IFERROR(H45-Wk14!H45,"")</f>
        <v>0</v>
      </c>
      <c r="O45" s="24" t="n">
        <f aca="false">IFERROR(D45-Wk14!D45,"")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TEXT(Setup!$C$5+100,"dddd")</f>
        <v>Wednesday</v>
      </c>
      <c r="B46" s="13" t="n">
        <f aca="false">Setup!$C$5+100</f>
        <v>46127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TEXT(Setup!$C$5+100,"dddd")</f>
        <v>Wednesday</v>
      </c>
      <c r="B47" s="13" t="n">
        <f aca="false">Setup!$C$5+100</f>
        <v>46127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TEXT(Setup!$C$5+100,"dddd")</f>
        <v>Wednesday</v>
      </c>
      <c r="B48" s="13" t="n">
        <f aca="false">Setup!$C$5+100</f>
        <v>46127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TEXT(Setup!$C$5+100,"dddd")</f>
        <v>Wednesday</v>
      </c>
      <c r="B49" s="13" t="n">
        <f aca="false">Setup!$C$5+100</f>
        <v>46127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TEXT(Setup!$C$5+100,"dddd")</f>
        <v>Wednesday</v>
      </c>
      <c r="B50" s="13" t="n">
        <f aca="false">Setup!$C$5+100</f>
        <v>46127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TEXT(Setup!$C$5+100,"dddd")</f>
        <v>Wednesday</v>
      </c>
      <c r="B51" s="13" t="n">
        <f aca="false">Setup!$C$5+100</f>
        <v>46127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TEXT(Setup!$C$5+100,"dddd")</f>
        <v>Wednesday</v>
      </c>
      <c r="B52" s="13" t="n">
        <f aca="false">Setup!$C$5+100</f>
        <v>46127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TEXT(Setup!$C$5+100,"dddd")</f>
        <v>Wednesday</v>
      </c>
      <c r="B53" s="13" t="n">
        <f aca="false">Setup!$C$5+100</f>
        <v>46127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TEXT(Setup!$C$5+100,"dddd")</f>
        <v>Wednesday</v>
      </c>
      <c r="B54" s="13" t="n">
        <f aca="false">Setup!$C$5+100</f>
        <v>46127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TEXT(Setup!$C$5+100,"dddd")</f>
        <v>Wednesday</v>
      </c>
      <c r="B55" s="13" t="n">
        <f aca="false">Setup!$C$5+100</f>
        <v>46127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TEXT(Setup!$C$5+100,"dddd")</f>
        <v>Wednesday</v>
      </c>
      <c r="B56" s="13" t="n">
        <f aca="false">Setup!$C$5+100</f>
        <v>46127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TEXT(Setup!$C$5+100,"dddd")</f>
        <v>Wednesday</v>
      </c>
      <c r="B57" s="13" t="n">
        <f aca="false">Setup!$C$5+100</f>
        <v>46127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TEXT(Setup!$C$5+100,"dddd")</f>
        <v>Wednesday</v>
      </c>
      <c r="B58" s="13" t="n">
        <f aca="false">Setup!$C$5+100</f>
        <v>46127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TEXT(Setup!$C$5+100,"dddd")</f>
        <v>Wednesday</v>
      </c>
      <c r="B59" s="13" t="n">
        <f aca="false">Setup!$C$5+100</f>
        <v>46127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TEXT(Setup!$C$5+100,"dddd")</f>
        <v>Wednesday</v>
      </c>
      <c r="B60" s="13" t="n">
        <f aca="false">Setup!$C$5+100</f>
        <v>46127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TEXT(Setup!$C$5+100,"dddd")</f>
        <v>Wednesday</v>
      </c>
      <c r="B61" s="13" t="n">
        <f aca="false">Setup!$C$5+100</f>
        <v>46127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TEXT(Setup!$C$5+100,"dddd")</f>
        <v>Wednesday</v>
      </c>
      <c r="B62" s="13" t="n">
        <f aca="false">Setup!$C$5+100</f>
        <v>46127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TEXT(Setup!$C$5+100,"dddd")</f>
        <v>Wednesday</v>
      </c>
      <c r="B63" s="13" t="n">
        <f aca="false">Setup!$C$5+100</f>
        <v>46127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TEXT(Setup!$C$5+100,"dddd")</f>
        <v>Wednesday</v>
      </c>
      <c r="B64" s="13" t="n">
        <f aca="false">Setup!$C$5+100</f>
        <v>46127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TEXT(Setup!$C$5+100,"dddd")</f>
        <v>Wednesday</v>
      </c>
      <c r="B65" s="13" t="n">
        <f aca="false">Setup!$C$5+100</f>
        <v>46127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TEXT(Setup!$C$5+100,"dddd")</f>
        <v>Wednesday</v>
      </c>
      <c r="B66" s="13" t="n">
        <f aca="false">Setup!$C$5+100</f>
        <v>46127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TEXT(Setup!$C$5+100,"dddd")</f>
        <v>Wednesday</v>
      </c>
      <c r="B67" s="23" t="n">
        <f aca="false">Setup!$C$5+100</f>
        <v>46127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IFERROR(H67-Wk14!H67,"")</f>
        <v>0</v>
      </c>
      <c r="O67" s="24" t="n">
        <f aca="false">IFERROR(D67-Wk14!D67,"")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TEXT(Setup!$C$5+101,"dddd")</f>
        <v>Thursday</v>
      </c>
      <c r="B68" s="13" t="n">
        <f aca="false">Setup!$C$5+101</f>
        <v>46128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TEXT(Setup!$C$5+101,"dddd")</f>
        <v>Thursday</v>
      </c>
      <c r="B69" s="13" t="n">
        <f aca="false">Setup!$C$5+101</f>
        <v>46128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TEXT(Setup!$C$5+101,"dddd")</f>
        <v>Thursday</v>
      </c>
      <c r="B70" s="13" t="n">
        <f aca="false">Setup!$C$5+101</f>
        <v>46128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TEXT(Setup!$C$5+101,"dddd")</f>
        <v>Thursday</v>
      </c>
      <c r="B71" s="13" t="n">
        <f aca="false">Setup!$C$5+101</f>
        <v>46128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TEXT(Setup!$C$5+101,"dddd")</f>
        <v>Thursday</v>
      </c>
      <c r="B72" s="13" t="n">
        <f aca="false">Setup!$C$5+101</f>
        <v>46128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TEXT(Setup!$C$5+101,"dddd")</f>
        <v>Thursday</v>
      </c>
      <c r="B73" s="13" t="n">
        <f aca="false">Setup!$C$5+101</f>
        <v>46128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TEXT(Setup!$C$5+101,"dddd")</f>
        <v>Thursday</v>
      </c>
      <c r="B74" s="13" t="n">
        <f aca="false">Setup!$C$5+101</f>
        <v>46128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TEXT(Setup!$C$5+101,"dddd")</f>
        <v>Thursday</v>
      </c>
      <c r="B75" s="13" t="n">
        <f aca="false">Setup!$C$5+101</f>
        <v>46128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TEXT(Setup!$C$5+101,"dddd")</f>
        <v>Thursday</v>
      </c>
      <c r="B76" s="13" t="n">
        <f aca="false">Setup!$C$5+101</f>
        <v>46128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TEXT(Setup!$C$5+101,"dddd")</f>
        <v>Thursday</v>
      </c>
      <c r="B77" s="13" t="n">
        <f aca="false">Setup!$C$5+101</f>
        <v>46128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TEXT(Setup!$C$5+101,"dddd")</f>
        <v>Thursday</v>
      </c>
      <c r="B78" s="13" t="n">
        <f aca="false">Setup!$C$5+101</f>
        <v>46128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TEXT(Setup!$C$5+101,"dddd")</f>
        <v>Thursday</v>
      </c>
      <c r="B79" s="13" t="n">
        <f aca="false">Setup!$C$5+101</f>
        <v>46128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TEXT(Setup!$C$5+101,"dddd")</f>
        <v>Thursday</v>
      </c>
      <c r="B80" s="13" t="n">
        <f aca="false">Setup!$C$5+101</f>
        <v>46128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TEXT(Setup!$C$5+101,"dddd")</f>
        <v>Thursday</v>
      </c>
      <c r="B81" s="13" t="n">
        <f aca="false">Setup!$C$5+101</f>
        <v>46128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TEXT(Setup!$C$5+101,"dddd")</f>
        <v>Thursday</v>
      </c>
      <c r="B82" s="13" t="n">
        <f aca="false">Setup!$C$5+101</f>
        <v>46128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TEXT(Setup!$C$5+101,"dddd")</f>
        <v>Thursday</v>
      </c>
      <c r="B83" s="13" t="n">
        <f aca="false">Setup!$C$5+101</f>
        <v>46128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TEXT(Setup!$C$5+101,"dddd")</f>
        <v>Thursday</v>
      </c>
      <c r="B84" s="13" t="n">
        <f aca="false">Setup!$C$5+101</f>
        <v>46128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TEXT(Setup!$C$5+101,"dddd")</f>
        <v>Thursday</v>
      </c>
      <c r="B85" s="13" t="n">
        <f aca="false">Setup!$C$5+101</f>
        <v>46128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TEXT(Setup!$C$5+101,"dddd")</f>
        <v>Thursday</v>
      </c>
      <c r="B86" s="13" t="n">
        <f aca="false">Setup!$C$5+101</f>
        <v>46128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TEXT(Setup!$C$5+101,"dddd")</f>
        <v>Thursday</v>
      </c>
      <c r="B87" s="13" t="n">
        <f aca="false">Setup!$C$5+101</f>
        <v>46128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TEXT(Setup!$C$5+101,"dddd")</f>
        <v>Thursday</v>
      </c>
      <c r="B88" s="13" t="n">
        <f aca="false">Setup!$C$5+101</f>
        <v>46128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TEXT(Setup!$C$5+101,"dddd")</f>
        <v>Thursday</v>
      </c>
      <c r="B89" s="23" t="n">
        <f aca="false">Setup!$C$5+101</f>
        <v>46128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IFERROR(H89-Wk14!H89,"")</f>
        <v>0</v>
      </c>
      <c r="O89" s="24" t="n">
        <f aca="false">IFERROR(D89-Wk14!D89,"")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TEXT(Setup!$C$5+102,"dddd")</f>
        <v>Friday</v>
      </c>
      <c r="B90" s="13" t="n">
        <f aca="false">Setup!$C$5+102</f>
        <v>46129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TEXT(Setup!$C$5+102,"dddd")</f>
        <v>Friday</v>
      </c>
      <c r="B91" s="13" t="n">
        <f aca="false">Setup!$C$5+102</f>
        <v>46129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TEXT(Setup!$C$5+102,"dddd")</f>
        <v>Friday</v>
      </c>
      <c r="B92" s="13" t="n">
        <f aca="false">Setup!$C$5+102</f>
        <v>46129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TEXT(Setup!$C$5+102,"dddd")</f>
        <v>Friday</v>
      </c>
      <c r="B93" s="13" t="n">
        <f aca="false">Setup!$C$5+102</f>
        <v>46129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TEXT(Setup!$C$5+102,"dddd")</f>
        <v>Friday</v>
      </c>
      <c r="B94" s="13" t="n">
        <f aca="false">Setup!$C$5+102</f>
        <v>46129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TEXT(Setup!$C$5+102,"dddd")</f>
        <v>Friday</v>
      </c>
      <c r="B95" s="13" t="n">
        <f aca="false">Setup!$C$5+102</f>
        <v>46129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TEXT(Setup!$C$5+102,"dddd")</f>
        <v>Friday</v>
      </c>
      <c r="B96" s="13" t="n">
        <f aca="false">Setup!$C$5+102</f>
        <v>46129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TEXT(Setup!$C$5+102,"dddd")</f>
        <v>Friday</v>
      </c>
      <c r="B97" s="13" t="n">
        <f aca="false">Setup!$C$5+102</f>
        <v>46129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TEXT(Setup!$C$5+102,"dddd")</f>
        <v>Friday</v>
      </c>
      <c r="B98" s="13" t="n">
        <f aca="false">Setup!$C$5+102</f>
        <v>46129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TEXT(Setup!$C$5+102,"dddd")</f>
        <v>Friday</v>
      </c>
      <c r="B99" s="13" t="n">
        <f aca="false">Setup!$C$5+102</f>
        <v>46129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TEXT(Setup!$C$5+102,"dddd")</f>
        <v>Friday</v>
      </c>
      <c r="B100" s="13" t="n">
        <f aca="false">Setup!$C$5+102</f>
        <v>46129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TEXT(Setup!$C$5+102,"dddd")</f>
        <v>Friday</v>
      </c>
      <c r="B101" s="13" t="n">
        <f aca="false">Setup!$C$5+102</f>
        <v>46129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TEXT(Setup!$C$5+102,"dddd")</f>
        <v>Friday</v>
      </c>
      <c r="B102" s="13" t="n">
        <f aca="false">Setup!$C$5+102</f>
        <v>46129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TEXT(Setup!$C$5+102,"dddd")</f>
        <v>Friday</v>
      </c>
      <c r="B103" s="13" t="n">
        <f aca="false">Setup!$C$5+102</f>
        <v>46129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TEXT(Setup!$C$5+102,"dddd")</f>
        <v>Friday</v>
      </c>
      <c r="B104" s="13" t="n">
        <f aca="false">Setup!$C$5+102</f>
        <v>46129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TEXT(Setup!$C$5+102,"dddd")</f>
        <v>Friday</v>
      </c>
      <c r="B105" s="13" t="n">
        <f aca="false">Setup!$C$5+102</f>
        <v>46129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TEXT(Setup!$C$5+102,"dddd")</f>
        <v>Friday</v>
      </c>
      <c r="B106" s="13" t="n">
        <f aca="false">Setup!$C$5+102</f>
        <v>46129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TEXT(Setup!$C$5+102,"dddd")</f>
        <v>Friday</v>
      </c>
      <c r="B107" s="13" t="n">
        <f aca="false">Setup!$C$5+102</f>
        <v>46129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TEXT(Setup!$C$5+102,"dddd")</f>
        <v>Friday</v>
      </c>
      <c r="B108" s="13" t="n">
        <f aca="false">Setup!$C$5+102</f>
        <v>46129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TEXT(Setup!$C$5+102,"dddd")</f>
        <v>Friday</v>
      </c>
      <c r="B109" s="13" t="n">
        <f aca="false">Setup!$C$5+102</f>
        <v>46129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TEXT(Setup!$C$5+102,"dddd")</f>
        <v>Friday</v>
      </c>
      <c r="B110" s="13" t="n">
        <f aca="false">Setup!$C$5+102</f>
        <v>46129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TEXT(Setup!$C$5+102,"dddd")</f>
        <v>Friday</v>
      </c>
      <c r="B111" s="23" t="n">
        <f aca="false">Setup!$C$5+102</f>
        <v>46129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IFERROR(H111-Wk14!H111,"")</f>
        <v>0</v>
      </c>
      <c r="O111" s="24" t="n">
        <f aca="false">IFERROR(D111-Wk14!D111,"")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TEXT(Setup!$C$5+103,"dddd")</f>
        <v>Saturday</v>
      </c>
      <c r="B112" s="13" t="n">
        <f aca="false">Setup!$C$5+103</f>
        <v>46130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TEXT(Setup!$C$5+103,"dddd")</f>
        <v>Saturday</v>
      </c>
      <c r="B113" s="13" t="n">
        <f aca="false">Setup!$C$5+103</f>
        <v>46130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TEXT(Setup!$C$5+103,"dddd")</f>
        <v>Saturday</v>
      </c>
      <c r="B114" s="13" t="n">
        <f aca="false">Setup!$C$5+103</f>
        <v>46130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TEXT(Setup!$C$5+103,"dddd")</f>
        <v>Saturday</v>
      </c>
      <c r="B115" s="13" t="n">
        <f aca="false">Setup!$C$5+103</f>
        <v>46130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TEXT(Setup!$C$5+103,"dddd")</f>
        <v>Saturday</v>
      </c>
      <c r="B116" s="13" t="n">
        <f aca="false">Setup!$C$5+103</f>
        <v>46130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TEXT(Setup!$C$5+103,"dddd")</f>
        <v>Saturday</v>
      </c>
      <c r="B117" s="13" t="n">
        <f aca="false">Setup!$C$5+103</f>
        <v>46130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TEXT(Setup!$C$5+103,"dddd")</f>
        <v>Saturday</v>
      </c>
      <c r="B118" s="13" t="n">
        <f aca="false">Setup!$C$5+103</f>
        <v>46130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TEXT(Setup!$C$5+103,"dddd")</f>
        <v>Saturday</v>
      </c>
      <c r="B119" s="13" t="n">
        <f aca="false">Setup!$C$5+103</f>
        <v>46130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TEXT(Setup!$C$5+103,"dddd")</f>
        <v>Saturday</v>
      </c>
      <c r="B120" s="13" t="n">
        <f aca="false">Setup!$C$5+103</f>
        <v>46130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TEXT(Setup!$C$5+103,"dddd")</f>
        <v>Saturday</v>
      </c>
      <c r="B121" s="13" t="n">
        <f aca="false">Setup!$C$5+103</f>
        <v>46130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TEXT(Setup!$C$5+103,"dddd")</f>
        <v>Saturday</v>
      </c>
      <c r="B122" s="13" t="n">
        <f aca="false">Setup!$C$5+103</f>
        <v>46130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TEXT(Setup!$C$5+103,"dddd")</f>
        <v>Saturday</v>
      </c>
      <c r="B123" s="13" t="n">
        <f aca="false">Setup!$C$5+103</f>
        <v>46130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TEXT(Setup!$C$5+103,"dddd")</f>
        <v>Saturday</v>
      </c>
      <c r="B124" s="13" t="n">
        <f aca="false">Setup!$C$5+103</f>
        <v>46130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TEXT(Setup!$C$5+103,"dddd")</f>
        <v>Saturday</v>
      </c>
      <c r="B125" s="13" t="n">
        <f aca="false">Setup!$C$5+103</f>
        <v>46130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TEXT(Setup!$C$5+103,"dddd")</f>
        <v>Saturday</v>
      </c>
      <c r="B126" s="13" t="n">
        <f aca="false">Setup!$C$5+103</f>
        <v>46130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TEXT(Setup!$C$5+103,"dddd")</f>
        <v>Saturday</v>
      </c>
      <c r="B127" s="13" t="n">
        <f aca="false">Setup!$C$5+103</f>
        <v>46130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TEXT(Setup!$C$5+103,"dddd")</f>
        <v>Saturday</v>
      </c>
      <c r="B128" s="13" t="n">
        <f aca="false">Setup!$C$5+103</f>
        <v>46130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TEXT(Setup!$C$5+103,"dddd")</f>
        <v>Saturday</v>
      </c>
      <c r="B129" s="13" t="n">
        <f aca="false">Setup!$C$5+103</f>
        <v>46130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TEXT(Setup!$C$5+103,"dddd")</f>
        <v>Saturday</v>
      </c>
      <c r="B130" s="13" t="n">
        <f aca="false">Setup!$C$5+103</f>
        <v>46130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TEXT(Setup!$C$5+103,"dddd")</f>
        <v>Saturday</v>
      </c>
      <c r="B131" s="13" t="n">
        <f aca="false">Setup!$C$5+103</f>
        <v>46130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TEXT(Setup!$C$5+103,"dddd")</f>
        <v>Saturday</v>
      </c>
      <c r="B132" s="13" t="n">
        <f aca="false">Setup!$C$5+103</f>
        <v>46130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TEXT(Setup!$C$5+103,"dddd")</f>
        <v>Saturday</v>
      </c>
      <c r="B133" s="23" t="n">
        <f aca="false">Setup!$C$5+103</f>
        <v>46130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IFERROR(H133-Wk14!H133,"")</f>
        <v>0</v>
      </c>
      <c r="O133" s="24" t="n">
        <f aca="false">IFERROR(D133-Wk14!D133,"")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TEXT(Setup!$C$5+104,"dddd")</f>
        <v>Sunday</v>
      </c>
      <c r="B134" s="13" t="n">
        <f aca="false">Setup!$C$5+104</f>
        <v>46131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TEXT(Setup!$C$5+104,"dddd")</f>
        <v>Sunday</v>
      </c>
      <c r="B135" s="13" t="n">
        <f aca="false">Setup!$C$5+104</f>
        <v>46131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TEXT(Setup!$C$5+104,"dddd")</f>
        <v>Sunday</v>
      </c>
      <c r="B136" s="13" t="n">
        <f aca="false">Setup!$C$5+104</f>
        <v>46131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TEXT(Setup!$C$5+104,"dddd")</f>
        <v>Sunday</v>
      </c>
      <c r="B137" s="13" t="n">
        <f aca="false">Setup!$C$5+104</f>
        <v>46131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TEXT(Setup!$C$5+104,"dddd")</f>
        <v>Sunday</v>
      </c>
      <c r="B138" s="13" t="n">
        <f aca="false">Setup!$C$5+104</f>
        <v>46131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TEXT(Setup!$C$5+104,"dddd")</f>
        <v>Sunday</v>
      </c>
      <c r="B139" s="13" t="n">
        <f aca="false">Setup!$C$5+104</f>
        <v>46131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TEXT(Setup!$C$5+104,"dddd")</f>
        <v>Sunday</v>
      </c>
      <c r="B140" s="13" t="n">
        <f aca="false">Setup!$C$5+104</f>
        <v>46131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TEXT(Setup!$C$5+104,"dddd")</f>
        <v>Sunday</v>
      </c>
      <c r="B141" s="13" t="n">
        <f aca="false">Setup!$C$5+104</f>
        <v>46131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TEXT(Setup!$C$5+104,"dddd")</f>
        <v>Sunday</v>
      </c>
      <c r="B142" s="13" t="n">
        <f aca="false">Setup!$C$5+104</f>
        <v>46131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TEXT(Setup!$C$5+104,"dddd")</f>
        <v>Sunday</v>
      </c>
      <c r="B143" s="13" t="n">
        <f aca="false">Setup!$C$5+104</f>
        <v>46131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TEXT(Setup!$C$5+104,"dddd")</f>
        <v>Sunday</v>
      </c>
      <c r="B144" s="13" t="n">
        <f aca="false">Setup!$C$5+104</f>
        <v>46131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TEXT(Setup!$C$5+104,"dddd")</f>
        <v>Sunday</v>
      </c>
      <c r="B145" s="13" t="n">
        <f aca="false">Setup!$C$5+104</f>
        <v>46131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TEXT(Setup!$C$5+104,"dddd")</f>
        <v>Sunday</v>
      </c>
      <c r="B146" s="13" t="n">
        <f aca="false">Setup!$C$5+104</f>
        <v>46131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TEXT(Setup!$C$5+104,"dddd")</f>
        <v>Sunday</v>
      </c>
      <c r="B147" s="13" t="n">
        <f aca="false">Setup!$C$5+104</f>
        <v>46131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TEXT(Setup!$C$5+104,"dddd")</f>
        <v>Sunday</v>
      </c>
      <c r="B148" s="13" t="n">
        <f aca="false">Setup!$C$5+104</f>
        <v>46131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TEXT(Setup!$C$5+104,"dddd")</f>
        <v>Sunday</v>
      </c>
      <c r="B149" s="13" t="n">
        <f aca="false">Setup!$C$5+104</f>
        <v>46131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TEXT(Setup!$C$5+104,"dddd")</f>
        <v>Sunday</v>
      </c>
      <c r="B150" s="13" t="n">
        <f aca="false">Setup!$C$5+104</f>
        <v>46131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TEXT(Setup!$C$5+104,"dddd")</f>
        <v>Sunday</v>
      </c>
      <c r="B151" s="13" t="n">
        <f aca="false">Setup!$C$5+104</f>
        <v>46131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TEXT(Setup!$C$5+104,"dddd")</f>
        <v>Sunday</v>
      </c>
      <c r="B152" s="13" t="n">
        <f aca="false">Setup!$C$5+104</f>
        <v>46131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TEXT(Setup!$C$5+104,"dddd")</f>
        <v>Sunday</v>
      </c>
      <c r="B153" s="13" t="n">
        <f aca="false">Setup!$C$5+104</f>
        <v>46131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TEXT(Setup!$C$5+104,"dddd")</f>
        <v>Sunday</v>
      </c>
      <c r="B154" s="13" t="n">
        <f aca="false">Setup!$C$5+104</f>
        <v>46131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TEXT(Setup!$C$5+104,"dddd")</f>
        <v>Sunday</v>
      </c>
      <c r="B155" s="23" t="n">
        <f aca="false">Setup!$C$5+104</f>
        <v>46131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IFERROR(H155-Wk14!H155,"")</f>
        <v>0</v>
      </c>
      <c r="O155" s="24" t="n">
        <f aca="false">IFERROR(D155-Wk14!D155,"")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IFERROR(D156-Wk14!D156,"")</f>
        <v>0</v>
      </c>
      <c r="E157" s="34" t="n">
        <f aca="false">IFERROR(E156-Wk14!E156,"")</f>
        <v>0</v>
      </c>
      <c r="H157" s="32" t="n">
        <f aca="false">IFERROR(H156-Wk14!H156,"")</f>
        <v>0</v>
      </c>
      <c r="K157" s="32" t="n">
        <f aca="false">IFERROR(K156-Wk14!K156,"")</f>
        <v>0</v>
      </c>
      <c r="M157" s="32" t="n">
        <f aca="false">IFERROR(M156-Wk14!M156,"")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TEXT(Setup!$C$5+105,"dddd")</f>
        <v>Monday</v>
      </c>
      <c r="B2" s="13" t="n">
        <f aca="false">Setup!$C$5+105</f>
        <v>46132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TEXT(Setup!$C$5+105,"dddd")</f>
        <v>Monday</v>
      </c>
      <c r="B3" s="13" t="n">
        <f aca="false">Setup!$C$5+105</f>
        <v>46132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TEXT(Setup!$C$5+105,"dddd")</f>
        <v>Monday</v>
      </c>
      <c r="B4" s="13" t="n">
        <f aca="false">Setup!$C$5+105</f>
        <v>46132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TEXT(Setup!$C$5+105,"dddd")</f>
        <v>Monday</v>
      </c>
      <c r="B5" s="13" t="n">
        <f aca="false">Setup!$C$5+105</f>
        <v>46132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TEXT(Setup!$C$5+105,"dddd")</f>
        <v>Monday</v>
      </c>
      <c r="B6" s="13" t="n">
        <f aca="false">Setup!$C$5+105</f>
        <v>46132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TEXT(Setup!$C$5+105,"dddd")</f>
        <v>Monday</v>
      </c>
      <c r="B7" s="13" t="n">
        <f aca="false">Setup!$C$5+105</f>
        <v>46132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TEXT(Setup!$C$5+105,"dddd")</f>
        <v>Monday</v>
      </c>
      <c r="B8" s="13" t="n">
        <f aca="false">Setup!$C$5+105</f>
        <v>46132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TEXT(Setup!$C$5+105,"dddd")</f>
        <v>Monday</v>
      </c>
      <c r="B9" s="13" t="n">
        <f aca="false">Setup!$C$5+105</f>
        <v>46132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TEXT(Setup!$C$5+105,"dddd")</f>
        <v>Monday</v>
      </c>
      <c r="B10" s="13" t="n">
        <f aca="false">Setup!$C$5+105</f>
        <v>46132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TEXT(Setup!$C$5+105,"dddd")</f>
        <v>Monday</v>
      </c>
      <c r="B11" s="13" t="n">
        <f aca="false">Setup!$C$5+105</f>
        <v>46132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TEXT(Setup!$C$5+105,"dddd")</f>
        <v>Monday</v>
      </c>
      <c r="B12" s="13" t="n">
        <f aca="false">Setup!$C$5+105</f>
        <v>46132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TEXT(Setup!$C$5+105,"dddd")</f>
        <v>Monday</v>
      </c>
      <c r="B13" s="13" t="n">
        <f aca="false">Setup!$C$5+105</f>
        <v>46132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TEXT(Setup!$C$5+105,"dddd")</f>
        <v>Monday</v>
      </c>
      <c r="B14" s="13" t="n">
        <f aca="false">Setup!$C$5+105</f>
        <v>46132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TEXT(Setup!$C$5+105,"dddd")</f>
        <v>Monday</v>
      </c>
      <c r="B15" s="13" t="n">
        <f aca="false">Setup!$C$5+105</f>
        <v>46132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TEXT(Setup!$C$5+105,"dddd")</f>
        <v>Monday</v>
      </c>
      <c r="B16" s="13" t="n">
        <f aca="false">Setup!$C$5+105</f>
        <v>46132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TEXT(Setup!$C$5+105,"dddd")</f>
        <v>Monday</v>
      </c>
      <c r="B17" s="13" t="n">
        <f aca="false">Setup!$C$5+105</f>
        <v>46132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TEXT(Setup!$C$5+105,"dddd")</f>
        <v>Monday</v>
      </c>
      <c r="B18" s="13" t="n">
        <f aca="false">Setup!$C$5+105</f>
        <v>46132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TEXT(Setup!$C$5+105,"dddd")</f>
        <v>Monday</v>
      </c>
      <c r="B19" s="13" t="n">
        <f aca="false">Setup!$C$5+105</f>
        <v>46132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TEXT(Setup!$C$5+105,"dddd")</f>
        <v>Monday</v>
      </c>
      <c r="B20" s="13" t="n">
        <f aca="false">Setup!$C$5+105</f>
        <v>46132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TEXT(Setup!$C$5+105,"dddd")</f>
        <v>Monday</v>
      </c>
      <c r="B21" s="13" t="n">
        <f aca="false">Setup!$C$5+105</f>
        <v>46132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TEXT(Setup!$C$5+105,"dddd")</f>
        <v>Monday</v>
      </c>
      <c r="B22" s="13" t="n">
        <f aca="false">Setup!$C$5+105</f>
        <v>46132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TEXT(Setup!$C$5+105,"dddd")</f>
        <v>Monday</v>
      </c>
      <c r="B23" s="23" t="n">
        <f aca="false">Setup!$C$5+105</f>
        <v>46132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IFERROR(H23-Wk15!H23,"")</f>
        <v>0</v>
      </c>
      <c r="O23" s="24" t="n">
        <f aca="false">IFERROR(D23-Wk15!D23,"")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TEXT(Setup!$C$5+106,"dddd")</f>
        <v>Tuesday</v>
      </c>
      <c r="B24" s="13" t="n">
        <f aca="false">Setup!$C$5+106</f>
        <v>46133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TEXT(Setup!$C$5+106,"dddd")</f>
        <v>Tuesday</v>
      </c>
      <c r="B25" s="13" t="n">
        <f aca="false">Setup!$C$5+106</f>
        <v>46133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TEXT(Setup!$C$5+106,"dddd")</f>
        <v>Tuesday</v>
      </c>
      <c r="B26" s="13" t="n">
        <f aca="false">Setup!$C$5+106</f>
        <v>46133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TEXT(Setup!$C$5+106,"dddd")</f>
        <v>Tuesday</v>
      </c>
      <c r="B27" s="13" t="n">
        <f aca="false">Setup!$C$5+106</f>
        <v>46133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TEXT(Setup!$C$5+106,"dddd")</f>
        <v>Tuesday</v>
      </c>
      <c r="B28" s="13" t="n">
        <f aca="false">Setup!$C$5+106</f>
        <v>46133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TEXT(Setup!$C$5+106,"dddd")</f>
        <v>Tuesday</v>
      </c>
      <c r="B29" s="13" t="n">
        <f aca="false">Setup!$C$5+106</f>
        <v>46133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TEXT(Setup!$C$5+106,"dddd")</f>
        <v>Tuesday</v>
      </c>
      <c r="B30" s="13" t="n">
        <f aca="false">Setup!$C$5+106</f>
        <v>46133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TEXT(Setup!$C$5+106,"dddd")</f>
        <v>Tuesday</v>
      </c>
      <c r="B31" s="13" t="n">
        <f aca="false">Setup!$C$5+106</f>
        <v>46133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TEXT(Setup!$C$5+106,"dddd")</f>
        <v>Tuesday</v>
      </c>
      <c r="B32" s="13" t="n">
        <f aca="false">Setup!$C$5+106</f>
        <v>46133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TEXT(Setup!$C$5+106,"dddd")</f>
        <v>Tuesday</v>
      </c>
      <c r="B33" s="13" t="n">
        <f aca="false">Setup!$C$5+106</f>
        <v>46133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TEXT(Setup!$C$5+106,"dddd")</f>
        <v>Tuesday</v>
      </c>
      <c r="B34" s="13" t="n">
        <f aca="false">Setup!$C$5+106</f>
        <v>46133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TEXT(Setup!$C$5+106,"dddd")</f>
        <v>Tuesday</v>
      </c>
      <c r="B35" s="13" t="n">
        <f aca="false">Setup!$C$5+106</f>
        <v>46133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TEXT(Setup!$C$5+106,"dddd")</f>
        <v>Tuesday</v>
      </c>
      <c r="B36" s="13" t="n">
        <f aca="false">Setup!$C$5+106</f>
        <v>46133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TEXT(Setup!$C$5+106,"dddd")</f>
        <v>Tuesday</v>
      </c>
      <c r="B37" s="13" t="n">
        <f aca="false">Setup!$C$5+106</f>
        <v>46133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TEXT(Setup!$C$5+106,"dddd")</f>
        <v>Tuesday</v>
      </c>
      <c r="B38" s="13" t="n">
        <f aca="false">Setup!$C$5+106</f>
        <v>46133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TEXT(Setup!$C$5+106,"dddd")</f>
        <v>Tuesday</v>
      </c>
      <c r="B39" s="13" t="n">
        <f aca="false">Setup!$C$5+106</f>
        <v>46133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TEXT(Setup!$C$5+106,"dddd")</f>
        <v>Tuesday</v>
      </c>
      <c r="B40" s="13" t="n">
        <f aca="false">Setup!$C$5+106</f>
        <v>46133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TEXT(Setup!$C$5+106,"dddd")</f>
        <v>Tuesday</v>
      </c>
      <c r="B41" s="13" t="n">
        <f aca="false">Setup!$C$5+106</f>
        <v>46133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TEXT(Setup!$C$5+106,"dddd")</f>
        <v>Tuesday</v>
      </c>
      <c r="B42" s="13" t="n">
        <f aca="false">Setup!$C$5+106</f>
        <v>46133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TEXT(Setup!$C$5+106,"dddd")</f>
        <v>Tuesday</v>
      </c>
      <c r="B43" s="13" t="n">
        <f aca="false">Setup!$C$5+106</f>
        <v>46133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TEXT(Setup!$C$5+106,"dddd")</f>
        <v>Tuesday</v>
      </c>
      <c r="B44" s="13" t="n">
        <f aca="false">Setup!$C$5+106</f>
        <v>46133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TEXT(Setup!$C$5+106,"dddd")</f>
        <v>Tuesday</v>
      </c>
      <c r="B45" s="23" t="n">
        <f aca="false">Setup!$C$5+106</f>
        <v>46133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IFERROR(H45-Wk15!H45,"")</f>
        <v>0</v>
      </c>
      <c r="O45" s="24" t="n">
        <f aca="false">IFERROR(D45-Wk15!D45,"")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TEXT(Setup!$C$5+107,"dddd")</f>
        <v>Wednesday</v>
      </c>
      <c r="B46" s="13" t="n">
        <f aca="false">Setup!$C$5+107</f>
        <v>46134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TEXT(Setup!$C$5+107,"dddd")</f>
        <v>Wednesday</v>
      </c>
      <c r="B47" s="13" t="n">
        <f aca="false">Setup!$C$5+107</f>
        <v>46134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TEXT(Setup!$C$5+107,"dddd")</f>
        <v>Wednesday</v>
      </c>
      <c r="B48" s="13" t="n">
        <f aca="false">Setup!$C$5+107</f>
        <v>46134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TEXT(Setup!$C$5+107,"dddd")</f>
        <v>Wednesday</v>
      </c>
      <c r="B49" s="13" t="n">
        <f aca="false">Setup!$C$5+107</f>
        <v>46134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TEXT(Setup!$C$5+107,"dddd")</f>
        <v>Wednesday</v>
      </c>
      <c r="B50" s="13" t="n">
        <f aca="false">Setup!$C$5+107</f>
        <v>46134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TEXT(Setup!$C$5+107,"dddd")</f>
        <v>Wednesday</v>
      </c>
      <c r="B51" s="13" t="n">
        <f aca="false">Setup!$C$5+107</f>
        <v>46134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TEXT(Setup!$C$5+107,"dddd")</f>
        <v>Wednesday</v>
      </c>
      <c r="B52" s="13" t="n">
        <f aca="false">Setup!$C$5+107</f>
        <v>46134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TEXT(Setup!$C$5+107,"dddd")</f>
        <v>Wednesday</v>
      </c>
      <c r="B53" s="13" t="n">
        <f aca="false">Setup!$C$5+107</f>
        <v>46134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TEXT(Setup!$C$5+107,"dddd")</f>
        <v>Wednesday</v>
      </c>
      <c r="B54" s="13" t="n">
        <f aca="false">Setup!$C$5+107</f>
        <v>46134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TEXT(Setup!$C$5+107,"dddd")</f>
        <v>Wednesday</v>
      </c>
      <c r="B55" s="13" t="n">
        <f aca="false">Setup!$C$5+107</f>
        <v>46134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TEXT(Setup!$C$5+107,"dddd")</f>
        <v>Wednesday</v>
      </c>
      <c r="B56" s="13" t="n">
        <f aca="false">Setup!$C$5+107</f>
        <v>46134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TEXT(Setup!$C$5+107,"dddd")</f>
        <v>Wednesday</v>
      </c>
      <c r="B57" s="13" t="n">
        <f aca="false">Setup!$C$5+107</f>
        <v>46134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TEXT(Setup!$C$5+107,"dddd")</f>
        <v>Wednesday</v>
      </c>
      <c r="B58" s="13" t="n">
        <f aca="false">Setup!$C$5+107</f>
        <v>46134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TEXT(Setup!$C$5+107,"dddd")</f>
        <v>Wednesday</v>
      </c>
      <c r="B59" s="13" t="n">
        <f aca="false">Setup!$C$5+107</f>
        <v>46134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TEXT(Setup!$C$5+107,"dddd")</f>
        <v>Wednesday</v>
      </c>
      <c r="B60" s="13" t="n">
        <f aca="false">Setup!$C$5+107</f>
        <v>46134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TEXT(Setup!$C$5+107,"dddd")</f>
        <v>Wednesday</v>
      </c>
      <c r="B61" s="13" t="n">
        <f aca="false">Setup!$C$5+107</f>
        <v>46134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TEXT(Setup!$C$5+107,"dddd")</f>
        <v>Wednesday</v>
      </c>
      <c r="B62" s="13" t="n">
        <f aca="false">Setup!$C$5+107</f>
        <v>46134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TEXT(Setup!$C$5+107,"dddd")</f>
        <v>Wednesday</v>
      </c>
      <c r="B63" s="13" t="n">
        <f aca="false">Setup!$C$5+107</f>
        <v>46134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TEXT(Setup!$C$5+107,"dddd")</f>
        <v>Wednesday</v>
      </c>
      <c r="B64" s="13" t="n">
        <f aca="false">Setup!$C$5+107</f>
        <v>46134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TEXT(Setup!$C$5+107,"dddd")</f>
        <v>Wednesday</v>
      </c>
      <c r="B65" s="13" t="n">
        <f aca="false">Setup!$C$5+107</f>
        <v>46134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TEXT(Setup!$C$5+107,"dddd")</f>
        <v>Wednesday</v>
      </c>
      <c r="B66" s="13" t="n">
        <f aca="false">Setup!$C$5+107</f>
        <v>46134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TEXT(Setup!$C$5+107,"dddd")</f>
        <v>Wednesday</v>
      </c>
      <c r="B67" s="23" t="n">
        <f aca="false">Setup!$C$5+107</f>
        <v>46134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IFERROR(H67-Wk15!H67,"")</f>
        <v>0</v>
      </c>
      <c r="O67" s="24" t="n">
        <f aca="false">IFERROR(D67-Wk15!D67,"")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TEXT(Setup!$C$5+108,"dddd")</f>
        <v>Thursday</v>
      </c>
      <c r="B68" s="13" t="n">
        <f aca="false">Setup!$C$5+108</f>
        <v>46135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TEXT(Setup!$C$5+108,"dddd")</f>
        <v>Thursday</v>
      </c>
      <c r="B69" s="13" t="n">
        <f aca="false">Setup!$C$5+108</f>
        <v>46135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TEXT(Setup!$C$5+108,"dddd")</f>
        <v>Thursday</v>
      </c>
      <c r="B70" s="13" t="n">
        <f aca="false">Setup!$C$5+108</f>
        <v>46135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TEXT(Setup!$C$5+108,"dddd")</f>
        <v>Thursday</v>
      </c>
      <c r="B71" s="13" t="n">
        <f aca="false">Setup!$C$5+108</f>
        <v>46135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TEXT(Setup!$C$5+108,"dddd")</f>
        <v>Thursday</v>
      </c>
      <c r="B72" s="13" t="n">
        <f aca="false">Setup!$C$5+108</f>
        <v>46135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TEXT(Setup!$C$5+108,"dddd")</f>
        <v>Thursday</v>
      </c>
      <c r="B73" s="13" t="n">
        <f aca="false">Setup!$C$5+108</f>
        <v>46135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TEXT(Setup!$C$5+108,"dddd")</f>
        <v>Thursday</v>
      </c>
      <c r="B74" s="13" t="n">
        <f aca="false">Setup!$C$5+108</f>
        <v>46135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TEXT(Setup!$C$5+108,"dddd")</f>
        <v>Thursday</v>
      </c>
      <c r="B75" s="13" t="n">
        <f aca="false">Setup!$C$5+108</f>
        <v>46135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TEXT(Setup!$C$5+108,"dddd")</f>
        <v>Thursday</v>
      </c>
      <c r="B76" s="13" t="n">
        <f aca="false">Setup!$C$5+108</f>
        <v>46135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TEXT(Setup!$C$5+108,"dddd")</f>
        <v>Thursday</v>
      </c>
      <c r="B77" s="13" t="n">
        <f aca="false">Setup!$C$5+108</f>
        <v>46135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TEXT(Setup!$C$5+108,"dddd")</f>
        <v>Thursday</v>
      </c>
      <c r="B78" s="13" t="n">
        <f aca="false">Setup!$C$5+108</f>
        <v>46135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TEXT(Setup!$C$5+108,"dddd")</f>
        <v>Thursday</v>
      </c>
      <c r="B79" s="13" t="n">
        <f aca="false">Setup!$C$5+108</f>
        <v>46135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TEXT(Setup!$C$5+108,"dddd")</f>
        <v>Thursday</v>
      </c>
      <c r="B80" s="13" t="n">
        <f aca="false">Setup!$C$5+108</f>
        <v>46135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TEXT(Setup!$C$5+108,"dddd")</f>
        <v>Thursday</v>
      </c>
      <c r="B81" s="13" t="n">
        <f aca="false">Setup!$C$5+108</f>
        <v>46135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TEXT(Setup!$C$5+108,"dddd")</f>
        <v>Thursday</v>
      </c>
      <c r="B82" s="13" t="n">
        <f aca="false">Setup!$C$5+108</f>
        <v>46135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TEXT(Setup!$C$5+108,"dddd")</f>
        <v>Thursday</v>
      </c>
      <c r="B83" s="13" t="n">
        <f aca="false">Setup!$C$5+108</f>
        <v>46135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TEXT(Setup!$C$5+108,"dddd")</f>
        <v>Thursday</v>
      </c>
      <c r="B84" s="13" t="n">
        <f aca="false">Setup!$C$5+108</f>
        <v>46135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TEXT(Setup!$C$5+108,"dddd")</f>
        <v>Thursday</v>
      </c>
      <c r="B85" s="13" t="n">
        <f aca="false">Setup!$C$5+108</f>
        <v>46135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TEXT(Setup!$C$5+108,"dddd")</f>
        <v>Thursday</v>
      </c>
      <c r="B86" s="13" t="n">
        <f aca="false">Setup!$C$5+108</f>
        <v>46135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TEXT(Setup!$C$5+108,"dddd")</f>
        <v>Thursday</v>
      </c>
      <c r="B87" s="13" t="n">
        <f aca="false">Setup!$C$5+108</f>
        <v>46135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TEXT(Setup!$C$5+108,"dddd")</f>
        <v>Thursday</v>
      </c>
      <c r="B88" s="13" t="n">
        <f aca="false">Setup!$C$5+108</f>
        <v>46135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TEXT(Setup!$C$5+108,"dddd")</f>
        <v>Thursday</v>
      </c>
      <c r="B89" s="23" t="n">
        <f aca="false">Setup!$C$5+108</f>
        <v>46135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IFERROR(H89-Wk15!H89,"")</f>
        <v>0</v>
      </c>
      <c r="O89" s="24" t="n">
        <f aca="false">IFERROR(D89-Wk15!D89,"")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TEXT(Setup!$C$5+109,"dddd")</f>
        <v>Friday</v>
      </c>
      <c r="B90" s="13" t="n">
        <f aca="false">Setup!$C$5+109</f>
        <v>46136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TEXT(Setup!$C$5+109,"dddd")</f>
        <v>Friday</v>
      </c>
      <c r="B91" s="13" t="n">
        <f aca="false">Setup!$C$5+109</f>
        <v>46136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TEXT(Setup!$C$5+109,"dddd")</f>
        <v>Friday</v>
      </c>
      <c r="B92" s="13" t="n">
        <f aca="false">Setup!$C$5+109</f>
        <v>46136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TEXT(Setup!$C$5+109,"dddd")</f>
        <v>Friday</v>
      </c>
      <c r="B93" s="13" t="n">
        <f aca="false">Setup!$C$5+109</f>
        <v>46136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TEXT(Setup!$C$5+109,"dddd")</f>
        <v>Friday</v>
      </c>
      <c r="B94" s="13" t="n">
        <f aca="false">Setup!$C$5+109</f>
        <v>46136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TEXT(Setup!$C$5+109,"dddd")</f>
        <v>Friday</v>
      </c>
      <c r="B95" s="13" t="n">
        <f aca="false">Setup!$C$5+109</f>
        <v>46136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TEXT(Setup!$C$5+109,"dddd")</f>
        <v>Friday</v>
      </c>
      <c r="B96" s="13" t="n">
        <f aca="false">Setup!$C$5+109</f>
        <v>46136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TEXT(Setup!$C$5+109,"dddd")</f>
        <v>Friday</v>
      </c>
      <c r="B97" s="13" t="n">
        <f aca="false">Setup!$C$5+109</f>
        <v>46136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TEXT(Setup!$C$5+109,"dddd")</f>
        <v>Friday</v>
      </c>
      <c r="B98" s="13" t="n">
        <f aca="false">Setup!$C$5+109</f>
        <v>46136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TEXT(Setup!$C$5+109,"dddd")</f>
        <v>Friday</v>
      </c>
      <c r="B99" s="13" t="n">
        <f aca="false">Setup!$C$5+109</f>
        <v>46136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TEXT(Setup!$C$5+109,"dddd")</f>
        <v>Friday</v>
      </c>
      <c r="B100" s="13" t="n">
        <f aca="false">Setup!$C$5+109</f>
        <v>46136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TEXT(Setup!$C$5+109,"dddd")</f>
        <v>Friday</v>
      </c>
      <c r="B101" s="13" t="n">
        <f aca="false">Setup!$C$5+109</f>
        <v>46136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TEXT(Setup!$C$5+109,"dddd")</f>
        <v>Friday</v>
      </c>
      <c r="B102" s="13" t="n">
        <f aca="false">Setup!$C$5+109</f>
        <v>46136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TEXT(Setup!$C$5+109,"dddd")</f>
        <v>Friday</v>
      </c>
      <c r="B103" s="13" t="n">
        <f aca="false">Setup!$C$5+109</f>
        <v>46136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TEXT(Setup!$C$5+109,"dddd")</f>
        <v>Friday</v>
      </c>
      <c r="B104" s="13" t="n">
        <f aca="false">Setup!$C$5+109</f>
        <v>46136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TEXT(Setup!$C$5+109,"dddd")</f>
        <v>Friday</v>
      </c>
      <c r="B105" s="13" t="n">
        <f aca="false">Setup!$C$5+109</f>
        <v>46136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TEXT(Setup!$C$5+109,"dddd")</f>
        <v>Friday</v>
      </c>
      <c r="B106" s="13" t="n">
        <f aca="false">Setup!$C$5+109</f>
        <v>46136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TEXT(Setup!$C$5+109,"dddd")</f>
        <v>Friday</v>
      </c>
      <c r="B107" s="13" t="n">
        <f aca="false">Setup!$C$5+109</f>
        <v>46136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TEXT(Setup!$C$5+109,"dddd")</f>
        <v>Friday</v>
      </c>
      <c r="B108" s="13" t="n">
        <f aca="false">Setup!$C$5+109</f>
        <v>46136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TEXT(Setup!$C$5+109,"dddd")</f>
        <v>Friday</v>
      </c>
      <c r="B109" s="13" t="n">
        <f aca="false">Setup!$C$5+109</f>
        <v>46136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TEXT(Setup!$C$5+109,"dddd")</f>
        <v>Friday</v>
      </c>
      <c r="B110" s="13" t="n">
        <f aca="false">Setup!$C$5+109</f>
        <v>46136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TEXT(Setup!$C$5+109,"dddd")</f>
        <v>Friday</v>
      </c>
      <c r="B111" s="23" t="n">
        <f aca="false">Setup!$C$5+109</f>
        <v>46136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IFERROR(H111-Wk15!H111,"")</f>
        <v>0</v>
      </c>
      <c r="O111" s="24" t="n">
        <f aca="false">IFERROR(D111-Wk15!D111,"")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TEXT(Setup!$C$5+110,"dddd")</f>
        <v>Saturday</v>
      </c>
      <c r="B112" s="13" t="n">
        <f aca="false">Setup!$C$5+110</f>
        <v>46137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TEXT(Setup!$C$5+110,"dddd")</f>
        <v>Saturday</v>
      </c>
      <c r="B113" s="13" t="n">
        <f aca="false">Setup!$C$5+110</f>
        <v>46137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TEXT(Setup!$C$5+110,"dddd")</f>
        <v>Saturday</v>
      </c>
      <c r="B114" s="13" t="n">
        <f aca="false">Setup!$C$5+110</f>
        <v>46137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TEXT(Setup!$C$5+110,"dddd")</f>
        <v>Saturday</v>
      </c>
      <c r="B115" s="13" t="n">
        <f aca="false">Setup!$C$5+110</f>
        <v>46137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TEXT(Setup!$C$5+110,"dddd")</f>
        <v>Saturday</v>
      </c>
      <c r="B116" s="13" t="n">
        <f aca="false">Setup!$C$5+110</f>
        <v>46137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TEXT(Setup!$C$5+110,"dddd")</f>
        <v>Saturday</v>
      </c>
      <c r="B117" s="13" t="n">
        <f aca="false">Setup!$C$5+110</f>
        <v>46137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TEXT(Setup!$C$5+110,"dddd")</f>
        <v>Saturday</v>
      </c>
      <c r="B118" s="13" t="n">
        <f aca="false">Setup!$C$5+110</f>
        <v>46137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TEXT(Setup!$C$5+110,"dddd")</f>
        <v>Saturday</v>
      </c>
      <c r="B119" s="13" t="n">
        <f aca="false">Setup!$C$5+110</f>
        <v>46137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TEXT(Setup!$C$5+110,"dddd")</f>
        <v>Saturday</v>
      </c>
      <c r="B120" s="13" t="n">
        <f aca="false">Setup!$C$5+110</f>
        <v>46137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TEXT(Setup!$C$5+110,"dddd")</f>
        <v>Saturday</v>
      </c>
      <c r="B121" s="13" t="n">
        <f aca="false">Setup!$C$5+110</f>
        <v>46137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TEXT(Setup!$C$5+110,"dddd")</f>
        <v>Saturday</v>
      </c>
      <c r="B122" s="13" t="n">
        <f aca="false">Setup!$C$5+110</f>
        <v>46137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TEXT(Setup!$C$5+110,"dddd")</f>
        <v>Saturday</v>
      </c>
      <c r="B123" s="13" t="n">
        <f aca="false">Setup!$C$5+110</f>
        <v>46137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TEXT(Setup!$C$5+110,"dddd")</f>
        <v>Saturday</v>
      </c>
      <c r="B124" s="13" t="n">
        <f aca="false">Setup!$C$5+110</f>
        <v>46137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TEXT(Setup!$C$5+110,"dddd")</f>
        <v>Saturday</v>
      </c>
      <c r="B125" s="13" t="n">
        <f aca="false">Setup!$C$5+110</f>
        <v>46137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TEXT(Setup!$C$5+110,"dddd")</f>
        <v>Saturday</v>
      </c>
      <c r="B126" s="13" t="n">
        <f aca="false">Setup!$C$5+110</f>
        <v>46137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TEXT(Setup!$C$5+110,"dddd")</f>
        <v>Saturday</v>
      </c>
      <c r="B127" s="13" t="n">
        <f aca="false">Setup!$C$5+110</f>
        <v>46137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TEXT(Setup!$C$5+110,"dddd")</f>
        <v>Saturday</v>
      </c>
      <c r="B128" s="13" t="n">
        <f aca="false">Setup!$C$5+110</f>
        <v>46137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TEXT(Setup!$C$5+110,"dddd")</f>
        <v>Saturday</v>
      </c>
      <c r="B129" s="13" t="n">
        <f aca="false">Setup!$C$5+110</f>
        <v>46137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TEXT(Setup!$C$5+110,"dddd")</f>
        <v>Saturday</v>
      </c>
      <c r="B130" s="13" t="n">
        <f aca="false">Setup!$C$5+110</f>
        <v>46137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TEXT(Setup!$C$5+110,"dddd")</f>
        <v>Saturday</v>
      </c>
      <c r="B131" s="13" t="n">
        <f aca="false">Setup!$C$5+110</f>
        <v>46137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TEXT(Setup!$C$5+110,"dddd")</f>
        <v>Saturday</v>
      </c>
      <c r="B132" s="13" t="n">
        <f aca="false">Setup!$C$5+110</f>
        <v>46137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TEXT(Setup!$C$5+110,"dddd")</f>
        <v>Saturday</v>
      </c>
      <c r="B133" s="23" t="n">
        <f aca="false">Setup!$C$5+110</f>
        <v>46137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IFERROR(H133-Wk15!H133,"")</f>
        <v>0</v>
      </c>
      <c r="O133" s="24" t="n">
        <f aca="false">IFERROR(D133-Wk15!D133,"")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TEXT(Setup!$C$5+111,"dddd")</f>
        <v>Sunday</v>
      </c>
      <c r="B134" s="13" t="n">
        <f aca="false">Setup!$C$5+111</f>
        <v>46138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TEXT(Setup!$C$5+111,"dddd")</f>
        <v>Sunday</v>
      </c>
      <c r="B135" s="13" t="n">
        <f aca="false">Setup!$C$5+111</f>
        <v>46138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TEXT(Setup!$C$5+111,"dddd")</f>
        <v>Sunday</v>
      </c>
      <c r="B136" s="13" t="n">
        <f aca="false">Setup!$C$5+111</f>
        <v>46138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TEXT(Setup!$C$5+111,"dddd")</f>
        <v>Sunday</v>
      </c>
      <c r="B137" s="13" t="n">
        <f aca="false">Setup!$C$5+111</f>
        <v>46138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TEXT(Setup!$C$5+111,"dddd")</f>
        <v>Sunday</v>
      </c>
      <c r="B138" s="13" t="n">
        <f aca="false">Setup!$C$5+111</f>
        <v>46138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TEXT(Setup!$C$5+111,"dddd")</f>
        <v>Sunday</v>
      </c>
      <c r="B139" s="13" t="n">
        <f aca="false">Setup!$C$5+111</f>
        <v>46138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TEXT(Setup!$C$5+111,"dddd")</f>
        <v>Sunday</v>
      </c>
      <c r="B140" s="13" t="n">
        <f aca="false">Setup!$C$5+111</f>
        <v>46138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TEXT(Setup!$C$5+111,"dddd")</f>
        <v>Sunday</v>
      </c>
      <c r="B141" s="13" t="n">
        <f aca="false">Setup!$C$5+111</f>
        <v>46138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TEXT(Setup!$C$5+111,"dddd")</f>
        <v>Sunday</v>
      </c>
      <c r="B142" s="13" t="n">
        <f aca="false">Setup!$C$5+111</f>
        <v>46138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TEXT(Setup!$C$5+111,"dddd")</f>
        <v>Sunday</v>
      </c>
      <c r="B143" s="13" t="n">
        <f aca="false">Setup!$C$5+111</f>
        <v>46138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TEXT(Setup!$C$5+111,"dddd")</f>
        <v>Sunday</v>
      </c>
      <c r="B144" s="13" t="n">
        <f aca="false">Setup!$C$5+111</f>
        <v>46138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TEXT(Setup!$C$5+111,"dddd")</f>
        <v>Sunday</v>
      </c>
      <c r="B145" s="13" t="n">
        <f aca="false">Setup!$C$5+111</f>
        <v>46138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TEXT(Setup!$C$5+111,"dddd")</f>
        <v>Sunday</v>
      </c>
      <c r="B146" s="13" t="n">
        <f aca="false">Setup!$C$5+111</f>
        <v>46138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TEXT(Setup!$C$5+111,"dddd")</f>
        <v>Sunday</v>
      </c>
      <c r="B147" s="13" t="n">
        <f aca="false">Setup!$C$5+111</f>
        <v>46138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TEXT(Setup!$C$5+111,"dddd")</f>
        <v>Sunday</v>
      </c>
      <c r="B148" s="13" t="n">
        <f aca="false">Setup!$C$5+111</f>
        <v>46138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TEXT(Setup!$C$5+111,"dddd")</f>
        <v>Sunday</v>
      </c>
      <c r="B149" s="13" t="n">
        <f aca="false">Setup!$C$5+111</f>
        <v>46138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TEXT(Setup!$C$5+111,"dddd")</f>
        <v>Sunday</v>
      </c>
      <c r="B150" s="13" t="n">
        <f aca="false">Setup!$C$5+111</f>
        <v>46138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TEXT(Setup!$C$5+111,"dddd")</f>
        <v>Sunday</v>
      </c>
      <c r="B151" s="13" t="n">
        <f aca="false">Setup!$C$5+111</f>
        <v>46138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TEXT(Setup!$C$5+111,"dddd")</f>
        <v>Sunday</v>
      </c>
      <c r="B152" s="13" t="n">
        <f aca="false">Setup!$C$5+111</f>
        <v>46138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TEXT(Setup!$C$5+111,"dddd")</f>
        <v>Sunday</v>
      </c>
      <c r="B153" s="13" t="n">
        <f aca="false">Setup!$C$5+111</f>
        <v>46138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TEXT(Setup!$C$5+111,"dddd")</f>
        <v>Sunday</v>
      </c>
      <c r="B154" s="13" t="n">
        <f aca="false">Setup!$C$5+111</f>
        <v>46138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TEXT(Setup!$C$5+111,"dddd")</f>
        <v>Sunday</v>
      </c>
      <c r="B155" s="23" t="n">
        <f aca="false">Setup!$C$5+111</f>
        <v>46138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IFERROR(H155-Wk15!H155,"")</f>
        <v>0</v>
      </c>
      <c r="O155" s="24" t="n">
        <f aca="false">IFERROR(D155-Wk15!D155,"")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IFERROR(D156-Wk15!D156,"")</f>
        <v>0</v>
      </c>
      <c r="E157" s="34" t="n">
        <f aca="false">IFERROR(E156-Wk15!E156,"")</f>
        <v>0</v>
      </c>
      <c r="H157" s="32" t="n">
        <f aca="false">IFERROR(H156-Wk15!H156,"")</f>
        <v>0</v>
      </c>
      <c r="K157" s="32" t="n">
        <f aca="false">IFERROR(K156-Wk15!K156,"")</f>
        <v>0</v>
      </c>
      <c r="M157" s="32" t="n">
        <f aca="false">IFERROR(M156-Wk15!M156,"")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TEXT(Setup!$C$5+112,"dddd")</f>
        <v>Monday</v>
      </c>
      <c r="B2" s="13" t="n">
        <f aca="false">Setup!$C$5+112</f>
        <v>46139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TEXT(Setup!$C$5+112,"dddd")</f>
        <v>Monday</v>
      </c>
      <c r="B3" s="13" t="n">
        <f aca="false">Setup!$C$5+112</f>
        <v>46139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TEXT(Setup!$C$5+112,"dddd")</f>
        <v>Monday</v>
      </c>
      <c r="B4" s="13" t="n">
        <f aca="false">Setup!$C$5+112</f>
        <v>46139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TEXT(Setup!$C$5+112,"dddd")</f>
        <v>Monday</v>
      </c>
      <c r="B5" s="13" t="n">
        <f aca="false">Setup!$C$5+112</f>
        <v>46139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TEXT(Setup!$C$5+112,"dddd")</f>
        <v>Monday</v>
      </c>
      <c r="B6" s="13" t="n">
        <f aca="false">Setup!$C$5+112</f>
        <v>46139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TEXT(Setup!$C$5+112,"dddd")</f>
        <v>Monday</v>
      </c>
      <c r="B7" s="13" t="n">
        <f aca="false">Setup!$C$5+112</f>
        <v>46139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TEXT(Setup!$C$5+112,"dddd")</f>
        <v>Monday</v>
      </c>
      <c r="B8" s="13" t="n">
        <f aca="false">Setup!$C$5+112</f>
        <v>46139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TEXT(Setup!$C$5+112,"dddd")</f>
        <v>Monday</v>
      </c>
      <c r="B9" s="13" t="n">
        <f aca="false">Setup!$C$5+112</f>
        <v>46139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TEXT(Setup!$C$5+112,"dddd")</f>
        <v>Monday</v>
      </c>
      <c r="B10" s="13" t="n">
        <f aca="false">Setup!$C$5+112</f>
        <v>46139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TEXT(Setup!$C$5+112,"dddd")</f>
        <v>Monday</v>
      </c>
      <c r="B11" s="13" t="n">
        <f aca="false">Setup!$C$5+112</f>
        <v>46139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TEXT(Setup!$C$5+112,"dddd")</f>
        <v>Monday</v>
      </c>
      <c r="B12" s="13" t="n">
        <f aca="false">Setup!$C$5+112</f>
        <v>46139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TEXT(Setup!$C$5+112,"dddd")</f>
        <v>Monday</v>
      </c>
      <c r="B13" s="13" t="n">
        <f aca="false">Setup!$C$5+112</f>
        <v>46139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TEXT(Setup!$C$5+112,"dddd")</f>
        <v>Monday</v>
      </c>
      <c r="B14" s="13" t="n">
        <f aca="false">Setup!$C$5+112</f>
        <v>46139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TEXT(Setup!$C$5+112,"dddd")</f>
        <v>Monday</v>
      </c>
      <c r="B15" s="13" t="n">
        <f aca="false">Setup!$C$5+112</f>
        <v>46139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TEXT(Setup!$C$5+112,"dddd")</f>
        <v>Monday</v>
      </c>
      <c r="B16" s="13" t="n">
        <f aca="false">Setup!$C$5+112</f>
        <v>46139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TEXT(Setup!$C$5+112,"dddd")</f>
        <v>Monday</v>
      </c>
      <c r="B17" s="13" t="n">
        <f aca="false">Setup!$C$5+112</f>
        <v>46139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TEXT(Setup!$C$5+112,"dddd")</f>
        <v>Monday</v>
      </c>
      <c r="B18" s="13" t="n">
        <f aca="false">Setup!$C$5+112</f>
        <v>46139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TEXT(Setup!$C$5+112,"dddd")</f>
        <v>Monday</v>
      </c>
      <c r="B19" s="13" t="n">
        <f aca="false">Setup!$C$5+112</f>
        <v>46139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TEXT(Setup!$C$5+112,"dddd")</f>
        <v>Monday</v>
      </c>
      <c r="B20" s="13" t="n">
        <f aca="false">Setup!$C$5+112</f>
        <v>46139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TEXT(Setup!$C$5+112,"dddd")</f>
        <v>Monday</v>
      </c>
      <c r="B21" s="13" t="n">
        <f aca="false">Setup!$C$5+112</f>
        <v>46139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TEXT(Setup!$C$5+112,"dddd")</f>
        <v>Monday</v>
      </c>
      <c r="B22" s="13" t="n">
        <f aca="false">Setup!$C$5+112</f>
        <v>46139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TEXT(Setup!$C$5+112,"dddd")</f>
        <v>Monday</v>
      </c>
      <c r="B23" s="23" t="n">
        <f aca="false">Setup!$C$5+112</f>
        <v>46139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IFERROR(H23-Wk16!H23,"")</f>
        <v>0</v>
      </c>
      <c r="O23" s="24" t="n">
        <f aca="false">IFERROR(D23-Wk16!D23,"")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TEXT(Setup!$C$5+113,"dddd")</f>
        <v>Tuesday</v>
      </c>
      <c r="B24" s="13" t="n">
        <f aca="false">Setup!$C$5+113</f>
        <v>46140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TEXT(Setup!$C$5+113,"dddd")</f>
        <v>Tuesday</v>
      </c>
      <c r="B25" s="13" t="n">
        <f aca="false">Setup!$C$5+113</f>
        <v>46140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TEXT(Setup!$C$5+113,"dddd")</f>
        <v>Tuesday</v>
      </c>
      <c r="B26" s="13" t="n">
        <f aca="false">Setup!$C$5+113</f>
        <v>46140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TEXT(Setup!$C$5+113,"dddd")</f>
        <v>Tuesday</v>
      </c>
      <c r="B27" s="13" t="n">
        <f aca="false">Setup!$C$5+113</f>
        <v>46140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TEXT(Setup!$C$5+113,"dddd")</f>
        <v>Tuesday</v>
      </c>
      <c r="B28" s="13" t="n">
        <f aca="false">Setup!$C$5+113</f>
        <v>46140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TEXT(Setup!$C$5+113,"dddd")</f>
        <v>Tuesday</v>
      </c>
      <c r="B29" s="13" t="n">
        <f aca="false">Setup!$C$5+113</f>
        <v>46140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TEXT(Setup!$C$5+113,"dddd")</f>
        <v>Tuesday</v>
      </c>
      <c r="B30" s="13" t="n">
        <f aca="false">Setup!$C$5+113</f>
        <v>46140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TEXT(Setup!$C$5+113,"dddd")</f>
        <v>Tuesday</v>
      </c>
      <c r="B31" s="13" t="n">
        <f aca="false">Setup!$C$5+113</f>
        <v>46140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TEXT(Setup!$C$5+113,"dddd")</f>
        <v>Tuesday</v>
      </c>
      <c r="B32" s="13" t="n">
        <f aca="false">Setup!$C$5+113</f>
        <v>46140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TEXT(Setup!$C$5+113,"dddd")</f>
        <v>Tuesday</v>
      </c>
      <c r="B33" s="13" t="n">
        <f aca="false">Setup!$C$5+113</f>
        <v>46140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TEXT(Setup!$C$5+113,"dddd")</f>
        <v>Tuesday</v>
      </c>
      <c r="B34" s="13" t="n">
        <f aca="false">Setup!$C$5+113</f>
        <v>46140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TEXT(Setup!$C$5+113,"dddd")</f>
        <v>Tuesday</v>
      </c>
      <c r="B35" s="13" t="n">
        <f aca="false">Setup!$C$5+113</f>
        <v>46140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TEXT(Setup!$C$5+113,"dddd")</f>
        <v>Tuesday</v>
      </c>
      <c r="B36" s="13" t="n">
        <f aca="false">Setup!$C$5+113</f>
        <v>46140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TEXT(Setup!$C$5+113,"dddd")</f>
        <v>Tuesday</v>
      </c>
      <c r="B37" s="13" t="n">
        <f aca="false">Setup!$C$5+113</f>
        <v>46140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TEXT(Setup!$C$5+113,"dddd")</f>
        <v>Tuesday</v>
      </c>
      <c r="B38" s="13" t="n">
        <f aca="false">Setup!$C$5+113</f>
        <v>46140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TEXT(Setup!$C$5+113,"dddd")</f>
        <v>Tuesday</v>
      </c>
      <c r="B39" s="13" t="n">
        <f aca="false">Setup!$C$5+113</f>
        <v>46140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TEXT(Setup!$C$5+113,"dddd")</f>
        <v>Tuesday</v>
      </c>
      <c r="B40" s="13" t="n">
        <f aca="false">Setup!$C$5+113</f>
        <v>46140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TEXT(Setup!$C$5+113,"dddd")</f>
        <v>Tuesday</v>
      </c>
      <c r="B41" s="13" t="n">
        <f aca="false">Setup!$C$5+113</f>
        <v>46140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TEXT(Setup!$C$5+113,"dddd")</f>
        <v>Tuesday</v>
      </c>
      <c r="B42" s="13" t="n">
        <f aca="false">Setup!$C$5+113</f>
        <v>46140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TEXT(Setup!$C$5+113,"dddd")</f>
        <v>Tuesday</v>
      </c>
      <c r="B43" s="13" t="n">
        <f aca="false">Setup!$C$5+113</f>
        <v>46140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TEXT(Setup!$C$5+113,"dddd")</f>
        <v>Tuesday</v>
      </c>
      <c r="B44" s="13" t="n">
        <f aca="false">Setup!$C$5+113</f>
        <v>46140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TEXT(Setup!$C$5+113,"dddd")</f>
        <v>Tuesday</v>
      </c>
      <c r="B45" s="23" t="n">
        <f aca="false">Setup!$C$5+113</f>
        <v>46140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IFERROR(H45-Wk16!H45,"")</f>
        <v>0</v>
      </c>
      <c r="O45" s="24" t="n">
        <f aca="false">IFERROR(D45-Wk16!D45,"")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TEXT(Setup!$C$5+114,"dddd")</f>
        <v>Wednesday</v>
      </c>
      <c r="B46" s="13" t="n">
        <f aca="false">Setup!$C$5+114</f>
        <v>46141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TEXT(Setup!$C$5+114,"dddd")</f>
        <v>Wednesday</v>
      </c>
      <c r="B47" s="13" t="n">
        <f aca="false">Setup!$C$5+114</f>
        <v>46141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TEXT(Setup!$C$5+114,"dddd")</f>
        <v>Wednesday</v>
      </c>
      <c r="B48" s="13" t="n">
        <f aca="false">Setup!$C$5+114</f>
        <v>46141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TEXT(Setup!$C$5+114,"dddd")</f>
        <v>Wednesday</v>
      </c>
      <c r="B49" s="13" t="n">
        <f aca="false">Setup!$C$5+114</f>
        <v>46141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TEXT(Setup!$C$5+114,"dddd")</f>
        <v>Wednesday</v>
      </c>
      <c r="B50" s="13" t="n">
        <f aca="false">Setup!$C$5+114</f>
        <v>46141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TEXT(Setup!$C$5+114,"dddd")</f>
        <v>Wednesday</v>
      </c>
      <c r="B51" s="13" t="n">
        <f aca="false">Setup!$C$5+114</f>
        <v>46141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TEXT(Setup!$C$5+114,"dddd")</f>
        <v>Wednesday</v>
      </c>
      <c r="B52" s="13" t="n">
        <f aca="false">Setup!$C$5+114</f>
        <v>46141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TEXT(Setup!$C$5+114,"dddd")</f>
        <v>Wednesday</v>
      </c>
      <c r="B53" s="13" t="n">
        <f aca="false">Setup!$C$5+114</f>
        <v>46141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TEXT(Setup!$C$5+114,"dddd")</f>
        <v>Wednesday</v>
      </c>
      <c r="B54" s="13" t="n">
        <f aca="false">Setup!$C$5+114</f>
        <v>46141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TEXT(Setup!$C$5+114,"dddd")</f>
        <v>Wednesday</v>
      </c>
      <c r="B55" s="13" t="n">
        <f aca="false">Setup!$C$5+114</f>
        <v>46141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TEXT(Setup!$C$5+114,"dddd")</f>
        <v>Wednesday</v>
      </c>
      <c r="B56" s="13" t="n">
        <f aca="false">Setup!$C$5+114</f>
        <v>46141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TEXT(Setup!$C$5+114,"dddd")</f>
        <v>Wednesday</v>
      </c>
      <c r="B57" s="13" t="n">
        <f aca="false">Setup!$C$5+114</f>
        <v>46141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TEXT(Setup!$C$5+114,"dddd")</f>
        <v>Wednesday</v>
      </c>
      <c r="B58" s="13" t="n">
        <f aca="false">Setup!$C$5+114</f>
        <v>46141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TEXT(Setup!$C$5+114,"dddd")</f>
        <v>Wednesday</v>
      </c>
      <c r="B59" s="13" t="n">
        <f aca="false">Setup!$C$5+114</f>
        <v>46141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TEXT(Setup!$C$5+114,"dddd")</f>
        <v>Wednesday</v>
      </c>
      <c r="B60" s="13" t="n">
        <f aca="false">Setup!$C$5+114</f>
        <v>46141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TEXT(Setup!$C$5+114,"dddd")</f>
        <v>Wednesday</v>
      </c>
      <c r="B61" s="13" t="n">
        <f aca="false">Setup!$C$5+114</f>
        <v>46141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TEXT(Setup!$C$5+114,"dddd")</f>
        <v>Wednesday</v>
      </c>
      <c r="B62" s="13" t="n">
        <f aca="false">Setup!$C$5+114</f>
        <v>46141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TEXT(Setup!$C$5+114,"dddd")</f>
        <v>Wednesday</v>
      </c>
      <c r="B63" s="13" t="n">
        <f aca="false">Setup!$C$5+114</f>
        <v>46141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TEXT(Setup!$C$5+114,"dddd")</f>
        <v>Wednesday</v>
      </c>
      <c r="B64" s="13" t="n">
        <f aca="false">Setup!$C$5+114</f>
        <v>46141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TEXT(Setup!$C$5+114,"dddd")</f>
        <v>Wednesday</v>
      </c>
      <c r="B65" s="13" t="n">
        <f aca="false">Setup!$C$5+114</f>
        <v>46141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TEXT(Setup!$C$5+114,"dddd")</f>
        <v>Wednesday</v>
      </c>
      <c r="B66" s="13" t="n">
        <f aca="false">Setup!$C$5+114</f>
        <v>46141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TEXT(Setup!$C$5+114,"dddd")</f>
        <v>Wednesday</v>
      </c>
      <c r="B67" s="23" t="n">
        <f aca="false">Setup!$C$5+114</f>
        <v>46141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IFERROR(H67-Wk16!H67,"")</f>
        <v>0</v>
      </c>
      <c r="O67" s="24" t="n">
        <f aca="false">IFERROR(D67-Wk16!D67,"")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TEXT(Setup!$C$5+115,"dddd")</f>
        <v>Thursday</v>
      </c>
      <c r="B68" s="13" t="n">
        <f aca="false">Setup!$C$5+115</f>
        <v>46142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TEXT(Setup!$C$5+115,"dddd")</f>
        <v>Thursday</v>
      </c>
      <c r="B69" s="13" t="n">
        <f aca="false">Setup!$C$5+115</f>
        <v>46142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TEXT(Setup!$C$5+115,"dddd")</f>
        <v>Thursday</v>
      </c>
      <c r="B70" s="13" t="n">
        <f aca="false">Setup!$C$5+115</f>
        <v>46142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TEXT(Setup!$C$5+115,"dddd")</f>
        <v>Thursday</v>
      </c>
      <c r="B71" s="13" t="n">
        <f aca="false">Setup!$C$5+115</f>
        <v>46142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TEXT(Setup!$C$5+115,"dddd")</f>
        <v>Thursday</v>
      </c>
      <c r="B72" s="13" t="n">
        <f aca="false">Setup!$C$5+115</f>
        <v>46142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TEXT(Setup!$C$5+115,"dddd")</f>
        <v>Thursday</v>
      </c>
      <c r="B73" s="13" t="n">
        <f aca="false">Setup!$C$5+115</f>
        <v>46142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TEXT(Setup!$C$5+115,"dddd")</f>
        <v>Thursday</v>
      </c>
      <c r="B74" s="13" t="n">
        <f aca="false">Setup!$C$5+115</f>
        <v>46142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TEXT(Setup!$C$5+115,"dddd")</f>
        <v>Thursday</v>
      </c>
      <c r="B75" s="13" t="n">
        <f aca="false">Setup!$C$5+115</f>
        <v>46142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TEXT(Setup!$C$5+115,"dddd")</f>
        <v>Thursday</v>
      </c>
      <c r="B76" s="13" t="n">
        <f aca="false">Setup!$C$5+115</f>
        <v>46142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TEXT(Setup!$C$5+115,"dddd")</f>
        <v>Thursday</v>
      </c>
      <c r="B77" s="13" t="n">
        <f aca="false">Setup!$C$5+115</f>
        <v>46142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TEXT(Setup!$C$5+115,"dddd")</f>
        <v>Thursday</v>
      </c>
      <c r="B78" s="13" t="n">
        <f aca="false">Setup!$C$5+115</f>
        <v>46142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TEXT(Setup!$C$5+115,"dddd")</f>
        <v>Thursday</v>
      </c>
      <c r="B79" s="13" t="n">
        <f aca="false">Setup!$C$5+115</f>
        <v>46142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TEXT(Setup!$C$5+115,"dddd")</f>
        <v>Thursday</v>
      </c>
      <c r="B80" s="13" t="n">
        <f aca="false">Setup!$C$5+115</f>
        <v>46142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TEXT(Setup!$C$5+115,"dddd")</f>
        <v>Thursday</v>
      </c>
      <c r="B81" s="13" t="n">
        <f aca="false">Setup!$C$5+115</f>
        <v>46142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TEXT(Setup!$C$5+115,"dddd")</f>
        <v>Thursday</v>
      </c>
      <c r="B82" s="13" t="n">
        <f aca="false">Setup!$C$5+115</f>
        <v>46142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TEXT(Setup!$C$5+115,"dddd")</f>
        <v>Thursday</v>
      </c>
      <c r="B83" s="13" t="n">
        <f aca="false">Setup!$C$5+115</f>
        <v>46142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TEXT(Setup!$C$5+115,"dddd")</f>
        <v>Thursday</v>
      </c>
      <c r="B84" s="13" t="n">
        <f aca="false">Setup!$C$5+115</f>
        <v>46142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TEXT(Setup!$C$5+115,"dddd")</f>
        <v>Thursday</v>
      </c>
      <c r="B85" s="13" t="n">
        <f aca="false">Setup!$C$5+115</f>
        <v>46142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TEXT(Setup!$C$5+115,"dddd")</f>
        <v>Thursday</v>
      </c>
      <c r="B86" s="13" t="n">
        <f aca="false">Setup!$C$5+115</f>
        <v>46142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TEXT(Setup!$C$5+115,"dddd")</f>
        <v>Thursday</v>
      </c>
      <c r="B87" s="13" t="n">
        <f aca="false">Setup!$C$5+115</f>
        <v>46142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TEXT(Setup!$C$5+115,"dddd")</f>
        <v>Thursday</v>
      </c>
      <c r="B88" s="13" t="n">
        <f aca="false">Setup!$C$5+115</f>
        <v>46142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TEXT(Setup!$C$5+115,"dddd")</f>
        <v>Thursday</v>
      </c>
      <c r="B89" s="23" t="n">
        <f aca="false">Setup!$C$5+115</f>
        <v>46142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IFERROR(H89-Wk16!H89,"")</f>
        <v>0</v>
      </c>
      <c r="O89" s="24" t="n">
        <f aca="false">IFERROR(D89-Wk16!D89,"")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TEXT(Setup!$C$5+116,"dddd")</f>
        <v>Friday</v>
      </c>
      <c r="B90" s="13" t="n">
        <f aca="false">Setup!$C$5+116</f>
        <v>46143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TEXT(Setup!$C$5+116,"dddd")</f>
        <v>Friday</v>
      </c>
      <c r="B91" s="13" t="n">
        <f aca="false">Setup!$C$5+116</f>
        <v>46143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TEXT(Setup!$C$5+116,"dddd")</f>
        <v>Friday</v>
      </c>
      <c r="B92" s="13" t="n">
        <f aca="false">Setup!$C$5+116</f>
        <v>46143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TEXT(Setup!$C$5+116,"dddd")</f>
        <v>Friday</v>
      </c>
      <c r="B93" s="13" t="n">
        <f aca="false">Setup!$C$5+116</f>
        <v>46143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TEXT(Setup!$C$5+116,"dddd")</f>
        <v>Friday</v>
      </c>
      <c r="B94" s="13" t="n">
        <f aca="false">Setup!$C$5+116</f>
        <v>46143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TEXT(Setup!$C$5+116,"dddd")</f>
        <v>Friday</v>
      </c>
      <c r="B95" s="13" t="n">
        <f aca="false">Setup!$C$5+116</f>
        <v>46143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TEXT(Setup!$C$5+116,"dddd")</f>
        <v>Friday</v>
      </c>
      <c r="B96" s="13" t="n">
        <f aca="false">Setup!$C$5+116</f>
        <v>46143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TEXT(Setup!$C$5+116,"dddd")</f>
        <v>Friday</v>
      </c>
      <c r="B97" s="13" t="n">
        <f aca="false">Setup!$C$5+116</f>
        <v>46143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TEXT(Setup!$C$5+116,"dddd")</f>
        <v>Friday</v>
      </c>
      <c r="B98" s="13" t="n">
        <f aca="false">Setup!$C$5+116</f>
        <v>46143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TEXT(Setup!$C$5+116,"dddd")</f>
        <v>Friday</v>
      </c>
      <c r="B99" s="13" t="n">
        <f aca="false">Setup!$C$5+116</f>
        <v>46143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TEXT(Setup!$C$5+116,"dddd")</f>
        <v>Friday</v>
      </c>
      <c r="B100" s="13" t="n">
        <f aca="false">Setup!$C$5+116</f>
        <v>46143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TEXT(Setup!$C$5+116,"dddd")</f>
        <v>Friday</v>
      </c>
      <c r="B101" s="13" t="n">
        <f aca="false">Setup!$C$5+116</f>
        <v>46143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TEXT(Setup!$C$5+116,"dddd")</f>
        <v>Friday</v>
      </c>
      <c r="B102" s="13" t="n">
        <f aca="false">Setup!$C$5+116</f>
        <v>46143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TEXT(Setup!$C$5+116,"dddd")</f>
        <v>Friday</v>
      </c>
      <c r="B103" s="13" t="n">
        <f aca="false">Setup!$C$5+116</f>
        <v>46143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TEXT(Setup!$C$5+116,"dddd")</f>
        <v>Friday</v>
      </c>
      <c r="B104" s="13" t="n">
        <f aca="false">Setup!$C$5+116</f>
        <v>46143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TEXT(Setup!$C$5+116,"dddd")</f>
        <v>Friday</v>
      </c>
      <c r="B105" s="13" t="n">
        <f aca="false">Setup!$C$5+116</f>
        <v>46143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TEXT(Setup!$C$5+116,"dddd")</f>
        <v>Friday</v>
      </c>
      <c r="B106" s="13" t="n">
        <f aca="false">Setup!$C$5+116</f>
        <v>46143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TEXT(Setup!$C$5+116,"dddd")</f>
        <v>Friday</v>
      </c>
      <c r="B107" s="13" t="n">
        <f aca="false">Setup!$C$5+116</f>
        <v>46143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TEXT(Setup!$C$5+116,"dddd")</f>
        <v>Friday</v>
      </c>
      <c r="B108" s="13" t="n">
        <f aca="false">Setup!$C$5+116</f>
        <v>46143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TEXT(Setup!$C$5+116,"dddd")</f>
        <v>Friday</v>
      </c>
      <c r="B109" s="13" t="n">
        <f aca="false">Setup!$C$5+116</f>
        <v>46143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TEXT(Setup!$C$5+116,"dddd")</f>
        <v>Friday</v>
      </c>
      <c r="B110" s="13" t="n">
        <f aca="false">Setup!$C$5+116</f>
        <v>46143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TEXT(Setup!$C$5+116,"dddd")</f>
        <v>Friday</v>
      </c>
      <c r="B111" s="23" t="n">
        <f aca="false">Setup!$C$5+116</f>
        <v>46143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IFERROR(H111-Wk16!H111,"")</f>
        <v>0</v>
      </c>
      <c r="O111" s="24" t="n">
        <f aca="false">IFERROR(D111-Wk16!D111,"")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TEXT(Setup!$C$5+117,"dddd")</f>
        <v>Saturday</v>
      </c>
      <c r="B112" s="13" t="n">
        <f aca="false">Setup!$C$5+117</f>
        <v>46144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TEXT(Setup!$C$5+117,"dddd")</f>
        <v>Saturday</v>
      </c>
      <c r="B113" s="13" t="n">
        <f aca="false">Setup!$C$5+117</f>
        <v>46144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TEXT(Setup!$C$5+117,"dddd")</f>
        <v>Saturday</v>
      </c>
      <c r="B114" s="13" t="n">
        <f aca="false">Setup!$C$5+117</f>
        <v>46144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TEXT(Setup!$C$5+117,"dddd")</f>
        <v>Saturday</v>
      </c>
      <c r="B115" s="13" t="n">
        <f aca="false">Setup!$C$5+117</f>
        <v>46144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TEXT(Setup!$C$5+117,"dddd")</f>
        <v>Saturday</v>
      </c>
      <c r="B116" s="13" t="n">
        <f aca="false">Setup!$C$5+117</f>
        <v>46144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TEXT(Setup!$C$5+117,"dddd")</f>
        <v>Saturday</v>
      </c>
      <c r="B117" s="13" t="n">
        <f aca="false">Setup!$C$5+117</f>
        <v>46144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TEXT(Setup!$C$5+117,"dddd")</f>
        <v>Saturday</v>
      </c>
      <c r="B118" s="13" t="n">
        <f aca="false">Setup!$C$5+117</f>
        <v>46144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TEXT(Setup!$C$5+117,"dddd")</f>
        <v>Saturday</v>
      </c>
      <c r="B119" s="13" t="n">
        <f aca="false">Setup!$C$5+117</f>
        <v>46144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TEXT(Setup!$C$5+117,"dddd")</f>
        <v>Saturday</v>
      </c>
      <c r="B120" s="13" t="n">
        <f aca="false">Setup!$C$5+117</f>
        <v>46144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TEXT(Setup!$C$5+117,"dddd")</f>
        <v>Saturday</v>
      </c>
      <c r="B121" s="13" t="n">
        <f aca="false">Setup!$C$5+117</f>
        <v>46144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TEXT(Setup!$C$5+117,"dddd")</f>
        <v>Saturday</v>
      </c>
      <c r="B122" s="13" t="n">
        <f aca="false">Setup!$C$5+117</f>
        <v>46144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TEXT(Setup!$C$5+117,"dddd")</f>
        <v>Saturday</v>
      </c>
      <c r="B123" s="13" t="n">
        <f aca="false">Setup!$C$5+117</f>
        <v>46144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TEXT(Setup!$C$5+117,"dddd")</f>
        <v>Saturday</v>
      </c>
      <c r="B124" s="13" t="n">
        <f aca="false">Setup!$C$5+117</f>
        <v>46144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TEXT(Setup!$C$5+117,"dddd")</f>
        <v>Saturday</v>
      </c>
      <c r="B125" s="13" t="n">
        <f aca="false">Setup!$C$5+117</f>
        <v>46144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TEXT(Setup!$C$5+117,"dddd")</f>
        <v>Saturday</v>
      </c>
      <c r="B126" s="13" t="n">
        <f aca="false">Setup!$C$5+117</f>
        <v>46144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TEXT(Setup!$C$5+117,"dddd")</f>
        <v>Saturday</v>
      </c>
      <c r="B127" s="13" t="n">
        <f aca="false">Setup!$C$5+117</f>
        <v>46144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TEXT(Setup!$C$5+117,"dddd")</f>
        <v>Saturday</v>
      </c>
      <c r="B128" s="13" t="n">
        <f aca="false">Setup!$C$5+117</f>
        <v>46144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TEXT(Setup!$C$5+117,"dddd")</f>
        <v>Saturday</v>
      </c>
      <c r="B129" s="13" t="n">
        <f aca="false">Setup!$C$5+117</f>
        <v>46144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TEXT(Setup!$C$5+117,"dddd")</f>
        <v>Saturday</v>
      </c>
      <c r="B130" s="13" t="n">
        <f aca="false">Setup!$C$5+117</f>
        <v>46144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TEXT(Setup!$C$5+117,"dddd")</f>
        <v>Saturday</v>
      </c>
      <c r="B131" s="13" t="n">
        <f aca="false">Setup!$C$5+117</f>
        <v>46144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TEXT(Setup!$C$5+117,"dddd")</f>
        <v>Saturday</v>
      </c>
      <c r="B132" s="13" t="n">
        <f aca="false">Setup!$C$5+117</f>
        <v>46144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TEXT(Setup!$C$5+117,"dddd")</f>
        <v>Saturday</v>
      </c>
      <c r="B133" s="23" t="n">
        <f aca="false">Setup!$C$5+117</f>
        <v>46144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IFERROR(H133-Wk16!H133,"")</f>
        <v>0</v>
      </c>
      <c r="O133" s="24" t="n">
        <f aca="false">IFERROR(D133-Wk16!D133,"")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TEXT(Setup!$C$5+118,"dddd")</f>
        <v>Sunday</v>
      </c>
      <c r="B134" s="13" t="n">
        <f aca="false">Setup!$C$5+118</f>
        <v>46145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TEXT(Setup!$C$5+118,"dddd")</f>
        <v>Sunday</v>
      </c>
      <c r="B135" s="13" t="n">
        <f aca="false">Setup!$C$5+118</f>
        <v>46145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TEXT(Setup!$C$5+118,"dddd")</f>
        <v>Sunday</v>
      </c>
      <c r="B136" s="13" t="n">
        <f aca="false">Setup!$C$5+118</f>
        <v>46145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TEXT(Setup!$C$5+118,"dddd")</f>
        <v>Sunday</v>
      </c>
      <c r="B137" s="13" t="n">
        <f aca="false">Setup!$C$5+118</f>
        <v>46145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TEXT(Setup!$C$5+118,"dddd")</f>
        <v>Sunday</v>
      </c>
      <c r="B138" s="13" t="n">
        <f aca="false">Setup!$C$5+118</f>
        <v>46145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TEXT(Setup!$C$5+118,"dddd")</f>
        <v>Sunday</v>
      </c>
      <c r="B139" s="13" t="n">
        <f aca="false">Setup!$C$5+118</f>
        <v>46145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TEXT(Setup!$C$5+118,"dddd")</f>
        <v>Sunday</v>
      </c>
      <c r="B140" s="13" t="n">
        <f aca="false">Setup!$C$5+118</f>
        <v>46145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TEXT(Setup!$C$5+118,"dddd")</f>
        <v>Sunday</v>
      </c>
      <c r="B141" s="13" t="n">
        <f aca="false">Setup!$C$5+118</f>
        <v>46145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TEXT(Setup!$C$5+118,"dddd")</f>
        <v>Sunday</v>
      </c>
      <c r="B142" s="13" t="n">
        <f aca="false">Setup!$C$5+118</f>
        <v>46145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TEXT(Setup!$C$5+118,"dddd")</f>
        <v>Sunday</v>
      </c>
      <c r="B143" s="13" t="n">
        <f aca="false">Setup!$C$5+118</f>
        <v>46145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TEXT(Setup!$C$5+118,"dddd")</f>
        <v>Sunday</v>
      </c>
      <c r="B144" s="13" t="n">
        <f aca="false">Setup!$C$5+118</f>
        <v>46145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TEXT(Setup!$C$5+118,"dddd")</f>
        <v>Sunday</v>
      </c>
      <c r="B145" s="13" t="n">
        <f aca="false">Setup!$C$5+118</f>
        <v>46145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TEXT(Setup!$C$5+118,"dddd")</f>
        <v>Sunday</v>
      </c>
      <c r="B146" s="13" t="n">
        <f aca="false">Setup!$C$5+118</f>
        <v>46145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TEXT(Setup!$C$5+118,"dddd")</f>
        <v>Sunday</v>
      </c>
      <c r="B147" s="13" t="n">
        <f aca="false">Setup!$C$5+118</f>
        <v>46145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TEXT(Setup!$C$5+118,"dddd")</f>
        <v>Sunday</v>
      </c>
      <c r="B148" s="13" t="n">
        <f aca="false">Setup!$C$5+118</f>
        <v>46145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TEXT(Setup!$C$5+118,"dddd")</f>
        <v>Sunday</v>
      </c>
      <c r="B149" s="13" t="n">
        <f aca="false">Setup!$C$5+118</f>
        <v>46145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TEXT(Setup!$C$5+118,"dddd")</f>
        <v>Sunday</v>
      </c>
      <c r="B150" s="13" t="n">
        <f aca="false">Setup!$C$5+118</f>
        <v>46145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TEXT(Setup!$C$5+118,"dddd")</f>
        <v>Sunday</v>
      </c>
      <c r="B151" s="13" t="n">
        <f aca="false">Setup!$C$5+118</f>
        <v>46145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TEXT(Setup!$C$5+118,"dddd")</f>
        <v>Sunday</v>
      </c>
      <c r="B152" s="13" t="n">
        <f aca="false">Setup!$C$5+118</f>
        <v>46145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TEXT(Setup!$C$5+118,"dddd")</f>
        <v>Sunday</v>
      </c>
      <c r="B153" s="13" t="n">
        <f aca="false">Setup!$C$5+118</f>
        <v>46145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TEXT(Setup!$C$5+118,"dddd")</f>
        <v>Sunday</v>
      </c>
      <c r="B154" s="13" t="n">
        <f aca="false">Setup!$C$5+118</f>
        <v>46145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TEXT(Setup!$C$5+118,"dddd")</f>
        <v>Sunday</v>
      </c>
      <c r="B155" s="23" t="n">
        <f aca="false">Setup!$C$5+118</f>
        <v>46145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IFERROR(H155-Wk16!H155,"")</f>
        <v>0</v>
      </c>
      <c r="O155" s="24" t="n">
        <f aca="false">IFERROR(D155-Wk16!D155,"")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IFERROR(D156-Wk16!D156,"")</f>
        <v>0</v>
      </c>
      <c r="E157" s="34" t="n">
        <f aca="false">IFERROR(E156-Wk16!E156,"")</f>
        <v>0</v>
      </c>
      <c r="H157" s="32" t="n">
        <f aca="false">IFERROR(H156-Wk16!H156,"")</f>
        <v>0</v>
      </c>
      <c r="K157" s="32" t="n">
        <f aca="false">IFERROR(K156-Wk16!K156,"")</f>
        <v>0</v>
      </c>
      <c r="M157" s="32" t="n">
        <f aca="false">IFERROR(M156-Wk16!M156,"")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TEXT(Setup!$C$5+119,"dddd")</f>
        <v>Monday</v>
      </c>
      <c r="B2" s="13" t="n">
        <f aca="false">Setup!$C$5+119</f>
        <v>46146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TEXT(Setup!$C$5+119,"dddd")</f>
        <v>Monday</v>
      </c>
      <c r="B3" s="13" t="n">
        <f aca="false">Setup!$C$5+119</f>
        <v>46146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TEXT(Setup!$C$5+119,"dddd")</f>
        <v>Monday</v>
      </c>
      <c r="B4" s="13" t="n">
        <f aca="false">Setup!$C$5+119</f>
        <v>46146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TEXT(Setup!$C$5+119,"dddd")</f>
        <v>Monday</v>
      </c>
      <c r="B5" s="13" t="n">
        <f aca="false">Setup!$C$5+119</f>
        <v>46146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TEXT(Setup!$C$5+119,"dddd")</f>
        <v>Monday</v>
      </c>
      <c r="B6" s="13" t="n">
        <f aca="false">Setup!$C$5+119</f>
        <v>46146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TEXT(Setup!$C$5+119,"dddd")</f>
        <v>Monday</v>
      </c>
      <c r="B7" s="13" t="n">
        <f aca="false">Setup!$C$5+119</f>
        <v>46146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TEXT(Setup!$C$5+119,"dddd")</f>
        <v>Monday</v>
      </c>
      <c r="B8" s="13" t="n">
        <f aca="false">Setup!$C$5+119</f>
        <v>46146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TEXT(Setup!$C$5+119,"dddd")</f>
        <v>Monday</v>
      </c>
      <c r="B9" s="13" t="n">
        <f aca="false">Setup!$C$5+119</f>
        <v>46146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TEXT(Setup!$C$5+119,"dddd")</f>
        <v>Monday</v>
      </c>
      <c r="B10" s="13" t="n">
        <f aca="false">Setup!$C$5+119</f>
        <v>46146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TEXT(Setup!$C$5+119,"dddd")</f>
        <v>Monday</v>
      </c>
      <c r="B11" s="13" t="n">
        <f aca="false">Setup!$C$5+119</f>
        <v>46146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TEXT(Setup!$C$5+119,"dddd")</f>
        <v>Monday</v>
      </c>
      <c r="B12" s="13" t="n">
        <f aca="false">Setup!$C$5+119</f>
        <v>46146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TEXT(Setup!$C$5+119,"dddd")</f>
        <v>Monday</v>
      </c>
      <c r="B13" s="13" t="n">
        <f aca="false">Setup!$C$5+119</f>
        <v>46146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TEXT(Setup!$C$5+119,"dddd")</f>
        <v>Monday</v>
      </c>
      <c r="B14" s="13" t="n">
        <f aca="false">Setup!$C$5+119</f>
        <v>46146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TEXT(Setup!$C$5+119,"dddd")</f>
        <v>Monday</v>
      </c>
      <c r="B15" s="13" t="n">
        <f aca="false">Setup!$C$5+119</f>
        <v>46146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TEXT(Setup!$C$5+119,"dddd")</f>
        <v>Monday</v>
      </c>
      <c r="B16" s="13" t="n">
        <f aca="false">Setup!$C$5+119</f>
        <v>46146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TEXT(Setup!$C$5+119,"dddd")</f>
        <v>Monday</v>
      </c>
      <c r="B17" s="13" t="n">
        <f aca="false">Setup!$C$5+119</f>
        <v>46146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TEXT(Setup!$C$5+119,"dddd")</f>
        <v>Monday</v>
      </c>
      <c r="B18" s="13" t="n">
        <f aca="false">Setup!$C$5+119</f>
        <v>46146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TEXT(Setup!$C$5+119,"dddd")</f>
        <v>Monday</v>
      </c>
      <c r="B19" s="13" t="n">
        <f aca="false">Setup!$C$5+119</f>
        <v>46146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TEXT(Setup!$C$5+119,"dddd")</f>
        <v>Monday</v>
      </c>
      <c r="B20" s="13" t="n">
        <f aca="false">Setup!$C$5+119</f>
        <v>46146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TEXT(Setup!$C$5+119,"dddd")</f>
        <v>Monday</v>
      </c>
      <c r="B21" s="13" t="n">
        <f aca="false">Setup!$C$5+119</f>
        <v>46146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TEXT(Setup!$C$5+119,"dddd")</f>
        <v>Monday</v>
      </c>
      <c r="B22" s="13" t="n">
        <f aca="false">Setup!$C$5+119</f>
        <v>46146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TEXT(Setup!$C$5+119,"dddd")</f>
        <v>Monday</v>
      </c>
      <c r="B23" s="23" t="n">
        <f aca="false">Setup!$C$5+119</f>
        <v>46146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IFERROR(H23-Wk17!H23,"")</f>
        <v>0</v>
      </c>
      <c r="O23" s="24" t="n">
        <f aca="false">IFERROR(D23-Wk17!D23,"")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TEXT(Setup!$C$5+120,"dddd")</f>
        <v>Tuesday</v>
      </c>
      <c r="B24" s="13" t="n">
        <f aca="false">Setup!$C$5+120</f>
        <v>46147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TEXT(Setup!$C$5+120,"dddd")</f>
        <v>Tuesday</v>
      </c>
      <c r="B25" s="13" t="n">
        <f aca="false">Setup!$C$5+120</f>
        <v>46147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TEXT(Setup!$C$5+120,"dddd")</f>
        <v>Tuesday</v>
      </c>
      <c r="B26" s="13" t="n">
        <f aca="false">Setup!$C$5+120</f>
        <v>46147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TEXT(Setup!$C$5+120,"dddd")</f>
        <v>Tuesday</v>
      </c>
      <c r="B27" s="13" t="n">
        <f aca="false">Setup!$C$5+120</f>
        <v>46147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TEXT(Setup!$C$5+120,"dddd")</f>
        <v>Tuesday</v>
      </c>
      <c r="B28" s="13" t="n">
        <f aca="false">Setup!$C$5+120</f>
        <v>46147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TEXT(Setup!$C$5+120,"dddd")</f>
        <v>Tuesday</v>
      </c>
      <c r="B29" s="13" t="n">
        <f aca="false">Setup!$C$5+120</f>
        <v>46147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TEXT(Setup!$C$5+120,"dddd")</f>
        <v>Tuesday</v>
      </c>
      <c r="B30" s="13" t="n">
        <f aca="false">Setup!$C$5+120</f>
        <v>46147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TEXT(Setup!$C$5+120,"dddd")</f>
        <v>Tuesday</v>
      </c>
      <c r="B31" s="13" t="n">
        <f aca="false">Setup!$C$5+120</f>
        <v>46147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TEXT(Setup!$C$5+120,"dddd")</f>
        <v>Tuesday</v>
      </c>
      <c r="B32" s="13" t="n">
        <f aca="false">Setup!$C$5+120</f>
        <v>46147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TEXT(Setup!$C$5+120,"dddd")</f>
        <v>Tuesday</v>
      </c>
      <c r="B33" s="13" t="n">
        <f aca="false">Setup!$C$5+120</f>
        <v>46147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TEXT(Setup!$C$5+120,"dddd")</f>
        <v>Tuesday</v>
      </c>
      <c r="B34" s="13" t="n">
        <f aca="false">Setup!$C$5+120</f>
        <v>46147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TEXT(Setup!$C$5+120,"dddd")</f>
        <v>Tuesday</v>
      </c>
      <c r="B35" s="13" t="n">
        <f aca="false">Setup!$C$5+120</f>
        <v>46147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TEXT(Setup!$C$5+120,"dddd")</f>
        <v>Tuesday</v>
      </c>
      <c r="B36" s="13" t="n">
        <f aca="false">Setup!$C$5+120</f>
        <v>46147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TEXT(Setup!$C$5+120,"dddd")</f>
        <v>Tuesday</v>
      </c>
      <c r="B37" s="13" t="n">
        <f aca="false">Setup!$C$5+120</f>
        <v>46147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TEXT(Setup!$C$5+120,"dddd")</f>
        <v>Tuesday</v>
      </c>
      <c r="B38" s="13" t="n">
        <f aca="false">Setup!$C$5+120</f>
        <v>46147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TEXT(Setup!$C$5+120,"dddd")</f>
        <v>Tuesday</v>
      </c>
      <c r="B39" s="13" t="n">
        <f aca="false">Setup!$C$5+120</f>
        <v>46147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TEXT(Setup!$C$5+120,"dddd")</f>
        <v>Tuesday</v>
      </c>
      <c r="B40" s="13" t="n">
        <f aca="false">Setup!$C$5+120</f>
        <v>46147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TEXT(Setup!$C$5+120,"dddd")</f>
        <v>Tuesday</v>
      </c>
      <c r="B41" s="13" t="n">
        <f aca="false">Setup!$C$5+120</f>
        <v>46147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TEXT(Setup!$C$5+120,"dddd")</f>
        <v>Tuesday</v>
      </c>
      <c r="B42" s="13" t="n">
        <f aca="false">Setup!$C$5+120</f>
        <v>46147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TEXT(Setup!$C$5+120,"dddd")</f>
        <v>Tuesday</v>
      </c>
      <c r="B43" s="13" t="n">
        <f aca="false">Setup!$C$5+120</f>
        <v>46147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TEXT(Setup!$C$5+120,"dddd")</f>
        <v>Tuesday</v>
      </c>
      <c r="B44" s="13" t="n">
        <f aca="false">Setup!$C$5+120</f>
        <v>46147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TEXT(Setup!$C$5+120,"dddd")</f>
        <v>Tuesday</v>
      </c>
      <c r="B45" s="23" t="n">
        <f aca="false">Setup!$C$5+120</f>
        <v>46147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IFERROR(H45-Wk17!H45,"")</f>
        <v>0</v>
      </c>
      <c r="O45" s="24" t="n">
        <f aca="false">IFERROR(D45-Wk17!D45,"")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TEXT(Setup!$C$5+121,"dddd")</f>
        <v>Wednesday</v>
      </c>
      <c r="B46" s="13" t="n">
        <f aca="false">Setup!$C$5+121</f>
        <v>46148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TEXT(Setup!$C$5+121,"dddd")</f>
        <v>Wednesday</v>
      </c>
      <c r="B47" s="13" t="n">
        <f aca="false">Setup!$C$5+121</f>
        <v>46148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TEXT(Setup!$C$5+121,"dddd")</f>
        <v>Wednesday</v>
      </c>
      <c r="B48" s="13" t="n">
        <f aca="false">Setup!$C$5+121</f>
        <v>46148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TEXT(Setup!$C$5+121,"dddd")</f>
        <v>Wednesday</v>
      </c>
      <c r="B49" s="13" t="n">
        <f aca="false">Setup!$C$5+121</f>
        <v>46148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TEXT(Setup!$C$5+121,"dddd")</f>
        <v>Wednesday</v>
      </c>
      <c r="B50" s="13" t="n">
        <f aca="false">Setup!$C$5+121</f>
        <v>46148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TEXT(Setup!$C$5+121,"dddd")</f>
        <v>Wednesday</v>
      </c>
      <c r="B51" s="13" t="n">
        <f aca="false">Setup!$C$5+121</f>
        <v>46148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TEXT(Setup!$C$5+121,"dddd")</f>
        <v>Wednesday</v>
      </c>
      <c r="B52" s="13" t="n">
        <f aca="false">Setup!$C$5+121</f>
        <v>46148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TEXT(Setup!$C$5+121,"dddd")</f>
        <v>Wednesday</v>
      </c>
      <c r="B53" s="13" t="n">
        <f aca="false">Setup!$C$5+121</f>
        <v>46148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TEXT(Setup!$C$5+121,"dddd")</f>
        <v>Wednesday</v>
      </c>
      <c r="B54" s="13" t="n">
        <f aca="false">Setup!$C$5+121</f>
        <v>46148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TEXT(Setup!$C$5+121,"dddd")</f>
        <v>Wednesday</v>
      </c>
      <c r="B55" s="13" t="n">
        <f aca="false">Setup!$C$5+121</f>
        <v>46148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TEXT(Setup!$C$5+121,"dddd")</f>
        <v>Wednesday</v>
      </c>
      <c r="B56" s="13" t="n">
        <f aca="false">Setup!$C$5+121</f>
        <v>46148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TEXT(Setup!$C$5+121,"dddd")</f>
        <v>Wednesday</v>
      </c>
      <c r="B57" s="13" t="n">
        <f aca="false">Setup!$C$5+121</f>
        <v>46148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TEXT(Setup!$C$5+121,"dddd")</f>
        <v>Wednesday</v>
      </c>
      <c r="B58" s="13" t="n">
        <f aca="false">Setup!$C$5+121</f>
        <v>46148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TEXT(Setup!$C$5+121,"dddd")</f>
        <v>Wednesday</v>
      </c>
      <c r="B59" s="13" t="n">
        <f aca="false">Setup!$C$5+121</f>
        <v>46148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TEXT(Setup!$C$5+121,"dddd")</f>
        <v>Wednesday</v>
      </c>
      <c r="B60" s="13" t="n">
        <f aca="false">Setup!$C$5+121</f>
        <v>46148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TEXT(Setup!$C$5+121,"dddd")</f>
        <v>Wednesday</v>
      </c>
      <c r="B61" s="13" t="n">
        <f aca="false">Setup!$C$5+121</f>
        <v>46148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TEXT(Setup!$C$5+121,"dddd")</f>
        <v>Wednesday</v>
      </c>
      <c r="B62" s="13" t="n">
        <f aca="false">Setup!$C$5+121</f>
        <v>46148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TEXT(Setup!$C$5+121,"dddd")</f>
        <v>Wednesday</v>
      </c>
      <c r="B63" s="13" t="n">
        <f aca="false">Setup!$C$5+121</f>
        <v>46148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TEXT(Setup!$C$5+121,"dddd")</f>
        <v>Wednesday</v>
      </c>
      <c r="B64" s="13" t="n">
        <f aca="false">Setup!$C$5+121</f>
        <v>46148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TEXT(Setup!$C$5+121,"dddd")</f>
        <v>Wednesday</v>
      </c>
      <c r="B65" s="13" t="n">
        <f aca="false">Setup!$C$5+121</f>
        <v>46148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TEXT(Setup!$C$5+121,"dddd")</f>
        <v>Wednesday</v>
      </c>
      <c r="B66" s="13" t="n">
        <f aca="false">Setup!$C$5+121</f>
        <v>46148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TEXT(Setup!$C$5+121,"dddd")</f>
        <v>Wednesday</v>
      </c>
      <c r="B67" s="23" t="n">
        <f aca="false">Setup!$C$5+121</f>
        <v>46148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IFERROR(H67-Wk17!H67,"")</f>
        <v>0</v>
      </c>
      <c r="O67" s="24" t="n">
        <f aca="false">IFERROR(D67-Wk17!D67,"")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TEXT(Setup!$C$5+122,"dddd")</f>
        <v>Thursday</v>
      </c>
      <c r="B68" s="13" t="n">
        <f aca="false">Setup!$C$5+122</f>
        <v>46149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TEXT(Setup!$C$5+122,"dddd")</f>
        <v>Thursday</v>
      </c>
      <c r="B69" s="13" t="n">
        <f aca="false">Setup!$C$5+122</f>
        <v>46149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TEXT(Setup!$C$5+122,"dddd")</f>
        <v>Thursday</v>
      </c>
      <c r="B70" s="13" t="n">
        <f aca="false">Setup!$C$5+122</f>
        <v>46149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TEXT(Setup!$C$5+122,"dddd")</f>
        <v>Thursday</v>
      </c>
      <c r="B71" s="13" t="n">
        <f aca="false">Setup!$C$5+122</f>
        <v>46149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TEXT(Setup!$C$5+122,"dddd")</f>
        <v>Thursday</v>
      </c>
      <c r="B72" s="13" t="n">
        <f aca="false">Setup!$C$5+122</f>
        <v>46149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TEXT(Setup!$C$5+122,"dddd")</f>
        <v>Thursday</v>
      </c>
      <c r="B73" s="13" t="n">
        <f aca="false">Setup!$C$5+122</f>
        <v>46149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TEXT(Setup!$C$5+122,"dddd")</f>
        <v>Thursday</v>
      </c>
      <c r="B74" s="13" t="n">
        <f aca="false">Setup!$C$5+122</f>
        <v>46149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TEXT(Setup!$C$5+122,"dddd")</f>
        <v>Thursday</v>
      </c>
      <c r="B75" s="13" t="n">
        <f aca="false">Setup!$C$5+122</f>
        <v>46149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TEXT(Setup!$C$5+122,"dddd")</f>
        <v>Thursday</v>
      </c>
      <c r="B76" s="13" t="n">
        <f aca="false">Setup!$C$5+122</f>
        <v>46149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TEXT(Setup!$C$5+122,"dddd")</f>
        <v>Thursday</v>
      </c>
      <c r="B77" s="13" t="n">
        <f aca="false">Setup!$C$5+122</f>
        <v>46149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TEXT(Setup!$C$5+122,"dddd")</f>
        <v>Thursday</v>
      </c>
      <c r="B78" s="13" t="n">
        <f aca="false">Setup!$C$5+122</f>
        <v>46149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TEXT(Setup!$C$5+122,"dddd")</f>
        <v>Thursday</v>
      </c>
      <c r="B79" s="13" t="n">
        <f aca="false">Setup!$C$5+122</f>
        <v>46149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TEXT(Setup!$C$5+122,"dddd")</f>
        <v>Thursday</v>
      </c>
      <c r="B80" s="13" t="n">
        <f aca="false">Setup!$C$5+122</f>
        <v>46149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TEXT(Setup!$C$5+122,"dddd")</f>
        <v>Thursday</v>
      </c>
      <c r="B81" s="13" t="n">
        <f aca="false">Setup!$C$5+122</f>
        <v>46149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TEXT(Setup!$C$5+122,"dddd")</f>
        <v>Thursday</v>
      </c>
      <c r="B82" s="13" t="n">
        <f aca="false">Setup!$C$5+122</f>
        <v>46149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TEXT(Setup!$C$5+122,"dddd")</f>
        <v>Thursday</v>
      </c>
      <c r="B83" s="13" t="n">
        <f aca="false">Setup!$C$5+122</f>
        <v>46149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TEXT(Setup!$C$5+122,"dddd")</f>
        <v>Thursday</v>
      </c>
      <c r="B84" s="13" t="n">
        <f aca="false">Setup!$C$5+122</f>
        <v>46149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TEXT(Setup!$C$5+122,"dddd")</f>
        <v>Thursday</v>
      </c>
      <c r="B85" s="13" t="n">
        <f aca="false">Setup!$C$5+122</f>
        <v>46149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TEXT(Setup!$C$5+122,"dddd")</f>
        <v>Thursday</v>
      </c>
      <c r="B86" s="13" t="n">
        <f aca="false">Setup!$C$5+122</f>
        <v>46149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TEXT(Setup!$C$5+122,"dddd")</f>
        <v>Thursday</v>
      </c>
      <c r="B87" s="13" t="n">
        <f aca="false">Setup!$C$5+122</f>
        <v>46149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TEXT(Setup!$C$5+122,"dddd")</f>
        <v>Thursday</v>
      </c>
      <c r="B88" s="13" t="n">
        <f aca="false">Setup!$C$5+122</f>
        <v>46149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TEXT(Setup!$C$5+122,"dddd")</f>
        <v>Thursday</v>
      </c>
      <c r="B89" s="23" t="n">
        <f aca="false">Setup!$C$5+122</f>
        <v>46149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IFERROR(H89-Wk17!H89,"")</f>
        <v>0</v>
      </c>
      <c r="O89" s="24" t="n">
        <f aca="false">IFERROR(D89-Wk17!D89,"")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TEXT(Setup!$C$5+123,"dddd")</f>
        <v>Friday</v>
      </c>
      <c r="B90" s="13" t="n">
        <f aca="false">Setup!$C$5+123</f>
        <v>46150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TEXT(Setup!$C$5+123,"dddd")</f>
        <v>Friday</v>
      </c>
      <c r="B91" s="13" t="n">
        <f aca="false">Setup!$C$5+123</f>
        <v>46150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TEXT(Setup!$C$5+123,"dddd")</f>
        <v>Friday</v>
      </c>
      <c r="B92" s="13" t="n">
        <f aca="false">Setup!$C$5+123</f>
        <v>46150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TEXT(Setup!$C$5+123,"dddd")</f>
        <v>Friday</v>
      </c>
      <c r="B93" s="13" t="n">
        <f aca="false">Setup!$C$5+123</f>
        <v>46150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TEXT(Setup!$C$5+123,"dddd")</f>
        <v>Friday</v>
      </c>
      <c r="B94" s="13" t="n">
        <f aca="false">Setup!$C$5+123</f>
        <v>46150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TEXT(Setup!$C$5+123,"dddd")</f>
        <v>Friday</v>
      </c>
      <c r="B95" s="13" t="n">
        <f aca="false">Setup!$C$5+123</f>
        <v>46150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TEXT(Setup!$C$5+123,"dddd")</f>
        <v>Friday</v>
      </c>
      <c r="B96" s="13" t="n">
        <f aca="false">Setup!$C$5+123</f>
        <v>46150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TEXT(Setup!$C$5+123,"dddd")</f>
        <v>Friday</v>
      </c>
      <c r="B97" s="13" t="n">
        <f aca="false">Setup!$C$5+123</f>
        <v>46150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TEXT(Setup!$C$5+123,"dddd")</f>
        <v>Friday</v>
      </c>
      <c r="B98" s="13" t="n">
        <f aca="false">Setup!$C$5+123</f>
        <v>46150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TEXT(Setup!$C$5+123,"dddd")</f>
        <v>Friday</v>
      </c>
      <c r="B99" s="13" t="n">
        <f aca="false">Setup!$C$5+123</f>
        <v>46150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TEXT(Setup!$C$5+123,"dddd")</f>
        <v>Friday</v>
      </c>
      <c r="B100" s="13" t="n">
        <f aca="false">Setup!$C$5+123</f>
        <v>46150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TEXT(Setup!$C$5+123,"dddd")</f>
        <v>Friday</v>
      </c>
      <c r="B101" s="13" t="n">
        <f aca="false">Setup!$C$5+123</f>
        <v>46150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TEXT(Setup!$C$5+123,"dddd")</f>
        <v>Friday</v>
      </c>
      <c r="B102" s="13" t="n">
        <f aca="false">Setup!$C$5+123</f>
        <v>46150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TEXT(Setup!$C$5+123,"dddd")</f>
        <v>Friday</v>
      </c>
      <c r="B103" s="13" t="n">
        <f aca="false">Setup!$C$5+123</f>
        <v>46150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TEXT(Setup!$C$5+123,"dddd")</f>
        <v>Friday</v>
      </c>
      <c r="B104" s="13" t="n">
        <f aca="false">Setup!$C$5+123</f>
        <v>46150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TEXT(Setup!$C$5+123,"dddd")</f>
        <v>Friday</v>
      </c>
      <c r="B105" s="13" t="n">
        <f aca="false">Setup!$C$5+123</f>
        <v>46150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TEXT(Setup!$C$5+123,"dddd")</f>
        <v>Friday</v>
      </c>
      <c r="B106" s="13" t="n">
        <f aca="false">Setup!$C$5+123</f>
        <v>46150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TEXT(Setup!$C$5+123,"dddd")</f>
        <v>Friday</v>
      </c>
      <c r="B107" s="13" t="n">
        <f aca="false">Setup!$C$5+123</f>
        <v>46150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TEXT(Setup!$C$5+123,"dddd")</f>
        <v>Friday</v>
      </c>
      <c r="B108" s="13" t="n">
        <f aca="false">Setup!$C$5+123</f>
        <v>46150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TEXT(Setup!$C$5+123,"dddd")</f>
        <v>Friday</v>
      </c>
      <c r="B109" s="13" t="n">
        <f aca="false">Setup!$C$5+123</f>
        <v>46150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TEXT(Setup!$C$5+123,"dddd")</f>
        <v>Friday</v>
      </c>
      <c r="B110" s="13" t="n">
        <f aca="false">Setup!$C$5+123</f>
        <v>46150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TEXT(Setup!$C$5+123,"dddd")</f>
        <v>Friday</v>
      </c>
      <c r="B111" s="23" t="n">
        <f aca="false">Setup!$C$5+123</f>
        <v>46150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IFERROR(H111-Wk17!H111,"")</f>
        <v>0</v>
      </c>
      <c r="O111" s="24" t="n">
        <f aca="false">IFERROR(D111-Wk17!D111,"")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TEXT(Setup!$C$5+124,"dddd")</f>
        <v>Saturday</v>
      </c>
      <c r="B112" s="13" t="n">
        <f aca="false">Setup!$C$5+124</f>
        <v>46151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TEXT(Setup!$C$5+124,"dddd")</f>
        <v>Saturday</v>
      </c>
      <c r="B113" s="13" t="n">
        <f aca="false">Setup!$C$5+124</f>
        <v>46151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TEXT(Setup!$C$5+124,"dddd")</f>
        <v>Saturday</v>
      </c>
      <c r="B114" s="13" t="n">
        <f aca="false">Setup!$C$5+124</f>
        <v>46151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TEXT(Setup!$C$5+124,"dddd")</f>
        <v>Saturday</v>
      </c>
      <c r="B115" s="13" t="n">
        <f aca="false">Setup!$C$5+124</f>
        <v>46151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TEXT(Setup!$C$5+124,"dddd")</f>
        <v>Saturday</v>
      </c>
      <c r="B116" s="13" t="n">
        <f aca="false">Setup!$C$5+124</f>
        <v>46151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TEXT(Setup!$C$5+124,"dddd")</f>
        <v>Saturday</v>
      </c>
      <c r="B117" s="13" t="n">
        <f aca="false">Setup!$C$5+124</f>
        <v>46151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TEXT(Setup!$C$5+124,"dddd")</f>
        <v>Saturday</v>
      </c>
      <c r="B118" s="13" t="n">
        <f aca="false">Setup!$C$5+124</f>
        <v>46151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TEXT(Setup!$C$5+124,"dddd")</f>
        <v>Saturday</v>
      </c>
      <c r="B119" s="13" t="n">
        <f aca="false">Setup!$C$5+124</f>
        <v>46151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TEXT(Setup!$C$5+124,"dddd")</f>
        <v>Saturday</v>
      </c>
      <c r="B120" s="13" t="n">
        <f aca="false">Setup!$C$5+124</f>
        <v>46151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TEXT(Setup!$C$5+124,"dddd")</f>
        <v>Saturday</v>
      </c>
      <c r="B121" s="13" t="n">
        <f aca="false">Setup!$C$5+124</f>
        <v>46151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TEXT(Setup!$C$5+124,"dddd")</f>
        <v>Saturday</v>
      </c>
      <c r="B122" s="13" t="n">
        <f aca="false">Setup!$C$5+124</f>
        <v>46151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TEXT(Setup!$C$5+124,"dddd")</f>
        <v>Saturday</v>
      </c>
      <c r="B123" s="13" t="n">
        <f aca="false">Setup!$C$5+124</f>
        <v>46151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TEXT(Setup!$C$5+124,"dddd")</f>
        <v>Saturday</v>
      </c>
      <c r="B124" s="13" t="n">
        <f aca="false">Setup!$C$5+124</f>
        <v>46151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TEXT(Setup!$C$5+124,"dddd")</f>
        <v>Saturday</v>
      </c>
      <c r="B125" s="13" t="n">
        <f aca="false">Setup!$C$5+124</f>
        <v>46151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TEXT(Setup!$C$5+124,"dddd")</f>
        <v>Saturday</v>
      </c>
      <c r="B126" s="13" t="n">
        <f aca="false">Setup!$C$5+124</f>
        <v>46151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TEXT(Setup!$C$5+124,"dddd")</f>
        <v>Saturday</v>
      </c>
      <c r="B127" s="13" t="n">
        <f aca="false">Setup!$C$5+124</f>
        <v>46151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TEXT(Setup!$C$5+124,"dddd")</f>
        <v>Saturday</v>
      </c>
      <c r="B128" s="13" t="n">
        <f aca="false">Setup!$C$5+124</f>
        <v>46151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TEXT(Setup!$C$5+124,"dddd")</f>
        <v>Saturday</v>
      </c>
      <c r="B129" s="13" t="n">
        <f aca="false">Setup!$C$5+124</f>
        <v>46151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TEXT(Setup!$C$5+124,"dddd")</f>
        <v>Saturday</v>
      </c>
      <c r="B130" s="13" t="n">
        <f aca="false">Setup!$C$5+124</f>
        <v>46151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TEXT(Setup!$C$5+124,"dddd")</f>
        <v>Saturday</v>
      </c>
      <c r="B131" s="13" t="n">
        <f aca="false">Setup!$C$5+124</f>
        <v>46151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TEXT(Setup!$C$5+124,"dddd")</f>
        <v>Saturday</v>
      </c>
      <c r="B132" s="13" t="n">
        <f aca="false">Setup!$C$5+124</f>
        <v>46151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TEXT(Setup!$C$5+124,"dddd")</f>
        <v>Saturday</v>
      </c>
      <c r="B133" s="23" t="n">
        <f aca="false">Setup!$C$5+124</f>
        <v>46151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IFERROR(H133-Wk17!H133,"")</f>
        <v>0</v>
      </c>
      <c r="O133" s="24" t="n">
        <f aca="false">IFERROR(D133-Wk17!D133,"")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TEXT(Setup!$C$5+125,"dddd")</f>
        <v>Sunday</v>
      </c>
      <c r="B134" s="13" t="n">
        <f aca="false">Setup!$C$5+125</f>
        <v>46152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TEXT(Setup!$C$5+125,"dddd")</f>
        <v>Sunday</v>
      </c>
      <c r="B135" s="13" t="n">
        <f aca="false">Setup!$C$5+125</f>
        <v>46152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TEXT(Setup!$C$5+125,"dddd")</f>
        <v>Sunday</v>
      </c>
      <c r="B136" s="13" t="n">
        <f aca="false">Setup!$C$5+125</f>
        <v>46152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TEXT(Setup!$C$5+125,"dddd")</f>
        <v>Sunday</v>
      </c>
      <c r="B137" s="13" t="n">
        <f aca="false">Setup!$C$5+125</f>
        <v>46152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TEXT(Setup!$C$5+125,"dddd")</f>
        <v>Sunday</v>
      </c>
      <c r="B138" s="13" t="n">
        <f aca="false">Setup!$C$5+125</f>
        <v>46152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TEXT(Setup!$C$5+125,"dddd")</f>
        <v>Sunday</v>
      </c>
      <c r="B139" s="13" t="n">
        <f aca="false">Setup!$C$5+125</f>
        <v>46152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TEXT(Setup!$C$5+125,"dddd")</f>
        <v>Sunday</v>
      </c>
      <c r="B140" s="13" t="n">
        <f aca="false">Setup!$C$5+125</f>
        <v>46152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TEXT(Setup!$C$5+125,"dddd")</f>
        <v>Sunday</v>
      </c>
      <c r="B141" s="13" t="n">
        <f aca="false">Setup!$C$5+125</f>
        <v>46152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TEXT(Setup!$C$5+125,"dddd")</f>
        <v>Sunday</v>
      </c>
      <c r="B142" s="13" t="n">
        <f aca="false">Setup!$C$5+125</f>
        <v>46152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TEXT(Setup!$C$5+125,"dddd")</f>
        <v>Sunday</v>
      </c>
      <c r="B143" s="13" t="n">
        <f aca="false">Setup!$C$5+125</f>
        <v>46152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TEXT(Setup!$C$5+125,"dddd")</f>
        <v>Sunday</v>
      </c>
      <c r="B144" s="13" t="n">
        <f aca="false">Setup!$C$5+125</f>
        <v>46152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TEXT(Setup!$C$5+125,"dddd")</f>
        <v>Sunday</v>
      </c>
      <c r="B145" s="13" t="n">
        <f aca="false">Setup!$C$5+125</f>
        <v>46152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TEXT(Setup!$C$5+125,"dddd")</f>
        <v>Sunday</v>
      </c>
      <c r="B146" s="13" t="n">
        <f aca="false">Setup!$C$5+125</f>
        <v>46152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TEXT(Setup!$C$5+125,"dddd")</f>
        <v>Sunday</v>
      </c>
      <c r="B147" s="13" t="n">
        <f aca="false">Setup!$C$5+125</f>
        <v>46152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TEXT(Setup!$C$5+125,"dddd")</f>
        <v>Sunday</v>
      </c>
      <c r="B148" s="13" t="n">
        <f aca="false">Setup!$C$5+125</f>
        <v>46152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TEXT(Setup!$C$5+125,"dddd")</f>
        <v>Sunday</v>
      </c>
      <c r="B149" s="13" t="n">
        <f aca="false">Setup!$C$5+125</f>
        <v>46152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TEXT(Setup!$C$5+125,"dddd")</f>
        <v>Sunday</v>
      </c>
      <c r="B150" s="13" t="n">
        <f aca="false">Setup!$C$5+125</f>
        <v>46152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TEXT(Setup!$C$5+125,"dddd")</f>
        <v>Sunday</v>
      </c>
      <c r="B151" s="13" t="n">
        <f aca="false">Setup!$C$5+125</f>
        <v>46152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TEXT(Setup!$C$5+125,"dddd")</f>
        <v>Sunday</v>
      </c>
      <c r="B152" s="13" t="n">
        <f aca="false">Setup!$C$5+125</f>
        <v>46152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TEXT(Setup!$C$5+125,"dddd")</f>
        <v>Sunday</v>
      </c>
      <c r="B153" s="13" t="n">
        <f aca="false">Setup!$C$5+125</f>
        <v>46152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TEXT(Setup!$C$5+125,"dddd")</f>
        <v>Sunday</v>
      </c>
      <c r="B154" s="13" t="n">
        <f aca="false">Setup!$C$5+125</f>
        <v>46152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TEXT(Setup!$C$5+125,"dddd")</f>
        <v>Sunday</v>
      </c>
      <c r="B155" s="23" t="n">
        <f aca="false">Setup!$C$5+125</f>
        <v>46152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IFERROR(H155-Wk17!H155,"")</f>
        <v>0</v>
      </c>
      <c r="O155" s="24" t="n">
        <f aca="false">IFERROR(D155-Wk17!D155,"")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IFERROR(D156-Wk17!D156,"")</f>
        <v>0</v>
      </c>
      <c r="E157" s="34" t="n">
        <f aca="false">IFERROR(E156-Wk17!E156,"")</f>
        <v>0</v>
      </c>
      <c r="H157" s="32" t="n">
        <f aca="false">IFERROR(H156-Wk17!H156,"")</f>
        <v>0</v>
      </c>
      <c r="K157" s="32" t="n">
        <f aca="false">IFERROR(K156-Wk17!K156,"")</f>
        <v>0</v>
      </c>
      <c r="M157" s="32" t="n">
        <f aca="false">IFERROR(M156-Wk17!M156,"")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TEXT(Setup!$C$5+126,"dddd")</f>
        <v>Monday</v>
      </c>
      <c r="B2" s="13" t="n">
        <f aca="false">Setup!$C$5+126</f>
        <v>46153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TEXT(Setup!$C$5+126,"dddd")</f>
        <v>Monday</v>
      </c>
      <c r="B3" s="13" t="n">
        <f aca="false">Setup!$C$5+126</f>
        <v>46153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TEXT(Setup!$C$5+126,"dddd")</f>
        <v>Monday</v>
      </c>
      <c r="B4" s="13" t="n">
        <f aca="false">Setup!$C$5+126</f>
        <v>46153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TEXT(Setup!$C$5+126,"dddd")</f>
        <v>Monday</v>
      </c>
      <c r="B5" s="13" t="n">
        <f aca="false">Setup!$C$5+126</f>
        <v>46153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TEXT(Setup!$C$5+126,"dddd")</f>
        <v>Monday</v>
      </c>
      <c r="B6" s="13" t="n">
        <f aca="false">Setup!$C$5+126</f>
        <v>46153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TEXT(Setup!$C$5+126,"dddd")</f>
        <v>Monday</v>
      </c>
      <c r="B7" s="13" t="n">
        <f aca="false">Setup!$C$5+126</f>
        <v>46153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TEXT(Setup!$C$5+126,"dddd")</f>
        <v>Monday</v>
      </c>
      <c r="B8" s="13" t="n">
        <f aca="false">Setup!$C$5+126</f>
        <v>46153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TEXT(Setup!$C$5+126,"dddd")</f>
        <v>Monday</v>
      </c>
      <c r="B9" s="13" t="n">
        <f aca="false">Setup!$C$5+126</f>
        <v>46153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TEXT(Setup!$C$5+126,"dddd")</f>
        <v>Monday</v>
      </c>
      <c r="B10" s="13" t="n">
        <f aca="false">Setup!$C$5+126</f>
        <v>46153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TEXT(Setup!$C$5+126,"dddd")</f>
        <v>Monday</v>
      </c>
      <c r="B11" s="13" t="n">
        <f aca="false">Setup!$C$5+126</f>
        <v>46153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TEXT(Setup!$C$5+126,"dddd")</f>
        <v>Monday</v>
      </c>
      <c r="B12" s="13" t="n">
        <f aca="false">Setup!$C$5+126</f>
        <v>46153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TEXT(Setup!$C$5+126,"dddd")</f>
        <v>Monday</v>
      </c>
      <c r="B13" s="13" t="n">
        <f aca="false">Setup!$C$5+126</f>
        <v>46153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TEXT(Setup!$C$5+126,"dddd")</f>
        <v>Monday</v>
      </c>
      <c r="B14" s="13" t="n">
        <f aca="false">Setup!$C$5+126</f>
        <v>46153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TEXT(Setup!$C$5+126,"dddd")</f>
        <v>Monday</v>
      </c>
      <c r="B15" s="13" t="n">
        <f aca="false">Setup!$C$5+126</f>
        <v>46153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TEXT(Setup!$C$5+126,"dddd")</f>
        <v>Monday</v>
      </c>
      <c r="B16" s="13" t="n">
        <f aca="false">Setup!$C$5+126</f>
        <v>46153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TEXT(Setup!$C$5+126,"dddd")</f>
        <v>Monday</v>
      </c>
      <c r="B17" s="13" t="n">
        <f aca="false">Setup!$C$5+126</f>
        <v>46153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TEXT(Setup!$C$5+126,"dddd")</f>
        <v>Monday</v>
      </c>
      <c r="B18" s="13" t="n">
        <f aca="false">Setup!$C$5+126</f>
        <v>46153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TEXT(Setup!$C$5+126,"dddd")</f>
        <v>Monday</v>
      </c>
      <c r="B19" s="13" t="n">
        <f aca="false">Setup!$C$5+126</f>
        <v>46153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TEXT(Setup!$C$5+126,"dddd")</f>
        <v>Monday</v>
      </c>
      <c r="B20" s="13" t="n">
        <f aca="false">Setup!$C$5+126</f>
        <v>46153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TEXT(Setup!$C$5+126,"dddd")</f>
        <v>Monday</v>
      </c>
      <c r="B21" s="13" t="n">
        <f aca="false">Setup!$C$5+126</f>
        <v>46153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TEXT(Setup!$C$5+126,"dddd")</f>
        <v>Monday</v>
      </c>
      <c r="B22" s="13" t="n">
        <f aca="false">Setup!$C$5+126</f>
        <v>46153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TEXT(Setup!$C$5+126,"dddd")</f>
        <v>Monday</v>
      </c>
      <c r="B23" s="23" t="n">
        <f aca="false">Setup!$C$5+126</f>
        <v>46153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IFERROR(H23-Wk18!H23,"")</f>
        <v>0</v>
      </c>
      <c r="O23" s="24" t="n">
        <f aca="false">IFERROR(D23-Wk18!D23,"")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TEXT(Setup!$C$5+127,"dddd")</f>
        <v>Tuesday</v>
      </c>
      <c r="B24" s="13" t="n">
        <f aca="false">Setup!$C$5+127</f>
        <v>46154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TEXT(Setup!$C$5+127,"dddd")</f>
        <v>Tuesday</v>
      </c>
      <c r="B25" s="13" t="n">
        <f aca="false">Setup!$C$5+127</f>
        <v>46154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TEXT(Setup!$C$5+127,"dddd")</f>
        <v>Tuesday</v>
      </c>
      <c r="B26" s="13" t="n">
        <f aca="false">Setup!$C$5+127</f>
        <v>46154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TEXT(Setup!$C$5+127,"dddd")</f>
        <v>Tuesday</v>
      </c>
      <c r="B27" s="13" t="n">
        <f aca="false">Setup!$C$5+127</f>
        <v>46154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TEXT(Setup!$C$5+127,"dddd")</f>
        <v>Tuesday</v>
      </c>
      <c r="B28" s="13" t="n">
        <f aca="false">Setup!$C$5+127</f>
        <v>46154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TEXT(Setup!$C$5+127,"dddd")</f>
        <v>Tuesday</v>
      </c>
      <c r="B29" s="13" t="n">
        <f aca="false">Setup!$C$5+127</f>
        <v>46154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TEXT(Setup!$C$5+127,"dddd")</f>
        <v>Tuesday</v>
      </c>
      <c r="B30" s="13" t="n">
        <f aca="false">Setup!$C$5+127</f>
        <v>46154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TEXT(Setup!$C$5+127,"dddd")</f>
        <v>Tuesday</v>
      </c>
      <c r="B31" s="13" t="n">
        <f aca="false">Setup!$C$5+127</f>
        <v>46154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TEXT(Setup!$C$5+127,"dddd")</f>
        <v>Tuesday</v>
      </c>
      <c r="B32" s="13" t="n">
        <f aca="false">Setup!$C$5+127</f>
        <v>46154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TEXT(Setup!$C$5+127,"dddd")</f>
        <v>Tuesday</v>
      </c>
      <c r="B33" s="13" t="n">
        <f aca="false">Setup!$C$5+127</f>
        <v>46154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TEXT(Setup!$C$5+127,"dddd")</f>
        <v>Tuesday</v>
      </c>
      <c r="B34" s="13" t="n">
        <f aca="false">Setup!$C$5+127</f>
        <v>46154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TEXT(Setup!$C$5+127,"dddd")</f>
        <v>Tuesday</v>
      </c>
      <c r="B35" s="13" t="n">
        <f aca="false">Setup!$C$5+127</f>
        <v>46154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TEXT(Setup!$C$5+127,"dddd")</f>
        <v>Tuesday</v>
      </c>
      <c r="B36" s="13" t="n">
        <f aca="false">Setup!$C$5+127</f>
        <v>46154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TEXT(Setup!$C$5+127,"dddd")</f>
        <v>Tuesday</v>
      </c>
      <c r="B37" s="13" t="n">
        <f aca="false">Setup!$C$5+127</f>
        <v>46154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TEXT(Setup!$C$5+127,"dddd")</f>
        <v>Tuesday</v>
      </c>
      <c r="B38" s="13" t="n">
        <f aca="false">Setup!$C$5+127</f>
        <v>46154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TEXT(Setup!$C$5+127,"dddd")</f>
        <v>Tuesday</v>
      </c>
      <c r="B39" s="13" t="n">
        <f aca="false">Setup!$C$5+127</f>
        <v>46154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TEXT(Setup!$C$5+127,"dddd")</f>
        <v>Tuesday</v>
      </c>
      <c r="B40" s="13" t="n">
        <f aca="false">Setup!$C$5+127</f>
        <v>46154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TEXT(Setup!$C$5+127,"dddd")</f>
        <v>Tuesday</v>
      </c>
      <c r="B41" s="13" t="n">
        <f aca="false">Setup!$C$5+127</f>
        <v>46154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TEXT(Setup!$C$5+127,"dddd")</f>
        <v>Tuesday</v>
      </c>
      <c r="B42" s="13" t="n">
        <f aca="false">Setup!$C$5+127</f>
        <v>46154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TEXT(Setup!$C$5+127,"dddd")</f>
        <v>Tuesday</v>
      </c>
      <c r="B43" s="13" t="n">
        <f aca="false">Setup!$C$5+127</f>
        <v>46154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TEXT(Setup!$C$5+127,"dddd")</f>
        <v>Tuesday</v>
      </c>
      <c r="B44" s="13" t="n">
        <f aca="false">Setup!$C$5+127</f>
        <v>46154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TEXT(Setup!$C$5+127,"dddd")</f>
        <v>Tuesday</v>
      </c>
      <c r="B45" s="23" t="n">
        <f aca="false">Setup!$C$5+127</f>
        <v>46154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IFERROR(H45-Wk18!H45,"")</f>
        <v>0</v>
      </c>
      <c r="O45" s="24" t="n">
        <f aca="false">IFERROR(D45-Wk18!D45,"")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TEXT(Setup!$C$5+128,"dddd")</f>
        <v>Wednesday</v>
      </c>
      <c r="B46" s="13" t="n">
        <f aca="false">Setup!$C$5+128</f>
        <v>46155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TEXT(Setup!$C$5+128,"dddd")</f>
        <v>Wednesday</v>
      </c>
      <c r="B47" s="13" t="n">
        <f aca="false">Setup!$C$5+128</f>
        <v>46155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TEXT(Setup!$C$5+128,"dddd")</f>
        <v>Wednesday</v>
      </c>
      <c r="B48" s="13" t="n">
        <f aca="false">Setup!$C$5+128</f>
        <v>46155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TEXT(Setup!$C$5+128,"dddd")</f>
        <v>Wednesday</v>
      </c>
      <c r="B49" s="13" t="n">
        <f aca="false">Setup!$C$5+128</f>
        <v>46155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TEXT(Setup!$C$5+128,"dddd")</f>
        <v>Wednesday</v>
      </c>
      <c r="B50" s="13" t="n">
        <f aca="false">Setup!$C$5+128</f>
        <v>46155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TEXT(Setup!$C$5+128,"dddd")</f>
        <v>Wednesday</v>
      </c>
      <c r="B51" s="13" t="n">
        <f aca="false">Setup!$C$5+128</f>
        <v>46155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TEXT(Setup!$C$5+128,"dddd")</f>
        <v>Wednesday</v>
      </c>
      <c r="B52" s="13" t="n">
        <f aca="false">Setup!$C$5+128</f>
        <v>46155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TEXT(Setup!$C$5+128,"dddd")</f>
        <v>Wednesday</v>
      </c>
      <c r="B53" s="13" t="n">
        <f aca="false">Setup!$C$5+128</f>
        <v>46155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TEXT(Setup!$C$5+128,"dddd")</f>
        <v>Wednesday</v>
      </c>
      <c r="B54" s="13" t="n">
        <f aca="false">Setup!$C$5+128</f>
        <v>46155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TEXT(Setup!$C$5+128,"dddd")</f>
        <v>Wednesday</v>
      </c>
      <c r="B55" s="13" t="n">
        <f aca="false">Setup!$C$5+128</f>
        <v>46155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TEXT(Setup!$C$5+128,"dddd")</f>
        <v>Wednesday</v>
      </c>
      <c r="B56" s="13" t="n">
        <f aca="false">Setup!$C$5+128</f>
        <v>46155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TEXT(Setup!$C$5+128,"dddd")</f>
        <v>Wednesday</v>
      </c>
      <c r="B57" s="13" t="n">
        <f aca="false">Setup!$C$5+128</f>
        <v>46155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TEXT(Setup!$C$5+128,"dddd")</f>
        <v>Wednesday</v>
      </c>
      <c r="B58" s="13" t="n">
        <f aca="false">Setup!$C$5+128</f>
        <v>46155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TEXT(Setup!$C$5+128,"dddd")</f>
        <v>Wednesday</v>
      </c>
      <c r="B59" s="13" t="n">
        <f aca="false">Setup!$C$5+128</f>
        <v>46155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TEXT(Setup!$C$5+128,"dddd")</f>
        <v>Wednesday</v>
      </c>
      <c r="B60" s="13" t="n">
        <f aca="false">Setup!$C$5+128</f>
        <v>46155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TEXT(Setup!$C$5+128,"dddd")</f>
        <v>Wednesday</v>
      </c>
      <c r="B61" s="13" t="n">
        <f aca="false">Setup!$C$5+128</f>
        <v>46155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TEXT(Setup!$C$5+128,"dddd")</f>
        <v>Wednesday</v>
      </c>
      <c r="B62" s="13" t="n">
        <f aca="false">Setup!$C$5+128</f>
        <v>46155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TEXT(Setup!$C$5+128,"dddd")</f>
        <v>Wednesday</v>
      </c>
      <c r="B63" s="13" t="n">
        <f aca="false">Setup!$C$5+128</f>
        <v>46155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TEXT(Setup!$C$5+128,"dddd")</f>
        <v>Wednesday</v>
      </c>
      <c r="B64" s="13" t="n">
        <f aca="false">Setup!$C$5+128</f>
        <v>46155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TEXT(Setup!$C$5+128,"dddd")</f>
        <v>Wednesday</v>
      </c>
      <c r="B65" s="13" t="n">
        <f aca="false">Setup!$C$5+128</f>
        <v>46155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TEXT(Setup!$C$5+128,"dddd")</f>
        <v>Wednesday</v>
      </c>
      <c r="B66" s="13" t="n">
        <f aca="false">Setup!$C$5+128</f>
        <v>46155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TEXT(Setup!$C$5+128,"dddd")</f>
        <v>Wednesday</v>
      </c>
      <c r="B67" s="23" t="n">
        <f aca="false">Setup!$C$5+128</f>
        <v>46155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IFERROR(H67-Wk18!H67,"")</f>
        <v>0</v>
      </c>
      <c r="O67" s="24" t="n">
        <f aca="false">IFERROR(D67-Wk18!D67,"")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TEXT(Setup!$C$5+129,"dddd")</f>
        <v>Thursday</v>
      </c>
      <c r="B68" s="13" t="n">
        <f aca="false">Setup!$C$5+129</f>
        <v>46156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TEXT(Setup!$C$5+129,"dddd")</f>
        <v>Thursday</v>
      </c>
      <c r="B69" s="13" t="n">
        <f aca="false">Setup!$C$5+129</f>
        <v>46156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TEXT(Setup!$C$5+129,"dddd")</f>
        <v>Thursday</v>
      </c>
      <c r="B70" s="13" t="n">
        <f aca="false">Setup!$C$5+129</f>
        <v>46156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TEXT(Setup!$C$5+129,"dddd")</f>
        <v>Thursday</v>
      </c>
      <c r="B71" s="13" t="n">
        <f aca="false">Setup!$C$5+129</f>
        <v>46156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TEXT(Setup!$C$5+129,"dddd")</f>
        <v>Thursday</v>
      </c>
      <c r="B72" s="13" t="n">
        <f aca="false">Setup!$C$5+129</f>
        <v>46156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TEXT(Setup!$C$5+129,"dddd")</f>
        <v>Thursday</v>
      </c>
      <c r="B73" s="13" t="n">
        <f aca="false">Setup!$C$5+129</f>
        <v>46156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TEXT(Setup!$C$5+129,"dddd")</f>
        <v>Thursday</v>
      </c>
      <c r="B74" s="13" t="n">
        <f aca="false">Setup!$C$5+129</f>
        <v>46156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TEXT(Setup!$C$5+129,"dddd")</f>
        <v>Thursday</v>
      </c>
      <c r="B75" s="13" t="n">
        <f aca="false">Setup!$C$5+129</f>
        <v>46156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TEXT(Setup!$C$5+129,"dddd")</f>
        <v>Thursday</v>
      </c>
      <c r="B76" s="13" t="n">
        <f aca="false">Setup!$C$5+129</f>
        <v>46156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TEXT(Setup!$C$5+129,"dddd")</f>
        <v>Thursday</v>
      </c>
      <c r="B77" s="13" t="n">
        <f aca="false">Setup!$C$5+129</f>
        <v>46156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TEXT(Setup!$C$5+129,"dddd")</f>
        <v>Thursday</v>
      </c>
      <c r="B78" s="13" t="n">
        <f aca="false">Setup!$C$5+129</f>
        <v>46156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TEXT(Setup!$C$5+129,"dddd")</f>
        <v>Thursday</v>
      </c>
      <c r="B79" s="13" t="n">
        <f aca="false">Setup!$C$5+129</f>
        <v>46156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TEXT(Setup!$C$5+129,"dddd")</f>
        <v>Thursday</v>
      </c>
      <c r="B80" s="13" t="n">
        <f aca="false">Setup!$C$5+129</f>
        <v>46156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TEXT(Setup!$C$5+129,"dddd")</f>
        <v>Thursday</v>
      </c>
      <c r="B81" s="13" t="n">
        <f aca="false">Setup!$C$5+129</f>
        <v>46156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TEXT(Setup!$C$5+129,"dddd")</f>
        <v>Thursday</v>
      </c>
      <c r="B82" s="13" t="n">
        <f aca="false">Setup!$C$5+129</f>
        <v>46156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TEXT(Setup!$C$5+129,"dddd")</f>
        <v>Thursday</v>
      </c>
      <c r="B83" s="13" t="n">
        <f aca="false">Setup!$C$5+129</f>
        <v>46156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TEXT(Setup!$C$5+129,"dddd")</f>
        <v>Thursday</v>
      </c>
      <c r="B84" s="13" t="n">
        <f aca="false">Setup!$C$5+129</f>
        <v>46156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TEXT(Setup!$C$5+129,"dddd")</f>
        <v>Thursday</v>
      </c>
      <c r="B85" s="13" t="n">
        <f aca="false">Setup!$C$5+129</f>
        <v>46156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TEXT(Setup!$C$5+129,"dddd")</f>
        <v>Thursday</v>
      </c>
      <c r="B86" s="13" t="n">
        <f aca="false">Setup!$C$5+129</f>
        <v>46156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TEXT(Setup!$C$5+129,"dddd")</f>
        <v>Thursday</v>
      </c>
      <c r="B87" s="13" t="n">
        <f aca="false">Setup!$C$5+129</f>
        <v>46156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TEXT(Setup!$C$5+129,"dddd")</f>
        <v>Thursday</v>
      </c>
      <c r="B88" s="13" t="n">
        <f aca="false">Setup!$C$5+129</f>
        <v>46156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TEXT(Setup!$C$5+129,"dddd")</f>
        <v>Thursday</v>
      </c>
      <c r="B89" s="23" t="n">
        <f aca="false">Setup!$C$5+129</f>
        <v>46156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IFERROR(H89-Wk18!H89,"")</f>
        <v>0</v>
      </c>
      <c r="O89" s="24" t="n">
        <f aca="false">IFERROR(D89-Wk18!D89,"")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TEXT(Setup!$C$5+130,"dddd")</f>
        <v>Friday</v>
      </c>
      <c r="B90" s="13" t="n">
        <f aca="false">Setup!$C$5+130</f>
        <v>46157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TEXT(Setup!$C$5+130,"dddd")</f>
        <v>Friday</v>
      </c>
      <c r="B91" s="13" t="n">
        <f aca="false">Setup!$C$5+130</f>
        <v>46157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TEXT(Setup!$C$5+130,"dddd")</f>
        <v>Friday</v>
      </c>
      <c r="B92" s="13" t="n">
        <f aca="false">Setup!$C$5+130</f>
        <v>46157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TEXT(Setup!$C$5+130,"dddd")</f>
        <v>Friday</v>
      </c>
      <c r="B93" s="13" t="n">
        <f aca="false">Setup!$C$5+130</f>
        <v>46157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TEXT(Setup!$C$5+130,"dddd")</f>
        <v>Friday</v>
      </c>
      <c r="B94" s="13" t="n">
        <f aca="false">Setup!$C$5+130</f>
        <v>46157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TEXT(Setup!$C$5+130,"dddd")</f>
        <v>Friday</v>
      </c>
      <c r="B95" s="13" t="n">
        <f aca="false">Setup!$C$5+130</f>
        <v>46157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TEXT(Setup!$C$5+130,"dddd")</f>
        <v>Friday</v>
      </c>
      <c r="B96" s="13" t="n">
        <f aca="false">Setup!$C$5+130</f>
        <v>46157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TEXT(Setup!$C$5+130,"dddd")</f>
        <v>Friday</v>
      </c>
      <c r="B97" s="13" t="n">
        <f aca="false">Setup!$C$5+130</f>
        <v>46157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TEXT(Setup!$C$5+130,"dddd")</f>
        <v>Friday</v>
      </c>
      <c r="B98" s="13" t="n">
        <f aca="false">Setup!$C$5+130</f>
        <v>46157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TEXT(Setup!$C$5+130,"dddd")</f>
        <v>Friday</v>
      </c>
      <c r="B99" s="13" t="n">
        <f aca="false">Setup!$C$5+130</f>
        <v>46157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TEXT(Setup!$C$5+130,"dddd")</f>
        <v>Friday</v>
      </c>
      <c r="B100" s="13" t="n">
        <f aca="false">Setup!$C$5+130</f>
        <v>46157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TEXT(Setup!$C$5+130,"dddd")</f>
        <v>Friday</v>
      </c>
      <c r="B101" s="13" t="n">
        <f aca="false">Setup!$C$5+130</f>
        <v>46157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TEXT(Setup!$C$5+130,"dddd")</f>
        <v>Friday</v>
      </c>
      <c r="B102" s="13" t="n">
        <f aca="false">Setup!$C$5+130</f>
        <v>46157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TEXT(Setup!$C$5+130,"dddd")</f>
        <v>Friday</v>
      </c>
      <c r="B103" s="13" t="n">
        <f aca="false">Setup!$C$5+130</f>
        <v>46157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TEXT(Setup!$C$5+130,"dddd")</f>
        <v>Friday</v>
      </c>
      <c r="B104" s="13" t="n">
        <f aca="false">Setup!$C$5+130</f>
        <v>46157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TEXT(Setup!$C$5+130,"dddd")</f>
        <v>Friday</v>
      </c>
      <c r="B105" s="13" t="n">
        <f aca="false">Setup!$C$5+130</f>
        <v>46157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TEXT(Setup!$C$5+130,"dddd")</f>
        <v>Friday</v>
      </c>
      <c r="B106" s="13" t="n">
        <f aca="false">Setup!$C$5+130</f>
        <v>46157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TEXT(Setup!$C$5+130,"dddd")</f>
        <v>Friday</v>
      </c>
      <c r="B107" s="13" t="n">
        <f aca="false">Setup!$C$5+130</f>
        <v>46157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TEXT(Setup!$C$5+130,"dddd")</f>
        <v>Friday</v>
      </c>
      <c r="B108" s="13" t="n">
        <f aca="false">Setup!$C$5+130</f>
        <v>46157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TEXT(Setup!$C$5+130,"dddd")</f>
        <v>Friday</v>
      </c>
      <c r="B109" s="13" t="n">
        <f aca="false">Setup!$C$5+130</f>
        <v>46157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TEXT(Setup!$C$5+130,"dddd")</f>
        <v>Friday</v>
      </c>
      <c r="B110" s="13" t="n">
        <f aca="false">Setup!$C$5+130</f>
        <v>46157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TEXT(Setup!$C$5+130,"dddd")</f>
        <v>Friday</v>
      </c>
      <c r="B111" s="23" t="n">
        <f aca="false">Setup!$C$5+130</f>
        <v>46157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IFERROR(H111-Wk18!H111,"")</f>
        <v>0</v>
      </c>
      <c r="O111" s="24" t="n">
        <f aca="false">IFERROR(D111-Wk18!D111,"")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TEXT(Setup!$C$5+131,"dddd")</f>
        <v>Saturday</v>
      </c>
      <c r="B112" s="13" t="n">
        <f aca="false">Setup!$C$5+131</f>
        <v>46158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TEXT(Setup!$C$5+131,"dddd")</f>
        <v>Saturday</v>
      </c>
      <c r="B113" s="13" t="n">
        <f aca="false">Setup!$C$5+131</f>
        <v>46158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TEXT(Setup!$C$5+131,"dddd")</f>
        <v>Saturday</v>
      </c>
      <c r="B114" s="13" t="n">
        <f aca="false">Setup!$C$5+131</f>
        <v>46158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TEXT(Setup!$C$5+131,"dddd")</f>
        <v>Saturday</v>
      </c>
      <c r="B115" s="13" t="n">
        <f aca="false">Setup!$C$5+131</f>
        <v>46158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TEXT(Setup!$C$5+131,"dddd")</f>
        <v>Saturday</v>
      </c>
      <c r="B116" s="13" t="n">
        <f aca="false">Setup!$C$5+131</f>
        <v>46158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TEXT(Setup!$C$5+131,"dddd")</f>
        <v>Saturday</v>
      </c>
      <c r="B117" s="13" t="n">
        <f aca="false">Setup!$C$5+131</f>
        <v>46158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TEXT(Setup!$C$5+131,"dddd")</f>
        <v>Saturday</v>
      </c>
      <c r="B118" s="13" t="n">
        <f aca="false">Setup!$C$5+131</f>
        <v>46158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TEXT(Setup!$C$5+131,"dddd")</f>
        <v>Saturday</v>
      </c>
      <c r="B119" s="13" t="n">
        <f aca="false">Setup!$C$5+131</f>
        <v>46158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TEXT(Setup!$C$5+131,"dddd")</f>
        <v>Saturday</v>
      </c>
      <c r="B120" s="13" t="n">
        <f aca="false">Setup!$C$5+131</f>
        <v>46158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TEXT(Setup!$C$5+131,"dddd")</f>
        <v>Saturday</v>
      </c>
      <c r="B121" s="13" t="n">
        <f aca="false">Setup!$C$5+131</f>
        <v>46158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TEXT(Setup!$C$5+131,"dddd")</f>
        <v>Saturday</v>
      </c>
      <c r="B122" s="13" t="n">
        <f aca="false">Setup!$C$5+131</f>
        <v>46158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TEXT(Setup!$C$5+131,"dddd")</f>
        <v>Saturday</v>
      </c>
      <c r="B123" s="13" t="n">
        <f aca="false">Setup!$C$5+131</f>
        <v>46158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TEXT(Setup!$C$5+131,"dddd")</f>
        <v>Saturday</v>
      </c>
      <c r="B124" s="13" t="n">
        <f aca="false">Setup!$C$5+131</f>
        <v>46158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TEXT(Setup!$C$5+131,"dddd")</f>
        <v>Saturday</v>
      </c>
      <c r="B125" s="13" t="n">
        <f aca="false">Setup!$C$5+131</f>
        <v>46158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TEXT(Setup!$C$5+131,"dddd")</f>
        <v>Saturday</v>
      </c>
      <c r="B126" s="13" t="n">
        <f aca="false">Setup!$C$5+131</f>
        <v>46158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TEXT(Setup!$C$5+131,"dddd")</f>
        <v>Saturday</v>
      </c>
      <c r="B127" s="13" t="n">
        <f aca="false">Setup!$C$5+131</f>
        <v>46158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TEXT(Setup!$C$5+131,"dddd")</f>
        <v>Saturday</v>
      </c>
      <c r="B128" s="13" t="n">
        <f aca="false">Setup!$C$5+131</f>
        <v>46158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TEXT(Setup!$C$5+131,"dddd")</f>
        <v>Saturday</v>
      </c>
      <c r="B129" s="13" t="n">
        <f aca="false">Setup!$C$5+131</f>
        <v>46158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TEXT(Setup!$C$5+131,"dddd")</f>
        <v>Saturday</v>
      </c>
      <c r="B130" s="13" t="n">
        <f aca="false">Setup!$C$5+131</f>
        <v>46158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TEXT(Setup!$C$5+131,"dddd")</f>
        <v>Saturday</v>
      </c>
      <c r="B131" s="13" t="n">
        <f aca="false">Setup!$C$5+131</f>
        <v>46158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TEXT(Setup!$C$5+131,"dddd")</f>
        <v>Saturday</v>
      </c>
      <c r="B132" s="13" t="n">
        <f aca="false">Setup!$C$5+131</f>
        <v>46158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TEXT(Setup!$C$5+131,"dddd")</f>
        <v>Saturday</v>
      </c>
      <c r="B133" s="23" t="n">
        <f aca="false">Setup!$C$5+131</f>
        <v>46158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IFERROR(H133-Wk18!H133,"")</f>
        <v>0</v>
      </c>
      <c r="O133" s="24" t="n">
        <f aca="false">IFERROR(D133-Wk18!D133,"")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TEXT(Setup!$C$5+132,"dddd")</f>
        <v>Sunday</v>
      </c>
      <c r="B134" s="13" t="n">
        <f aca="false">Setup!$C$5+132</f>
        <v>46159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TEXT(Setup!$C$5+132,"dddd")</f>
        <v>Sunday</v>
      </c>
      <c r="B135" s="13" t="n">
        <f aca="false">Setup!$C$5+132</f>
        <v>46159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TEXT(Setup!$C$5+132,"dddd")</f>
        <v>Sunday</v>
      </c>
      <c r="B136" s="13" t="n">
        <f aca="false">Setup!$C$5+132</f>
        <v>46159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TEXT(Setup!$C$5+132,"dddd")</f>
        <v>Sunday</v>
      </c>
      <c r="B137" s="13" t="n">
        <f aca="false">Setup!$C$5+132</f>
        <v>46159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TEXT(Setup!$C$5+132,"dddd")</f>
        <v>Sunday</v>
      </c>
      <c r="B138" s="13" t="n">
        <f aca="false">Setup!$C$5+132</f>
        <v>46159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TEXT(Setup!$C$5+132,"dddd")</f>
        <v>Sunday</v>
      </c>
      <c r="B139" s="13" t="n">
        <f aca="false">Setup!$C$5+132</f>
        <v>46159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TEXT(Setup!$C$5+132,"dddd")</f>
        <v>Sunday</v>
      </c>
      <c r="B140" s="13" t="n">
        <f aca="false">Setup!$C$5+132</f>
        <v>46159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TEXT(Setup!$C$5+132,"dddd")</f>
        <v>Sunday</v>
      </c>
      <c r="B141" s="13" t="n">
        <f aca="false">Setup!$C$5+132</f>
        <v>46159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TEXT(Setup!$C$5+132,"dddd")</f>
        <v>Sunday</v>
      </c>
      <c r="B142" s="13" t="n">
        <f aca="false">Setup!$C$5+132</f>
        <v>46159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TEXT(Setup!$C$5+132,"dddd")</f>
        <v>Sunday</v>
      </c>
      <c r="B143" s="13" t="n">
        <f aca="false">Setup!$C$5+132</f>
        <v>46159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TEXT(Setup!$C$5+132,"dddd")</f>
        <v>Sunday</v>
      </c>
      <c r="B144" s="13" t="n">
        <f aca="false">Setup!$C$5+132</f>
        <v>46159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TEXT(Setup!$C$5+132,"dddd")</f>
        <v>Sunday</v>
      </c>
      <c r="B145" s="13" t="n">
        <f aca="false">Setup!$C$5+132</f>
        <v>46159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TEXT(Setup!$C$5+132,"dddd")</f>
        <v>Sunday</v>
      </c>
      <c r="B146" s="13" t="n">
        <f aca="false">Setup!$C$5+132</f>
        <v>46159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TEXT(Setup!$C$5+132,"dddd")</f>
        <v>Sunday</v>
      </c>
      <c r="B147" s="13" t="n">
        <f aca="false">Setup!$C$5+132</f>
        <v>46159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TEXT(Setup!$C$5+132,"dddd")</f>
        <v>Sunday</v>
      </c>
      <c r="B148" s="13" t="n">
        <f aca="false">Setup!$C$5+132</f>
        <v>46159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TEXT(Setup!$C$5+132,"dddd")</f>
        <v>Sunday</v>
      </c>
      <c r="B149" s="13" t="n">
        <f aca="false">Setup!$C$5+132</f>
        <v>46159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TEXT(Setup!$C$5+132,"dddd")</f>
        <v>Sunday</v>
      </c>
      <c r="B150" s="13" t="n">
        <f aca="false">Setup!$C$5+132</f>
        <v>46159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TEXT(Setup!$C$5+132,"dddd")</f>
        <v>Sunday</v>
      </c>
      <c r="B151" s="13" t="n">
        <f aca="false">Setup!$C$5+132</f>
        <v>46159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TEXT(Setup!$C$5+132,"dddd")</f>
        <v>Sunday</v>
      </c>
      <c r="B152" s="13" t="n">
        <f aca="false">Setup!$C$5+132</f>
        <v>46159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TEXT(Setup!$C$5+132,"dddd")</f>
        <v>Sunday</v>
      </c>
      <c r="B153" s="13" t="n">
        <f aca="false">Setup!$C$5+132</f>
        <v>46159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TEXT(Setup!$C$5+132,"dddd")</f>
        <v>Sunday</v>
      </c>
      <c r="B154" s="13" t="n">
        <f aca="false">Setup!$C$5+132</f>
        <v>46159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TEXT(Setup!$C$5+132,"dddd")</f>
        <v>Sunday</v>
      </c>
      <c r="B155" s="23" t="n">
        <f aca="false">Setup!$C$5+132</f>
        <v>46159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IFERROR(H155-Wk18!H155,"")</f>
        <v>0</v>
      </c>
      <c r="O155" s="24" t="n">
        <f aca="false">IFERROR(D155-Wk18!D155,"")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IFERROR(D156-Wk18!D156,"")</f>
        <v>0</v>
      </c>
      <c r="E157" s="34" t="n">
        <f aca="false">IFERROR(E156-Wk18!E156,"")</f>
        <v>0</v>
      </c>
      <c r="H157" s="32" t="n">
        <f aca="false">IFERROR(H156-Wk18!H156,"")</f>
        <v>0</v>
      </c>
      <c r="K157" s="32" t="n">
        <f aca="false">IFERROR(K156-Wk18!K156,"")</f>
        <v>0</v>
      </c>
      <c r="M157" s="32" t="n">
        <f aca="false">IFERROR(M156-Wk18!M156,"")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TEXT(Setup!$C$5+133,"dddd")</f>
        <v>Monday</v>
      </c>
      <c r="B2" s="13" t="n">
        <f aca="false">Setup!$C$5+133</f>
        <v>46160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TEXT(Setup!$C$5+133,"dddd")</f>
        <v>Monday</v>
      </c>
      <c r="B3" s="13" t="n">
        <f aca="false">Setup!$C$5+133</f>
        <v>46160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TEXT(Setup!$C$5+133,"dddd")</f>
        <v>Monday</v>
      </c>
      <c r="B4" s="13" t="n">
        <f aca="false">Setup!$C$5+133</f>
        <v>46160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TEXT(Setup!$C$5+133,"dddd")</f>
        <v>Monday</v>
      </c>
      <c r="B5" s="13" t="n">
        <f aca="false">Setup!$C$5+133</f>
        <v>46160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TEXT(Setup!$C$5+133,"dddd")</f>
        <v>Monday</v>
      </c>
      <c r="B6" s="13" t="n">
        <f aca="false">Setup!$C$5+133</f>
        <v>46160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TEXT(Setup!$C$5+133,"dddd")</f>
        <v>Monday</v>
      </c>
      <c r="B7" s="13" t="n">
        <f aca="false">Setup!$C$5+133</f>
        <v>46160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TEXT(Setup!$C$5+133,"dddd")</f>
        <v>Monday</v>
      </c>
      <c r="B8" s="13" t="n">
        <f aca="false">Setup!$C$5+133</f>
        <v>46160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TEXT(Setup!$C$5+133,"dddd")</f>
        <v>Monday</v>
      </c>
      <c r="B9" s="13" t="n">
        <f aca="false">Setup!$C$5+133</f>
        <v>46160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TEXT(Setup!$C$5+133,"dddd")</f>
        <v>Monday</v>
      </c>
      <c r="B10" s="13" t="n">
        <f aca="false">Setup!$C$5+133</f>
        <v>46160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TEXT(Setup!$C$5+133,"dddd")</f>
        <v>Monday</v>
      </c>
      <c r="B11" s="13" t="n">
        <f aca="false">Setup!$C$5+133</f>
        <v>46160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TEXT(Setup!$C$5+133,"dddd")</f>
        <v>Monday</v>
      </c>
      <c r="B12" s="13" t="n">
        <f aca="false">Setup!$C$5+133</f>
        <v>46160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TEXT(Setup!$C$5+133,"dddd")</f>
        <v>Monday</v>
      </c>
      <c r="B13" s="13" t="n">
        <f aca="false">Setup!$C$5+133</f>
        <v>46160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TEXT(Setup!$C$5+133,"dddd")</f>
        <v>Monday</v>
      </c>
      <c r="B14" s="13" t="n">
        <f aca="false">Setup!$C$5+133</f>
        <v>46160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TEXT(Setup!$C$5+133,"dddd")</f>
        <v>Monday</v>
      </c>
      <c r="B15" s="13" t="n">
        <f aca="false">Setup!$C$5+133</f>
        <v>46160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TEXT(Setup!$C$5+133,"dddd")</f>
        <v>Monday</v>
      </c>
      <c r="B16" s="13" t="n">
        <f aca="false">Setup!$C$5+133</f>
        <v>46160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TEXT(Setup!$C$5+133,"dddd")</f>
        <v>Monday</v>
      </c>
      <c r="B17" s="13" t="n">
        <f aca="false">Setup!$C$5+133</f>
        <v>46160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TEXT(Setup!$C$5+133,"dddd")</f>
        <v>Monday</v>
      </c>
      <c r="B18" s="13" t="n">
        <f aca="false">Setup!$C$5+133</f>
        <v>46160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TEXT(Setup!$C$5+133,"dddd")</f>
        <v>Monday</v>
      </c>
      <c r="B19" s="13" t="n">
        <f aca="false">Setup!$C$5+133</f>
        <v>46160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TEXT(Setup!$C$5+133,"dddd")</f>
        <v>Monday</v>
      </c>
      <c r="B20" s="13" t="n">
        <f aca="false">Setup!$C$5+133</f>
        <v>46160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TEXT(Setup!$C$5+133,"dddd")</f>
        <v>Monday</v>
      </c>
      <c r="B21" s="13" t="n">
        <f aca="false">Setup!$C$5+133</f>
        <v>46160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TEXT(Setup!$C$5+133,"dddd")</f>
        <v>Monday</v>
      </c>
      <c r="B22" s="13" t="n">
        <f aca="false">Setup!$C$5+133</f>
        <v>46160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TEXT(Setup!$C$5+133,"dddd")</f>
        <v>Monday</v>
      </c>
      <c r="B23" s="23" t="n">
        <f aca="false">Setup!$C$5+133</f>
        <v>46160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IFERROR(H23-Wk19!H23,"")</f>
        <v>0</v>
      </c>
      <c r="O23" s="24" t="n">
        <f aca="false">IFERROR(D23-Wk19!D23,"")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TEXT(Setup!$C$5+134,"dddd")</f>
        <v>Tuesday</v>
      </c>
      <c r="B24" s="13" t="n">
        <f aca="false">Setup!$C$5+134</f>
        <v>46161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TEXT(Setup!$C$5+134,"dddd")</f>
        <v>Tuesday</v>
      </c>
      <c r="B25" s="13" t="n">
        <f aca="false">Setup!$C$5+134</f>
        <v>46161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TEXT(Setup!$C$5+134,"dddd")</f>
        <v>Tuesday</v>
      </c>
      <c r="B26" s="13" t="n">
        <f aca="false">Setup!$C$5+134</f>
        <v>46161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TEXT(Setup!$C$5+134,"dddd")</f>
        <v>Tuesday</v>
      </c>
      <c r="B27" s="13" t="n">
        <f aca="false">Setup!$C$5+134</f>
        <v>46161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TEXT(Setup!$C$5+134,"dddd")</f>
        <v>Tuesday</v>
      </c>
      <c r="B28" s="13" t="n">
        <f aca="false">Setup!$C$5+134</f>
        <v>46161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TEXT(Setup!$C$5+134,"dddd")</f>
        <v>Tuesday</v>
      </c>
      <c r="B29" s="13" t="n">
        <f aca="false">Setup!$C$5+134</f>
        <v>46161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TEXT(Setup!$C$5+134,"dddd")</f>
        <v>Tuesday</v>
      </c>
      <c r="B30" s="13" t="n">
        <f aca="false">Setup!$C$5+134</f>
        <v>46161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TEXT(Setup!$C$5+134,"dddd")</f>
        <v>Tuesday</v>
      </c>
      <c r="B31" s="13" t="n">
        <f aca="false">Setup!$C$5+134</f>
        <v>46161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TEXT(Setup!$C$5+134,"dddd")</f>
        <v>Tuesday</v>
      </c>
      <c r="B32" s="13" t="n">
        <f aca="false">Setup!$C$5+134</f>
        <v>46161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TEXT(Setup!$C$5+134,"dddd")</f>
        <v>Tuesday</v>
      </c>
      <c r="B33" s="13" t="n">
        <f aca="false">Setup!$C$5+134</f>
        <v>46161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TEXT(Setup!$C$5+134,"dddd")</f>
        <v>Tuesday</v>
      </c>
      <c r="B34" s="13" t="n">
        <f aca="false">Setup!$C$5+134</f>
        <v>46161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TEXT(Setup!$C$5+134,"dddd")</f>
        <v>Tuesday</v>
      </c>
      <c r="B35" s="13" t="n">
        <f aca="false">Setup!$C$5+134</f>
        <v>46161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TEXT(Setup!$C$5+134,"dddd")</f>
        <v>Tuesday</v>
      </c>
      <c r="B36" s="13" t="n">
        <f aca="false">Setup!$C$5+134</f>
        <v>46161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TEXT(Setup!$C$5+134,"dddd")</f>
        <v>Tuesday</v>
      </c>
      <c r="B37" s="13" t="n">
        <f aca="false">Setup!$C$5+134</f>
        <v>46161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TEXT(Setup!$C$5+134,"dddd")</f>
        <v>Tuesday</v>
      </c>
      <c r="B38" s="13" t="n">
        <f aca="false">Setup!$C$5+134</f>
        <v>46161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TEXT(Setup!$C$5+134,"dddd")</f>
        <v>Tuesday</v>
      </c>
      <c r="B39" s="13" t="n">
        <f aca="false">Setup!$C$5+134</f>
        <v>46161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TEXT(Setup!$C$5+134,"dddd")</f>
        <v>Tuesday</v>
      </c>
      <c r="B40" s="13" t="n">
        <f aca="false">Setup!$C$5+134</f>
        <v>46161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TEXT(Setup!$C$5+134,"dddd")</f>
        <v>Tuesday</v>
      </c>
      <c r="B41" s="13" t="n">
        <f aca="false">Setup!$C$5+134</f>
        <v>46161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TEXT(Setup!$C$5+134,"dddd")</f>
        <v>Tuesday</v>
      </c>
      <c r="B42" s="13" t="n">
        <f aca="false">Setup!$C$5+134</f>
        <v>46161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TEXT(Setup!$C$5+134,"dddd")</f>
        <v>Tuesday</v>
      </c>
      <c r="B43" s="13" t="n">
        <f aca="false">Setup!$C$5+134</f>
        <v>46161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TEXT(Setup!$C$5+134,"dddd")</f>
        <v>Tuesday</v>
      </c>
      <c r="B44" s="13" t="n">
        <f aca="false">Setup!$C$5+134</f>
        <v>46161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TEXT(Setup!$C$5+134,"dddd")</f>
        <v>Tuesday</v>
      </c>
      <c r="B45" s="23" t="n">
        <f aca="false">Setup!$C$5+134</f>
        <v>46161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IFERROR(H45-Wk19!H45,"")</f>
        <v>0</v>
      </c>
      <c r="O45" s="24" t="n">
        <f aca="false">IFERROR(D45-Wk19!D45,"")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TEXT(Setup!$C$5+135,"dddd")</f>
        <v>Wednesday</v>
      </c>
      <c r="B46" s="13" t="n">
        <f aca="false">Setup!$C$5+135</f>
        <v>46162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TEXT(Setup!$C$5+135,"dddd")</f>
        <v>Wednesday</v>
      </c>
      <c r="B47" s="13" t="n">
        <f aca="false">Setup!$C$5+135</f>
        <v>46162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TEXT(Setup!$C$5+135,"dddd")</f>
        <v>Wednesday</v>
      </c>
      <c r="B48" s="13" t="n">
        <f aca="false">Setup!$C$5+135</f>
        <v>46162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TEXT(Setup!$C$5+135,"dddd")</f>
        <v>Wednesday</v>
      </c>
      <c r="B49" s="13" t="n">
        <f aca="false">Setup!$C$5+135</f>
        <v>46162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TEXT(Setup!$C$5+135,"dddd")</f>
        <v>Wednesday</v>
      </c>
      <c r="B50" s="13" t="n">
        <f aca="false">Setup!$C$5+135</f>
        <v>46162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TEXT(Setup!$C$5+135,"dddd")</f>
        <v>Wednesday</v>
      </c>
      <c r="B51" s="13" t="n">
        <f aca="false">Setup!$C$5+135</f>
        <v>46162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TEXT(Setup!$C$5+135,"dddd")</f>
        <v>Wednesday</v>
      </c>
      <c r="B52" s="13" t="n">
        <f aca="false">Setup!$C$5+135</f>
        <v>46162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TEXT(Setup!$C$5+135,"dddd")</f>
        <v>Wednesday</v>
      </c>
      <c r="B53" s="13" t="n">
        <f aca="false">Setup!$C$5+135</f>
        <v>46162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TEXT(Setup!$C$5+135,"dddd")</f>
        <v>Wednesday</v>
      </c>
      <c r="B54" s="13" t="n">
        <f aca="false">Setup!$C$5+135</f>
        <v>46162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TEXT(Setup!$C$5+135,"dddd")</f>
        <v>Wednesday</v>
      </c>
      <c r="B55" s="13" t="n">
        <f aca="false">Setup!$C$5+135</f>
        <v>46162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TEXT(Setup!$C$5+135,"dddd")</f>
        <v>Wednesday</v>
      </c>
      <c r="B56" s="13" t="n">
        <f aca="false">Setup!$C$5+135</f>
        <v>46162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TEXT(Setup!$C$5+135,"dddd")</f>
        <v>Wednesday</v>
      </c>
      <c r="B57" s="13" t="n">
        <f aca="false">Setup!$C$5+135</f>
        <v>46162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TEXT(Setup!$C$5+135,"dddd")</f>
        <v>Wednesday</v>
      </c>
      <c r="B58" s="13" t="n">
        <f aca="false">Setup!$C$5+135</f>
        <v>46162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TEXT(Setup!$C$5+135,"dddd")</f>
        <v>Wednesday</v>
      </c>
      <c r="B59" s="13" t="n">
        <f aca="false">Setup!$C$5+135</f>
        <v>46162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TEXT(Setup!$C$5+135,"dddd")</f>
        <v>Wednesday</v>
      </c>
      <c r="B60" s="13" t="n">
        <f aca="false">Setup!$C$5+135</f>
        <v>46162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TEXT(Setup!$C$5+135,"dddd")</f>
        <v>Wednesday</v>
      </c>
      <c r="B61" s="13" t="n">
        <f aca="false">Setup!$C$5+135</f>
        <v>46162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TEXT(Setup!$C$5+135,"dddd")</f>
        <v>Wednesday</v>
      </c>
      <c r="B62" s="13" t="n">
        <f aca="false">Setup!$C$5+135</f>
        <v>46162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TEXT(Setup!$C$5+135,"dddd")</f>
        <v>Wednesday</v>
      </c>
      <c r="B63" s="13" t="n">
        <f aca="false">Setup!$C$5+135</f>
        <v>46162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TEXT(Setup!$C$5+135,"dddd")</f>
        <v>Wednesday</v>
      </c>
      <c r="B64" s="13" t="n">
        <f aca="false">Setup!$C$5+135</f>
        <v>46162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TEXT(Setup!$C$5+135,"dddd")</f>
        <v>Wednesday</v>
      </c>
      <c r="B65" s="13" t="n">
        <f aca="false">Setup!$C$5+135</f>
        <v>46162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TEXT(Setup!$C$5+135,"dddd")</f>
        <v>Wednesday</v>
      </c>
      <c r="B66" s="13" t="n">
        <f aca="false">Setup!$C$5+135</f>
        <v>46162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TEXT(Setup!$C$5+135,"dddd")</f>
        <v>Wednesday</v>
      </c>
      <c r="B67" s="23" t="n">
        <f aca="false">Setup!$C$5+135</f>
        <v>46162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IFERROR(H67-Wk19!H67,"")</f>
        <v>0</v>
      </c>
      <c r="O67" s="24" t="n">
        <f aca="false">IFERROR(D67-Wk19!D67,"")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TEXT(Setup!$C$5+136,"dddd")</f>
        <v>Thursday</v>
      </c>
      <c r="B68" s="13" t="n">
        <f aca="false">Setup!$C$5+136</f>
        <v>46163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TEXT(Setup!$C$5+136,"dddd")</f>
        <v>Thursday</v>
      </c>
      <c r="B69" s="13" t="n">
        <f aca="false">Setup!$C$5+136</f>
        <v>46163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TEXT(Setup!$C$5+136,"dddd")</f>
        <v>Thursday</v>
      </c>
      <c r="B70" s="13" t="n">
        <f aca="false">Setup!$C$5+136</f>
        <v>46163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TEXT(Setup!$C$5+136,"dddd")</f>
        <v>Thursday</v>
      </c>
      <c r="B71" s="13" t="n">
        <f aca="false">Setup!$C$5+136</f>
        <v>46163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TEXT(Setup!$C$5+136,"dddd")</f>
        <v>Thursday</v>
      </c>
      <c r="B72" s="13" t="n">
        <f aca="false">Setup!$C$5+136</f>
        <v>46163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TEXT(Setup!$C$5+136,"dddd")</f>
        <v>Thursday</v>
      </c>
      <c r="B73" s="13" t="n">
        <f aca="false">Setup!$C$5+136</f>
        <v>46163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TEXT(Setup!$C$5+136,"dddd")</f>
        <v>Thursday</v>
      </c>
      <c r="B74" s="13" t="n">
        <f aca="false">Setup!$C$5+136</f>
        <v>46163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TEXT(Setup!$C$5+136,"dddd")</f>
        <v>Thursday</v>
      </c>
      <c r="B75" s="13" t="n">
        <f aca="false">Setup!$C$5+136</f>
        <v>46163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TEXT(Setup!$C$5+136,"dddd")</f>
        <v>Thursday</v>
      </c>
      <c r="B76" s="13" t="n">
        <f aca="false">Setup!$C$5+136</f>
        <v>46163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TEXT(Setup!$C$5+136,"dddd")</f>
        <v>Thursday</v>
      </c>
      <c r="B77" s="13" t="n">
        <f aca="false">Setup!$C$5+136</f>
        <v>46163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TEXT(Setup!$C$5+136,"dddd")</f>
        <v>Thursday</v>
      </c>
      <c r="B78" s="13" t="n">
        <f aca="false">Setup!$C$5+136</f>
        <v>46163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TEXT(Setup!$C$5+136,"dddd")</f>
        <v>Thursday</v>
      </c>
      <c r="B79" s="13" t="n">
        <f aca="false">Setup!$C$5+136</f>
        <v>46163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TEXT(Setup!$C$5+136,"dddd")</f>
        <v>Thursday</v>
      </c>
      <c r="B80" s="13" t="n">
        <f aca="false">Setup!$C$5+136</f>
        <v>46163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TEXT(Setup!$C$5+136,"dddd")</f>
        <v>Thursday</v>
      </c>
      <c r="B81" s="13" t="n">
        <f aca="false">Setup!$C$5+136</f>
        <v>46163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TEXT(Setup!$C$5+136,"dddd")</f>
        <v>Thursday</v>
      </c>
      <c r="B82" s="13" t="n">
        <f aca="false">Setup!$C$5+136</f>
        <v>46163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TEXT(Setup!$C$5+136,"dddd")</f>
        <v>Thursday</v>
      </c>
      <c r="B83" s="13" t="n">
        <f aca="false">Setup!$C$5+136</f>
        <v>46163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TEXT(Setup!$C$5+136,"dddd")</f>
        <v>Thursday</v>
      </c>
      <c r="B84" s="13" t="n">
        <f aca="false">Setup!$C$5+136</f>
        <v>46163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TEXT(Setup!$C$5+136,"dddd")</f>
        <v>Thursday</v>
      </c>
      <c r="B85" s="13" t="n">
        <f aca="false">Setup!$C$5+136</f>
        <v>46163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TEXT(Setup!$C$5+136,"dddd")</f>
        <v>Thursday</v>
      </c>
      <c r="B86" s="13" t="n">
        <f aca="false">Setup!$C$5+136</f>
        <v>46163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TEXT(Setup!$C$5+136,"dddd")</f>
        <v>Thursday</v>
      </c>
      <c r="B87" s="13" t="n">
        <f aca="false">Setup!$C$5+136</f>
        <v>46163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TEXT(Setup!$C$5+136,"dddd")</f>
        <v>Thursday</v>
      </c>
      <c r="B88" s="13" t="n">
        <f aca="false">Setup!$C$5+136</f>
        <v>46163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TEXT(Setup!$C$5+136,"dddd")</f>
        <v>Thursday</v>
      </c>
      <c r="B89" s="23" t="n">
        <f aca="false">Setup!$C$5+136</f>
        <v>46163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IFERROR(H89-Wk19!H89,"")</f>
        <v>0</v>
      </c>
      <c r="O89" s="24" t="n">
        <f aca="false">IFERROR(D89-Wk19!D89,"")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TEXT(Setup!$C$5+137,"dddd")</f>
        <v>Friday</v>
      </c>
      <c r="B90" s="13" t="n">
        <f aca="false">Setup!$C$5+137</f>
        <v>46164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TEXT(Setup!$C$5+137,"dddd")</f>
        <v>Friday</v>
      </c>
      <c r="B91" s="13" t="n">
        <f aca="false">Setup!$C$5+137</f>
        <v>46164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TEXT(Setup!$C$5+137,"dddd")</f>
        <v>Friday</v>
      </c>
      <c r="B92" s="13" t="n">
        <f aca="false">Setup!$C$5+137</f>
        <v>46164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TEXT(Setup!$C$5+137,"dddd")</f>
        <v>Friday</v>
      </c>
      <c r="B93" s="13" t="n">
        <f aca="false">Setup!$C$5+137</f>
        <v>46164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TEXT(Setup!$C$5+137,"dddd")</f>
        <v>Friday</v>
      </c>
      <c r="B94" s="13" t="n">
        <f aca="false">Setup!$C$5+137</f>
        <v>46164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TEXT(Setup!$C$5+137,"dddd")</f>
        <v>Friday</v>
      </c>
      <c r="B95" s="13" t="n">
        <f aca="false">Setup!$C$5+137</f>
        <v>46164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TEXT(Setup!$C$5+137,"dddd")</f>
        <v>Friday</v>
      </c>
      <c r="B96" s="13" t="n">
        <f aca="false">Setup!$C$5+137</f>
        <v>46164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TEXT(Setup!$C$5+137,"dddd")</f>
        <v>Friday</v>
      </c>
      <c r="B97" s="13" t="n">
        <f aca="false">Setup!$C$5+137</f>
        <v>46164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TEXT(Setup!$C$5+137,"dddd")</f>
        <v>Friday</v>
      </c>
      <c r="B98" s="13" t="n">
        <f aca="false">Setup!$C$5+137</f>
        <v>46164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TEXT(Setup!$C$5+137,"dddd")</f>
        <v>Friday</v>
      </c>
      <c r="B99" s="13" t="n">
        <f aca="false">Setup!$C$5+137</f>
        <v>46164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TEXT(Setup!$C$5+137,"dddd")</f>
        <v>Friday</v>
      </c>
      <c r="B100" s="13" t="n">
        <f aca="false">Setup!$C$5+137</f>
        <v>46164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TEXT(Setup!$C$5+137,"dddd")</f>
        <v>Friday</v>
      </c>
      <c r="B101" s="13" t="n">
        <f aca="false">Setup!$C$5+137</f>
        <v>46164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TEXT(Setup!$C$5+137,"dddd")</f>
        <v>Friday</v>
      </c>
      <c r="B102" s="13" t="n">
        <f aca="false">Setup!$C$5+137</f>
        <v>46164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TEXT(Setup!$C$5+137,"dddd")</f>
        <v>Friday</v>
      </c>
      <c r="B103" s="13" t="n">
        <f aca="false">Setup!$C$5+137</f>
        <v>46164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TEXT(Setup!$C$5+137,"dddd")</f>
        <v>Friday</v>
      </c>
      <c r="B104" s="13" t="n">
        <f aca="false">Setup!$C$5+137</f>
        <v>46164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TEXT(Setup!$C$5+137,"dddd")</f>
        <v>Friday</v>
      </c>
      <c r="B105" s="13" t="n">
        <f aca="false">Setup!$C$5+137</f>
        <v>46164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TEXT(Setup!$C$5+137,"dddd")</f>
        <v>Friday</v>
      </c>
      <c r="B106" s="13" t="n">
        <f aca="false">Setup!$C$5+137</f>
        <v>46164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TEXT(Setup!$C$5+137,"dddd")</f>
        <v>Friday</v>
      </c>
      <c r="B107" s="13" t="n">
        <f aca="false">Setup!$C$5+137</f>
        <v>46164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TEXT(Setup!$C$5+137,"dddd")</f>
        <v>Friday</v>
      </c>
      <c r="B108" s="13" t="n">
        <f aca="false">Setup!$C$5+137</f>
        <v>46164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TEXT(Setup!$C$5+137,"dddd")</f>
        <v>Friday</v>
      </c>
      <c r="B109" s="13" t="n">
        <f aca="false">Setup!$C$5+137</f>
        <v>46164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TEXT(Setup!$C$5+137,"dddd")</f>
        <v>Friday</v>
      </c>
      <c r="B110" s="13" t="n">
        <f aca="false">Setup!$C$5+137</f>
        <v>46164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TEXT(Setup!$C$5+137,"dddd")</f>
        <v>Friday</v>
      </c>
      <c r="B111" s="23" t="n">
        <f aca="false">Setup!$C$5+137</f>
        <v>46164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IFERROR(H111-Wk19!H111,"")</f>
        <v>0</v>
      </c>
      <c r="O111" s="24" t="n">
        <f aca="false">IFERROR(D111-Wk19!D111,"")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TEXT(Setup!$C$5+138,"dddd")</f>
        <v>Saturday</v>
      </c>
      <c r="B112" s="13" t="n">
        <f aca="false">Setup!$C$5+138</f>
        <v>46165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TEXT(Setup!$C$5+138,"dddd")</f>
        <v>Saturday</v>
      </c>
      <c r="B113" s="13" t="n">
        <f aca="false">Setup!$C$5+138</f>
        <v>46165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TEXT(Setup!$C$5+138,"dddd")</f>
        <v>Saturday</v>
      </c>
      <c r="B114" s="13" t="n">
        <f aca="false">Setup!$C$5+138</f>
        <v>46165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TEXT(Setup!$C$5+138,"dddd")</f>
        <v>Saturday</v>
      </c>
      <c r="B115" s="13" t="n">
        <f aca="false">Setup!$C$5+138</f>
        <v>46165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TEXT(Setup!$C$5+138,"dddd")</f>
        <v>Saturday</v>
      </c>
      <c r="B116" s="13" t="n">
        <f aca="false">Setup!$C$5+138</f>
        <v>46165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TEXT(Setup!$C$5+138,"dddd")</f>
        <v>Saturday</v>
      </c>
      <c r="B117" s="13" t="n">
        <f aca="false">Setup!$C$5+138</f>
        <v>46165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TEXT(Setup!$C$5+138,"dddd")</f>
        <v>Saturday</v>
      </c>
      <c r="B118" s="13" t="n">
        <f aca="false">Setup!$C$5+138</f>
        <v>46165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TEXT(Setup!$C$5+138,"dddd")</f>
        <v>Saturday</v>
      </c>
      <c r="B119" s="13" t="n">
        <f aca="false">Setup!$C$5+138</f>
        <v>46165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TEXT(Setup!$C$5+138,"dddd")</f>
        <v>Saturday</v>
      </c>
      <c r="B120" s="13" t="n">
        <f aca="false">Setup!$C$5+138</f>
        <v>46165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TEXT(Setup!$C$5+138,"dddd")</f>
        <v>Saturday</v>
      </c>
      <c r="B121" s="13" t="n">
        <f aca="false">Setup!$C$5+138</f>
        <v>46165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TEXT(Setup!$C$5+138,"dddd")</f>
        <v>Saturday</v>
      </c>
      <c r="B122" s="13" t="n">
        <f aca="false">Setup!$C$5+138</f>
        <v>46165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TEXT(Setup!$C$5+138,"dddd")</f>
        <v>Saturday</v>
      </c>
      <c r="B123" s="13" t="n">
        <f aca="false">Setup!$C$5+138</f>
        <v>46165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TEXT(Setup!$C$5+138,"dddd")</f>
        <v>Saturday</v>
      </c>
      <c r="B124" s="13" t="n">
        <f aca="false">Setup!$C$5+138</f>
        <v>46165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TEXT(Setup!$C$5+138,"dddd")</f>
        <v>Saturday</v>
      </c>
      <c r="B125" s="13" t="n">
        <f aca="false">Setup!$C$5+138</f>
        <v>46165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TEXT(Setup!$C$5+138,"dddd")</f>
        <v>Saturday</v>
      </c>
      <c r="B126" s="13" t="n">
        <f aca="false">Setup!$C$5+138</f>
        <v>46165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TEXT(Setup!$C$5+138,"dddd")</f>
        <v>Saturday</v>
      </c>
      <c r="B127" s="13" t="n">
        <f aca="false">Setup!$C$5+138</f>
        <v>46165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TEXT(Setup!$C$5+138,"dddd")</f>
        <v>Saturday</v>
      </c>
      <c r="B128" s="13" t="n">
        <f aca="false">Setup!$C$5+138</f>
        <v>46165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TEXT(Setup!$C$5+138,"dddd")</f>
        <v>Saturday</v>
      </c>
      <c r="B129" s="13" t="n">
        <f aca="false">Setup!$C$5+138</f>
        <v>46165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TEXT(Setup!$C$5+138,"dddd")</f>
        <v>Saturday</v>
      </c>
      <c r="B130" s="13" t="n">
        <f aca="false">Setup!$C$5+138</f>
        <v>46165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TEXT(Setup!$C$5+138,"dddd")</f>
        <v>Saturday</v>
      </c>
      <c r="B131" s="13" t="n">
        <f aca="false">Setup!$C$5+138</f>
        <v>46165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TEXT(Setup!$C$5+138,"dddd")</f>
        <v>Saturday</v>
      </c>
      <c r="B132" s="13" t="n">
        <f aca="false">Setup!$C$5+138</f>
        <v>46165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TEXT(Setup!$C$5+138,"dddd")</f>
        <v>Saturday</v>
      </c>
      <c r="B133" s="23" t="n">
        <f aca="false">Setup!$C$5+138</f>
        <v>46165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IFERROR(H133-Wk19!H133,"")</f>
        <v>0</v>
      </c>
      <c r="O133" s="24" t="n">
        <f aca="false">IFERROR(D133-Wk19!D133,"")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TEXT(Setup!$C$5+139,"dddd")</f>
        <v>Sunday</v>
      </c>
      <c r="B134" s="13" t="n">
        <f aca="false">Setup!$C$5+139</f>
        <v>46166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TEXT(Setup!$C$5+139,"dddd")</f>
        <v>Sunday</v>
      </c>
      <c r="B135" s="13" t="n">
        <f aca="false">Setup!$C$5+139</f>
        <v>46166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TEXT(Setup!$C$5+139,"dddd")</f>
        <v>Sunday</v>
      </c>
      <c r="B136" s="13" t="n">
        <f aca="false">Setup!$C$5+139</f>
        <v>46166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TEXT(Setup!$C$5+139,"dddd")</f>
        <v>Sunday</v>
      </c>
      <c r="B137" s="13" t="n">
        <f aca="false">Setup!$C$5+139</f>
        <v>46166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TEXT(Setup!$C$5+139,"dddd")</f>
        <v>Sunday</v>
      </c>
      <c r="B138" s="13" t="n">
        <f aca="false">Setup!$C$5+139</f>
        <v>46166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TEXT(Setup!$C$5+139,"dddd")</f>
        <v>Sunday</v>
      </c>
      <c r="B139" s="13" t="n">
        <f aca="false">Setup!$C$5+139</f>
        <v>46166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TEXT(Setup!$C$5+139,"dddd")</f>
        <v>Sunday</v>
      </c>
      <c r="B140" s="13" t="n">
        <f aca="false">Setup!$C$5+139</f>
        <v>46166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TEXT(Setup!$C$5+139,"dddd")</f>
        <v>Sunday</v>
      </c>
      <c r="B141" s="13" t="n">
        <f aca="false">Setup!$C$5+139</f>
        <v>46166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TEXT(Setup!$C$5+139,"dddd")</f>
        <v>Sunday</v>
      </c>
      <c r="B142" s="13" t="n">
        <f aca="false">Setup!$C$5+139</f>
        <v>46166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TEXT(Setup!$C$5+139,"dddd")</f>
        <v>Sunday</v>
      </c>
      <c r="B143" s="13" t="n">
        <f aca="false">Setup!$C$5+139</f>
        <v>46166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TEXT(Setup!$C$5+139,"dddd")</f>
        <v>Sunday</v>
      </c>
      <c r="B144" s="13" t="n">
        <f aca="false">Setup!$C$5+139</f>
        <v>46166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TEXT(Setup!$C$5+139,"dddd")</f>
        <v>Sunday</v>
      </c>
      <c r="B145" s="13" t="n">
        <f aca="false">Setup!$C$5+139</f>
        <v>46166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TEXT(Setup!$C$5+139,"dddd")</f>
        <v>Sunday</v>
      </c>
      <c r="B146" s="13" t="n">
        <f aca="false">Setup!$C$5+139</f>
        <v>46166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TEXT(Setup!$C$5+139,"dddd")</f>
        <v>Sunday</v>
      </c>
      <c r="B147" s="13" t="n">
        <f aca="false">Setup!$C$5+139</f>
        <v>46166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TEXT(Setup!$C$5+139,"dddd")</f>
        <v>Sunday</v>
      </c>
      <c r="B148" s="13" t="n">
        <f aca="false">Setup!$C$5+139</f>
        <v>46166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TEXT(Setup!$C$5+139,"dddd")</f>
        <v>Sunday</v>
      </c>
      <c r="B149" s="13" t="n">
        <f aca="false">Setup!$C$5+139</f>
        <v>46166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TEXT(Setup!$C$5+139,"dddd")</f>
        <v>Sunday</v>
      </c>
      <c r="B150" s="13" t="n">
        <f aca="false">Setup!$C$5+139</f>
        <v>46166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TEXT(Setup!$C$5+139,"dddd")</f>
        <v>Sunday</v>
      </c>
      <c r="B151" s="13" t="n">
        <f aca="false">Setup!$C$5+139</f>
        <v>46166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TEXT(Setup!$C$5+139,"dddd")</f>
        <v>Sunday</v>
      </c>
      <c r="B152" s="13" t="n">
        <f aca="false">Setup!$C$5+139</f>
        <v>46166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TEXT(Setup!$C$5+139,"dddd")</f>
        <v>Sunday</v>
      </c>
      <c r="B153" s="13" t="n">
        <f aca="false">Setup!$C$5+139</f>
        <v>46166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TEXT(Setup!$C$5+139,"dddd")</f>
        <v>Sunday</v>
      </c>
      <c r="B154" s="13" t="n">
        <f aca="false">Setup!$C$5+139</f>
        <v>46166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TEXT(Setup!$C$5+139,"dddd")</f>
        <v>Sunday</v>
      </c>
      <c r="B155" s="23" t="n">
        <f aca="false">Setup!$C$5+139</f>
        <v>46166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IFERROR(H155-Wk19!H155,"")</f>
        <v>0</v>
      </c>
      <c r="O155" s="24" t="n">
        <f aca="false">IFERROR(D155-Wk19!D155,"")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IFERROR(D156-Wk19!D156,"")</f>
        <v>0</v>
      </c>
      <c r="E157" s="34" t="n">
        <f aca="false">IFERROR(E156-Wk19!E156,"")</f>
        <v>0</v>
      </c>
      <c r="H157" s="32" t="n">
        <f aca="false">IFERROR(H156-Wk19!H156,"")</f>
        <v>0</v>
      </c>
      <c r="K157" s="32" t="n">
        <f aca="false">IFERROR(K156-Wk19!K156,"")</f>
        <v>0</v>
      </c>
      <c r="M157" s="32" t="n">
        <f aca="false">IFERROR(M156-Wk19!M156,"")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TEXT(Setup!$C$5+140,"dddd")</f>
        <v>Monday</v>
      </c>
      <c r="B2" s="13" t="n">
        <f aca="false">Setup!$C$5+140</f>
        <v>46167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TEXT(Setup!$C$5+140,"dddd")</f>
        <v>Monday</v>
      </c>
      <c r="B3" s="13" t="n">
        <f aca="false">Setup!$C$5+140</f>
        <v>46167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TEXT(Setup!$C$5+140,"dddd")</f>
        <v>Monday</v>
      </c>
      <c r="B4" s="13" t="n">
        <f aca="false">Setup!$C$5+140</f>
        <v>46167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TEXT(Setup!$C$5+140,"dddd")</f>
        <v>Monday</v>
      </c>
      <c r="B5" s="13" t="n">
        <f aca="false">Setup!$C$5+140</f>
        <v>46167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TEXT(Setup!$C$5+140,"dddd")</f>
        <v>Monday</v>
      </c>
      <c r="B6" s="13" t="n">
        <f aca="false">Setup!$C$5+140</f>
        <v>46167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TEXT(Setup!$C$5+140,"dddd")</f>
        <v>Monday</v>
      </c>
      <c r="B7" s="13" t="n">
        <f aca="false">Setup!$C$5+140</f>
        <v>46167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TEXT(Setup!$C$5+140,"dddd")</f>
        <v>Monday</v>
      </c>
      <c r="B8" s="13" t="n">
        <f aca="false">Setup!$C$5+140</f>
        <v>46167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TEXT(Setup!$C$5+140,"dddd")</f>
        <v>Monday</v>
      </c>
      <c r="B9" s="13" t="n">
        <f aca="false">Setup!$C$5+140</f>
        <v>46167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TEXT(Setup!$C$5+140,"dddd")</f>
        <v>Monday</v>
      </c>
      <c r="B10" s="13" t="n">
        <f aca="false">Setup!$C$5+140</f>
        <v>46167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TEXT(Setup!$C$5+140,"dddd")</f>
        <v>Monday</v>
      </c>
      <c r="B11" s="13" t="n">
        <f aca="false">Setup!$C$5+140</f>
        <v>46167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TEXT(Setup!$C$5+140,"dddd")</f>
        <v>Monday</v>
      </c>
      <c r="B12" s="13" t="n">
        <f aca="false">Setup!$C$5+140</f>
        <v>46167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TEXT(Setup!$C$5+140,"dddd")</f>
        <v>Monday</v>
      </c>
      <c r="B13" s="13" t="n">
        <f aca="false">Setup!$C$5+140</f>
        <v>46167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TEXT(Setup!$C$5+140,"dddd")</f>
        <v>Monday</v>
      </c>
      <c r="B14" s="13" t="n">
        <f aca="false">Setup!$C$5+140</f>
        <v>46167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TEXT(Setup!$C$5+140,"dddd")</f>
        <v>Monday</v>
      </c>
      <c r="B15" s="13" t="n">
        <f aca="false">Setup!$C$5+140</f>
        <v>46167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TEXT(Setup!$C$5+140,"dddd")</f>
        <v>Monday</v>
      </c>
      <c r="B16" s="13" t="n">
        <f aca="false">Setup!$C$5+140</f>
        <v>46167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TEXT(Setup!$C$5+140,"dddd")</f>
        <v>Monday</v>
      </c>
      <c r="B17" s="13" t="n">
        <f aca="false">Setup!$C$5+140</f>
        <v>46167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TEXT(Setup!$C$5+140,"dddd")</f>
        <v>Monday</v>
      </c>
      <c r="B18" s="13" t="n">
        <f aca="false">Setup!$C$5+140</f>
        <v>46167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TEXT(Setup!$C$5+140,"dddd")</f>
        <v>Monday</v>
      </c>
      <c r="B19" s="13" t="n">
        <f aca="false">Setup!$C$5+140</f>
        <v>46167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TEXT(Setup!$C$5+140,"dddd")</f>
        <v>Monday</v>
      </c>
      <c r="B20" s="13" t="n">
        <f aca="false">Setup!$C$5+140</f>
        <v>46167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TEXT(Setup!$C$5+140,"dddd")</f>
        <v>Monday</v>
      </c>
      <c r="B21" s="13" t="n">
        <f aca="false">Setup!$C$5+140</f>
        <v>46167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TEXT(Setup!$C$5+140,"dddd")</f>
        <v>Monday</v>
      </c>
      <c r="B22" s="13" t="n">
        <f aca="false">Setup!$C$5+140</f>
        <v>46167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TEXT(Setup!$C$5+140,"dddd")</f>
        <v>Monday</v>
      </c>
      <c r="B23" s="23" t="n">
        <f aca="false">Setup!$C$5+140</f>
        <v>46167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IFERROR(H23-Wk20!H23,"")</f>
        <v>0</v>
      </c>
      <c r="O23" s="24" t="n">
        <f aca="false">IFERROR(D23-Wk20!D23,"")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TEXT(Setup!$C$5+141,"dddd")</f>
        <v>Tuesday</v>
      </c>
      <c r="B24" s="13" t="n">
        <f aca="false">Setup!$C$5+141</f>
        <v>46168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TEXT(Setup!$C$5+141,"dddd")</f>
        <v>Tuesday</v>
      </c>
      <c r="B25" s="13" t="n">
        <f aca="false">Setup!$C$5+141</f>
        <v>46168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TEXT(Setup!$C$5+141,"dddd")</f>
        <v>Tuesday</v>
      </c>
      <c r="B26" s="13" t="n">
        <f aca="false">Setup!$C$5+141</f>
        <v>46168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TEXT(Setup!$C$5+141,"dddd")</f>
        <v>Tuesday</v>
      </c>
      <c r="B27" s="13" t="n">
        <f aca="false">Setup!$C$5+141</f>
        <v>46168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TEXT(Setup!$C$5+141,"dddd")</f>
        <v>Tuesday</v>
      </c>
      <c r="B28" s="13" t="n">
        <f aca="false">Setup!$C$5+141</f>
        <v>46168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TEXT(Setup!$C$5+141,"dddd")</f>
        <v>Tuesday</v>
      </c>
      <c r="B29" s="13" t="n">
        <f aca="false">Setup!$C$5+141</f>
        <v>46168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TEXT(Setup!$C$5+141,"dddd")</f>
        <v>Tuesday</v>
      </c>
      <c r="B30" s="13" t="n">
        <f aca="false">Setup!$C$5+141</f>
        <v>46168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TEXT(Setup!$C$5+141,"dddd")</f>
        <v>Tuesday</v>
      </c>
      <c r="B31" s="13" t="n">
        <f aca="false">Setup!$C$5+141</f>
        <v>46168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TEXT(Setup!$C$5+141,"dddd")</f>
        <v>Tuesday</v>
      </c>
      <c r="B32" s="13" t="n">
        <f aca="false">Setup!$C$5+141</f>
        <v>46168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TEXT(Setup!$C$5+141,"dddd")</f>
        <v>Tuesday</v>
      </c>
      <c r="B33" s="13" t="n">
        <f aca="false">Setup!$C$5+141</f>
        <v>46168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TEXT(Setup!$C$5+141,"dddd")</f>
        <v>Tuesday</v>
      </c>
      <c r="B34" s="13" t="n">
        <f aca="false">Setup!$C$5+141</f>
        <v>46168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TEXT(Setup!$C$5+141,"dddd")</f>
        <v>Tuesday</v>
      </c>
      <c r="B35" s="13" t="n">
        <f aca="false">Setup!$C$5+141</f>
        <v>46168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TEXT(Setup!$C$5+141,"dddd")</f>
        <v>Tuesday</v>
      </c>
      <c r="B36" s="13" t="n">
        <f aca="false">Setup!$C$5+141</f>
        <v>46168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TEXT(Setup!$C$5+141,"dddd")</f>
        <v>Tuesday</v>
      </c>
      <c r="B37" s="13" t="n">
        <f aca="false">Setup!$C$5+141</f>
        <v>46168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TEXT(Setup!$C$5+141,"dddd")</f>
        <v>Tuesday</v>
      </c>
      <c r="B38" s="13" t="n">
        <f aca="false">Setup!$C$5+141</f>
        <v>46168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TEXT(Setup!$C$5+141,"dddd")</f>
        <v>Tuesday</v>
      </c>
      <c r="B39" s="13" t="n">
        <f aca="false">Setup!$C$5+141</f>
        <v>46168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TEXT(Setup!$C$5+141,"dddd")</f>
        <v>Tuesday</v>
      </c>
      <c r="B40" s="13" t="n">
        <f aca="false">Setup!$C$5+141</f>
        <v>46168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TEXT(Setup!$C$5+141,"dddd")</f>
        <v>Tuesday</v>
      </c>
      <c r="B41" s="13" t="n">
        <f aca="false">Setup!$C$5+141</f>
        <v>46168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TEXT(Setup!$C$5+141,"dddd")</f>
        <v>Tuesday</v>
      </c>
      <c r="B42" s="13" t="n">
        <f aca="false">Setup!$C$5+141</f>
        <v>46168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TEXT(Setup!$C$5+141,"dddd")</f>
        <v>Tuesday</v>
      </c>
      <c r="B43" s="13" t="n">
        <f aca="false">Setup!$C$5+141</f>
        <v>46168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TEXT(Setup!$C$5+141,"dddd")</f>
        <v>Tuesday</v>
      </c>
      <c r="B44" s="13" t="n">
        <f aca="false">Setup!$C$5+141</f>
        <v>46168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TEXT(Setup!$C$5+141,"dddd")</f>
        <v>Tuesday</v>
      </c>
      <c r="B45" s="23" t="n">
        <f aca="false">Setup!$C$5+141</f>
        <v>46168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IFERROR(H45-Wk20!H45,"")</f>
        <v>0</v>
      </c>
      <c r="O45" s="24" t="n">
        <f aca="false">IFERROR(D45-Wk20!D45,"")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TEXT(Setup!$C$5+142,"dddd")</f>
        <v>Wednesday</v>
      </c>
      <c r="B46" s="13" t="n">
        <f aca="false">Setup!$C$5+142</f>
        <v>46169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TEXT(Setup!$C$5+142,"dddd")</f>
        <v>Wednesday</v>
      </c>
      <c r="B47" s="13" t="n">
        <f aca="false">Setup!$C$5+142</f>
        <v>46169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TEXT(Setup!$C$5+142,"dddd")</f>
        <v>Wednesday</v>
      </c>
      <c r="B48" s="13" t="n">
        <f aca="false">Setup!$C$5+142</f>
        <v>46169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TEXT(Setup!$C$5+142,"dddd")</f>
        <v>Wednesday</v>
      </c>
      <c r="B49" s="13" t="n">
        <f aca="false">Setup!$C$5+142</f>
        <v>46169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TEXT(Setup!$C$5+142,"dddd")</f>
        <v>Wednesday</v>
      </c>
      <c r="B50" s="13" t="n">
        <f aca="false">Setup!$C$5+142</f>
        <v>46169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TEXT(Setup!$C$5+142,"dddd")</f>
        <v>Wednesday</v>
      </c>
      <c r="B51" s="13" t="n">
        <f aca="false">Setup!$C$5+142</f>
        <v>46169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TEXT(Setup!$C$5+142,"dddd")</f>
        <v>Wednesday</v>
      </c>
      <c r="B52" s="13" t="n">
        <f aca="false">Setup!$C$5+142</f>
        <v>46169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TEXT(Setup!$C$5+142,"dddd")</f>
        <v>Wednesday</v>
      </c>
      <c r="B53" s="13" t="n">
        <f aca="false">Setup!$C$5+142</f>
        <v>46169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TEXT(Setup!$C$5+142,"dddd")</f>
        <v>Wednesday</v>
      </c>
      <c r="B54" s="13" t="n">
        <f aca="false">Setup!$C$5+142</f>
        <v>46169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TEXT(Setup!$C$5+142,"dddd")</f>
        <v>Wednesday</v>
      </c>
      <c r="B55" s="13" t="n">
        <f aca="false">Setup!$C$5+142</f>
        <v>46169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TEXT(Setup!$C$5+142,"dddd")</f>
        <v>Wednesday</v>
      </c>
      <c r="B56" s="13" t="n">
        <f aca="false">Setup!$C$5+142</f>
        <v>46169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TEXT(Setup!$C$5+142,"dddd")</f>
        <v>Wednesday</v>
      </c>
      <c r="B57" s="13" t="n">
        <f aca="false">Setup!$C$5+142</f>
        <v>46169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TEXT(Setup!$C$5+142,"dddd")</f>
        <v>Wednesday</v>
      </c>
      <c r="B58" s="13" t="n">
        <f aca="false">Setup!$C$5+142</f>
        <v>46169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TEXT(Setup!$C$5+142,"dddd")</f>
        <v>Wednesday</v>
      </c>
      <c r="B59" s="13" t="n">
        <f aca="false">Setup!$C$5+142</f>
        <v>46169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TEXT(Setup!$C$5+142,"dddd")</f>
        <v>Wednesday</v>
      </c>
      <c r="B60" s="13" t="n">
        <f aca="false">Setup!$C$5+142</f>
        <v>46169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TEXT(Setup!$C$5+142,"dddd")</f>
        <v>Wednesday</v>
      </c>
      <c r="B61" s="13" t="n">
        <f aca="false">Setup!$C$5+142</f>
        <v>46169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TEXT(Setup!$C$5+142,"dddd")</f>
        <v>Wednesday</v>
      </c>
      <c r="B62" s="13" t="n">
        <f aca="false">Setup!$C$5+142</f>
        <v>46169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TEXT(Setup!$C$5+142,"dddd")</f>
        <v>Wednesday</v>
      </c>
      <c r="B63" s="13" t="n">
        <f aca="false">Setup!$C$5+142</f>
        <v>46169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TEXT(Setup!$C$5+142,"dddd")</f>
        <v>Wednesday</v>
      </c>
      <c r="B64" s="13" t="n">
        <f aca="false">Setup!$C$5+142</f>
        <v>46169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TEXT(Setup!$C$5+142,"dddd")</f>
        <v>Wednesday</v>
      </c>
      <c r="B65" s="13" t="n">
        <f aca="false">Setup!$C$5+142</f>
        <v>46169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TEXT(Setup!$C$5+142,"dddd")</f>
        <v>Wednesday</v>
      </c>
      <c r="B66" s="13" t="n">
        <f aca="false">Setup!$C$5+142</f>
        <v>46169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TEXT(Setup!$C$5+142,"dddd")</f>
        <v>Wednesday</v>
      </c>
      <c r="B67" s="23" t="n">
        <f aca="false">Setup!$C$5+142</f>
        <v>46169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IFERROR(H67-Wk20!H67,"")</f>
        <v>0</v>
      </c>
      <c r="O67" s="24" t="n">
        <f aca="false">IFERROR(D67-Wk20!D67,"")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TEXT(Setup!$C$5+143,"dddd")</f>
        <v>Thursday</v>
      </c>
      <c r="B68" s="13" t="n">
        <f aca="false">Setup!$C$5+143</f>
        <v>46170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TEXT(Setup!$C$5+143,"dddd")</f>
        <v>Thursday</v>
      </c>
      <c r="B69" s="13" t="n">
        <f aca="false">Setup!$C$5+143</f>
        <v>46170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TEXT(Setup!$C$5+143,"dddd")</f>
        <v>Thursday</v>
      </c>
      <c r="B70" s="13" t="n">
        <f aca="false">Setup!$C$5+143</f>
        <v>46170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TEXT(Setup!$C$5+143,"dddd")</f>
        <v>Thursday</v>
      </c>
      <c r="B71" s="13" t="n">
        <f aca="false">Setup!$C$5+143</f>
        <v>46170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TEXT(Setup!$C$5+143,"dddd")</f>
        <v>Thursday</v>
      </c>
      <c r="B72" s="13" t="n">
        <f aca="false">Setup!$C$5+143</f>
        <v>46170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TEXT(Setup!$C$5+143,"dddd")</f>
        <v>Thursday</v>
      </c>
      <c r="B73" s="13" t="n">
        <f aca="false">Setup!$C$5+143</f>
        <v>46170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TEXT(Setup!$C$5+143,"dddd")</f>
        <v>Thursday</v>
      </c>
      <c r="B74" s="13" t="n">
        <f aca="false">Setup!$C$5+143</f>
        <v>46170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TEXT(Setup!$C$5+143,"dddd")</f>
        <v>Thursday</v>
      </c>
      <c r="B75" s="13" t="n">
        <f aca="false">Setup!$C$5+143</f>
        <v>46170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TEXT(Setup!$C$5+143,"dddd")</f>
        <v>Thursday</v>
      </c>
      <c r="B76" s="13" t="n">
        <f aca="false">Setup!$C$5+143</f>
        <v>46170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TEXT(Setup!$C$5+143,"dddd")</f>
        <v>Thursday</v>
      </c>
      <c r="B77" s="13" t="n">
        <f aca="false">Setup!$C$5+143</f>
        <v>46170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TEXT(Setup!$C$5+143,"dddd")</f>
        <v>Thursday</v>
      </c>
      <c r="B78" s="13" t="n">
        <f aca="false">Setup!$C$5+143</f>
        <v>46170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TEXT(Setup!$C$5+143,"dddd")</f>
        <v>Thursday</v>
      </c>
      <c r="B79" s="13" t="n">
        <f aca="false">Setup!$C$5+143</f>
        <v>46170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TEXT(Setup!$C$5+143,"dddd")</f>
        <v>Thursday</v>
      </c>
      <c r="B80" s="13" t="n">
        <f aca="false">Setup!$C$5+143</f>
        <v>46170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TEXT(Setup!$C$5+143,"dddd")</f>
        <v>Thursday</v>
      </c>
      <c r="B81" s="13" t="n">
        <f aca="false">Setup!$C$5+143</f>
        <v>46170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TEXT(Setup!$C$5+143,"dddd")</f>
        <v>Thursday</v>
      </c>
      <c r="B82" s="13" t="n">
        <f aca="false">Setup!$C$5+143</f>
        <v>46170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TEXT(Setup!$C$5+143,"dddd")</f>
        <v>Thursday</v>
      </c>
      <c r="B83" s="13" t="n">
        <f aca="false">Setup!$C$5+143</f>
        <v>46170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TEXT(Setup!$C$5+143,"dddd")</f>
        <v>Thursday</v>
      </c>
      <c r="B84" s="13" t="n">
        <f aca="false">Setup!$C$5+143</f>
        <v>46170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TEXT(Setup!$C$5+143,"dddd")</f>
        <v>Thursday</v>
      </c>
      <c r="B85" s="13" t="n">
        <f aca="false">Setup!$C$5+143</f>
        <v>46170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TEXT(Setup!$C$5+143,"dddd")</f>
        <v>Thursday</v>
      </c>
      <c r="B86" s="13" t="n">
        <f aca="false">Setup!$C$5+143</f>
        <v>46170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TEXT(Setup!$C$5+143,"dddd")</f>
        <v>Thursday</v>
      </c>
      <c r="B87" s="13" t="n">
        <f aca="false">Setup!$C$5+143</f>
        <v>46170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TEXT(Setup!$C$5+143,"dddd")</f>
        <v>Thursday</v>
      </c>
      <c r="B88" s="13" t="n">
        <f aca="false">Setup!$C$5+143</f>
        <v>46170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TEXT(Setup!$C$5+143,"dddd")</f>
        <v>Thursday</v>
      </c>
      <c r="B89" s="23" t="n">
        <f aca="false">Setup!$C$5+143</f>
        <v>46170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IFERROR(H89-Wk20!H89,"")</f>
        <v>0</v>
      </c>
      <c r="O89" s="24" t="n">
        <f aca="false">IFERROR(D89-Wk20!D89,"")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TEXT(Setup!$C$5+144,"dddd")</f>
        <v>Friday</v>
      </c>
      <c r="B90" s="13" t="n">
        <f aca="false">Setup!$C$5+144</f>
        <v>46171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TEXT(Setup!$C$5+144,"dddd")</f>
        <v>Friday</v>
      </c>
      <c r="B91" s="13" t="n">
        <f aca="false">Setup!$C$5+144</f>
        <v>46171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TEXT(Setup!$C$5+144,"dddd")</f>
        <v>Friday</v>
      </c>
      <c r="B92" s="13" t="n">
        <f aca="false">Setup!$C$5+144</f>
        <v>46171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TEXT(Setup!$C$5+144,"dddd")</f>
        <v>Friday</v>
      </c>
      <c r="B93" s="13" t="n">
        <f aca="false">Setup!$C$5+144</f>
        <v>46171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TEXT(Setup!$C$5+144,"dddd")</f>
        <v>Friday</v>
      </c>
      <c r="B94" s="13" t="n">
        <f aca="false">Setup!$C$5+144</f>
        <v>46171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TEXT(Setup!$C$5+144,"dddd")</f>
        <v>Friday</v>
      </c>
      <c r="B95" s="13" t="n">
        <f aca="false">Setup!$C$5+144</f>
        <v>46171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TEXT(Setup!$C$5+144,"dddd")</f>
        <v>Friday</v>
      </c>
      <c r="B96" s="13" t="n">
        <f aca="false">Setup!$C$5+144</f>
        <v>46171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TEXT(Setup!$C$5+144,"dddd")</f>
        <v>Friday</v>
      </c>
      <c r="B97" s="13" t="n">
        <f aca="false">Setup!$C$5+144</f>
        <v>46171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TEXT(Setup!$C$5+144,"dddd")</f>
        <v>Friday</v>
      </c>
      <c r="B98" s="13" t="n">
        <f aca="false">Setup!$C$5+144</f>
        <v>46171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TEXT(Setup!$C$5+144,"dddd")</f>
        <v>Friday</v>
      </c>
      <c r="B99" s="13" t="n">
        <f aca="false">Setup!$C$5+144</f>
        <v>46171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TEXT(Setup!$C$5+144,"dddd")</f>
        <v>Friday</v>
      </c>
      <c r="B100" s="13" t="n">
        <f aca="false">Setup!$C$5+144</f>
        <v>46171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TEXT(Setup!$C$5+144,"dddd")</f>
        <v>Friday</v>
      </c>
      <c r="B101" s="13" t="n">
        <f aca="false">Setup!$C$5+144</f>
        <v>46171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TEXT(Setup!$C$5+144,"dddd")</f>
        <v>Friday</v>
      </c>
      <c r="B102" s="13" t="n">
        <f aca="false">Setup!$C$5+144</f>
        <v>46171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TEXT(Setup!$C$5+144,"dddd")</f>
        <v>Friday</v>
      </c>
      <c r="B103" s="13" t="n">
        <f aca="false">Setup!$C$5+144</f>
        <v>46171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TEXT(Setup!$C$5+144,"dddd")</f>
        <v>Friday</v>
      </c>
      <c r="B104" s="13" t="n">
        <f aca="false">Setup!$C$5+144</f>
        <v>46171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TEXT(Setup!$C$5+144,"dddd")</f>
        <v>Friday</v>
      </c>
      <c r="B105" s="13" t="n">
        <f aca="false">Setup!$C$5+144</f>
        <v>46171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TEXT(Setup!$C$5+144,"dddd")</f>
        <v>Friday</v>
      </c>
      <c r="B106" s="13" t="n">
        <f aca="false">Setup!$C$5+144</f>
        <v>46171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TEXT(Setup!$C$5+144,"dddd")</f>
        <v>Friday</v>
      </c>
      <c r="B107" s="13" t="n">
        <f aca="false">Setup!$C$5+144</f>
        <v>46171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TEXT(Setup!$C$5+144,"dddd")</f>
        <v>Friday</v>
      </c>
      <c r="B108" s="13" t="n">
        <f aca="false">Setup!$C$5+144</f>
        <v>46171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TEXT(Setup!$C$5+144,"dddd")</f>
        <v>Friday</v>
      </c>
      <c r="B109" s="13" t="n">
        <f aca="false">Setup!$C$5+144</f>
        <v>46171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TEXT(Setup!$C$5+144,"dddd")</f>
        <v>Friday</v>
      </c>
      <c r="B110" s="13" t="n">
        <f aca="false">Setup!$C$5+144</f>
        <v>46171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TEXT(Setup!$C$5+144,"dddd")</f>
        <v>Friday</v>
      </c>
      <c r="B111" s="23" t="n">
        <f aca="false">Setup!$C$5+144</f>
        <v>46171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IFERROR(H111-Wk20!H111,"")</f>
        <v>0</v>
      </c>
      <c r="O111" s="24" t="n">
        <f aca="false">IFERROR(D111-Wk20!D111,"")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TEXT(Setup!$C$5+145,"dddd")</f>
        <v>Saturday</v>
      </c>
      <c r="B112" s="13" t="n">
        <f aca="false">Setup!$C$5+145</f>
        <v>46172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TEXT(Setup!$C$5+145,"dddd")</f>
        <v>Saturday</v>
      </c>
      <c r="B113" s="13" t="n">
        <f aca="false">Setup!$C$5+145</f>
        <v>46172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TEXT(Setup!$C$5+145,"dddd")</f>
        <v>Saturday</v>
      </c>
      <c r="B114" s="13" t="n">
        <f aca="false">Setup!$C$5+145</f>
        <v>46172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TEXT(Setup!$C$5+145,"dddd")</f>
        <v>Saturday</v>
      </c>
      <c r="B115" s="13" t="n">
        <f aca="false">Setup!$C$5+145</f>
        <v>46172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TEXT(Setup!$C$5+145,"dddd")</f>
        <v>Saturday</v>
      </c>
      <c r="B116" s="13" t="n">
        <f aca="false">Setup!$C$5+145</f>
        <v>46172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TEXT(Setup!$C$5+145,"dddd")</f>
        <v>Saturday</v>
      </c>
      <c r="B117" s="13" t="n">
        <f aca="false">Setup!$C$5+145</f>
        <v>46172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TEXT(Setup!$C$5+145,"dddd")</f>
        <v>Saturday</v>
      </c>
      <c r="B118" s="13" t="n">
        <f aca="false">Setup!$C$5+145</f>
        <v>46172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TEXT(Setup!$C$5+145,"dddd")</f>
        <v>Saturday</v>
      </c>
      <c r="B119" s="13" t="n">
        <f aca="false">Setup!$C$5+145</f>
        <v>46172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TEXT(Setup!$C$5+145,"dddd")</f>
        <v>Saturday</v>
      </c>
      <c r="B120" s="13" t="n">
        <f aca="false">Setup!$C$5+145</f>
        <v>46172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TEXT(Setup!$C$5+145,"dddd")</f>
        <v>Saturday</v>
      </c>
      <c r="B121" s="13" t="n">
        <f aca="false">Setup!$C$5+145</f>
        <v>46172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TEXT(Setup!$C$5+145,"dddd")</f>
        <v>Saturday</v>
      </c>
      <c r="B122" s="13" t="n">
        <f aca="false">Setup!$C$5+145</f>
        <v>46172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TEXT(Setup!$C$5+145,"dddd")</f>
        <v>Saturday</v>
      </c>
      <c r="B123" s="13" t="n">
        <f aca="false">Setup!$C$5+145</f>
        <v>46172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TEXT(Setup!$C$5+145,"dddd")</f>
        <v>Saturday</v>
      </c>
      <c r="B124" s="13" t="n">
        <f aca="false">Setup!$C$5+145</f>
        <v>46172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TEXT(Setup!$C$5+145,"dddd")</f>
        <v>Saturday</v>
      </c>
      <c r="B125" s="13" t="n">
        <f aca="false">Setup!$C$5+145</f>
        <v>46172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TEXT(Setup!$C$5+145,"dddd")</f>
        <v>Saturday</v>
      </c>
      <c r="B126" s="13" t="n">
        <f aca="false">Setup!$C$5+145</f>
        <v>46172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TEXT(Setup!$C$5+145,"dddd")</f>
        <v>Saturday</v>
      </c>
      <c r="B127" s="13" t="n">
        <f aca="false">Setup!$C$5+145</f>
        <v>46172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TEXT(Setup!$C$5+145,"dddd")</f>
        <v>Saturday</v>
      </c>
      <c r="B128" s="13" t="n">
        <f aca="false">Setup!$C$5+145</f>
        <v>46172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TEXT(Setup!$C$5+145,"dddd")</f>
        <v>Saturday</v>
      </c>
      <c r="B129" s="13" t="n">
        <f aca="false">Setup!$C$5+145</f>
        <v>46172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TEXT(Setup!$C$5+145,"dddd")</f>
        <v>Saturday</v>
      </c>
      <c r="B130" s="13" t="n">
        <f aca="false">Setup!$C$5+145</f>
        <v>46172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TEXT(Setup!$C$5+145,"dddd")</f>
        <v>Saturday</v>
      </c>
      <c r="B131" s="13" t="n">
        <f aca="false">Setup!$C$5+145</f>
        <v>46172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TEXT(Setup!$C$5+145,"dddd")</f>
        <v>Saturday</v>
      </c>
      <c r="B132" s="13" t="n">
        <f aca="false">Setup!$C$5+145</f>
        <v>46172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TEXT(Setup!$C$5+145,"dddd")</f>
        <v>Saturday</v>
      </c>
      <c r="B133" s="23" t="n">
        <f aca="false">Setup!$C$5+145</f>
        <v>46172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IFERROR(H133-Wk20!H133,"")</f>
        <v>0</v>
      </c>
      <c r="O133" s="24" t="n">
        <f aca="false">IFERROR(D133-Wk20!D133,"")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TEXT(Setup!$C$5+146,"dddd")</f>
        <v>Sunday</v>
      </c>
      <c r="B134" s="13" t="n">
        <f aca="false">Setup!$C$5+146</f>
        <v>46173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TEXT(Setup!$C$5+146,"dddd")</f>
        <v>Sunday</v>
      </c>
      <c r="B135" s="13" t="n">
        <f aca="false">Setup!$C$5+146</f>
        <v>46173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TEXT(Setup!$C$5+146,"dddd")</f>
        <v>Sunday</v>
      </c>
      <c r="B136" s="13" t="n">
        <f aca="false">Setup!$C$5+146</f>
        <v>46173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TEXT(Setup!$C$5+146,"dddd")</f>
        <v>Sunday</v>
      </c>
      <c r="B137" s="13" t="n">
        <f aca="false">Setup!$C$5+146</f>
        <v>46173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TEXT(Setup!$C$5+146,"dddd")</f>
        <v>Sunday</v>
      </c>
      <c r="B138" s="13" t="n">
        <f aca="false">Setup!$C$5+146</f>
        <v>46173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TEXT(Setup!$C$5+146,"dddd")</f>
        <v>Sunday</v>
      </c>
      <c r="B139" s="13" t="n">
        <f aca="false">Setup!$C$5+146</f>
        <v>46173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TEXT(Setup!$C$5+146,"dddd")</f>
        <v>Sunday</v>
      </c>
      <c r="B140" s="13" t="n">
        <f aca="false">Setup!$C$5+146</f>
        <v>46173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TEXT(Setup!$C$5+146,"dddd")</f>
        <v>Sunday</v>
      </c>
      <c r="B141" s="13" t="n">
        <f aca="false">Setup!$C$5+146</f>
        <v>46173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TEXT(Setup!$C$5+146,"dddd")</f>
        <v>Sunday</v>
      </c>
      <c r="B142" s="13" t="n">
        <f aca="false">Setup!$C$5+146</f>
        <v>46173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TEXT(Setup!$C$5+146,"dddd")</f>
        <v>Sunday</v>
      </c>
      <c r="B143" s="13" t="n">
        <f aca="false">Setup!$C$5+146</f>
        <v>46173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TEXT(Setup!$C$5+146,"dddd")</f>
        <v>Sunday</v>
      </c>
      <c r="B144" s="13" t="n">
        <f aca="false">Setup!$C$5+146</f>
        <v>46173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TEXT(Setup!$C$5+146,"dddd")</f>
        <v>Sunday</v>
      </c>
      <c r="B145" s="13" t="n">
        <f aca="false">Setup!$C$5+146</f>
        <v>46173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TEXT(Setup!$C$5+146,"dddd")</f>
        <v>Sunday</v>
      </c>
      <c r="B146" s="13" t="n">
        <f aca="false">Setup!$C$5+146</f>
        <v>46173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TEXT(Setup!$C$5+146,"dddd")</f>
        <v>Sunday</v>
      </c>
      <c r="B147" s="13" t="n">
        <f aca="false">Setup!$C$5+146</f>
        <v>46173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TEXT(Setup!$C$5+146,"dddd")</f>
        <v>Sunday</v>
      </c>
      <c r="B148" s="13" t="n">
        <f aca="false">Setup!$C$5+146</f>
        <v>46173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TEXT(Setup!$C$5+146,"dddd")</f>
        <v>Sunday</v>
      </c>
      <c r="B149" s="13" t="n">
        <f aca="false">Setup!$C$5+146</f>
        <v>46173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TEXT(Setup!$C$5+146,"dddd")</f>
        <v>Sunday</v>
      </c>
      <c r="B150" s="13" t="n">
        <f aca="false">Setup!$C$5+146</f>
        <v>46173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TEXT(Setup!$C$5+146,"dddd")</f>
        <v>Sunday</v>
      </c>
      <c r="B151" s="13" t="n">
        <f aca="false">Setup!$C$5+146</f>
        <v>46173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TEXT(Setup!$C$5+146,"dddd")</f>
        <v>Sunday</v>
      </c>
      <c r="B152" s="13" t="n">
        <f aca="false">Setup!$C$5+146</f>
        <v>46173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TEXT(Setup!$C$5+146,"dddd")</f>
        <v>Sunday</v>
      </c>
      <c r="B153" s="13" t="n">
        <f aca="false">Setup!$C$5+146</f>
        <v>46173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TEXT(Setup!$C$5+146,"dddd")</f>
        <v>Sunday</v>
      </c>
      <c r="B154" s="13" t="n">
        <f aca="false">Setup!$C$5+146</f>
        <v>46173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TEXT(Setup!$C$5+146,"dddd")</f>
        <v>Sunday</v>
      </c>
      <c r="B155" s="23" t="n">
        <f aca="false">Setup!$C$5+146</f>
        <v>46173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IFERROR(H155-Wk20!H155,"")</f>
        <v>0</v>
      </c>
      <c r="O155" s="24" t="n">
        <f aca="false">IFERROR(D155-Wk20!D155,"")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IFERROR(D156-Wk20!D156,"")</f>
        <v>0</v>
      </c>
      <c r="E157" s="34" t="n">
        <f aca="false">IFERROR(E156-Wk20!E156,"")</f>
        <v>0</v>
      </c>
      <c r="H157" s="32" t="n">
        <f aca="false">IFERROR(H156-Wk20!H156,"")</f>
        <v>0</v>
      </c>
      <c r="K157" s="32" t="n">
        <f aca="false">IFERROR(K156-Wk20!K156,"")</f>
        <v>0</v>
      </c>
      <c r="M157" s="32" t="n">
        <f aca="false">IFERROR(M156-Wk20!M156,"")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TEXT(Setup!$C$5+147,"dddd")</f>
        <v>Monday</v>
      </c>
      <c r="B2" s="13" t="n">
        <f aca="false">Setup!$C$5+147</f>
        <v>46174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TEXT(Setup!$C$5+147,"dddd")</f>
        <v>Monday</v>
      </c>
      <c r="B3" s="13" t="n">
        <f aca="false">Setup!$C$5+147</f>
        <v>46174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TEXT(Setup!$C$5+147,"dddd")</f>
        <v>Monday</v>
      </c>
      <c r="B4" s="13" t="n">
        <f aca="false">Setup!$C$5+147</f>
        <v>46174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TEXT(Setup!$C$5+147,"dddd")</f>
        <v>Monday</v>
      </c>
      <c r="B5" s="13" t="n">
        <f aca="false">Setup!$C$5+147</f>
        <v>46174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TEXT(Setup!$C$5+147,"dddd")</f>
        <v>Monday</v>
      </c>
      <c r="B6" s="13" t="n">
        <f aca="false">Setup!$C$5+147</f>
        <v>46174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TEXT(Setup!$C$5+147,"dddd")</f>
        <v>Monday</v>
      </c>
      <c r="B7" s="13" t="n">
        <f aca="false">Setup!$C$5+147</f>
        <v>46174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TEXT(Setup!$C$5+147,"dddd")</f>
        <v>Monday</v>
      </c>
      <c r="B8" s="13" t="n">
        <f aca="false">Setup!$C$5+147</f>
        <v>46174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TEXT(Setup!$C$5+147,"dddd")</f>
        <v>Monday</v>
      </c>
      <c r="B9" s="13" t="n">
        <f aca="false">Setup!$C$5+147</f>
        <v>46174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TEXT(Setup!$C$5+147,"dddd")</f>
        <v>Monday</v>
      </c>
      <c r="B10" s="13" t="n">
        <f aca="false">Setup!$C$5+147</f>
        <v>46174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TEXT(Setup!$C$5+147,"dddd")</f>
        <v>Monday</v>
      </c>
      <c r="B11" s="13" t="n">
        <f aca="false">Setup!$C$5+147</f>
        <v>46174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TEXT(Setup!$C$5+147,"dddd")</f>
        <v>Monday</v>
      </c>
      <c r="B12" s="13" t="n">
        <f aca="false">Setup!$C$5+147</f>
        <v>46174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TEXT(Setup!$C$5+147,"dddd")</f>
        <v>Monday</v>
      </c>
      <c r="B13" s="13" t="n">
        <f aca="false">Setup!$C$5+147</f>
        <v>46174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TEXT(Setup!$C$5+147,"dddd")</f>
        <v>Monday</v>
      </c>
      <c r="B14" s="13" t="n">
        <f aca="false">Setup!$C$5+147</f>
        <v>46174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TEXT(Setup!$C$5+147,"dddd")</f>
        <v>Monday</v>
      </c>
      <c r="B15" s="13" t="n">
        <f aca="false">Setup!$C$5+147</f>
        <v>46174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TEXT(Setup!$C$5+147,"dddd")</f>
        <v>Monday</v>
      </c>
      <c r="B16" s="13" t="n">
        <f aca="false">Setup!$C$5+147</f>
        <v>46174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TEXT(Setup!$C$5+147,"dddd")</f>
        <v>Monday</v>
      </c>
      <c r="B17" s="13" t="n">
        <f aca="false">Setup!$C$5+147</f>
        <v>46174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TEXT(Setup!$C$5+147,"dddd")</f>
        <v>Monday</v>
      </c>
      <c r="B18" s="13" t="n">
        <f aca="false">Setup!$C$5+147</f>
        <v>46174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TEXT(Setup!$C$5+147,"dddd")</f>
        <v>Monday</v>
      </c>
      <c r="B19" s="13" t="n">
        <f aca="false">Setup!$C$5+147</f>
        <v>46174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TEXT(Setup!$C$5+147,"dddd")</f>
        <v>Monday</v>
      </c>
      <c r="B20" s="13" t="n">
        <f aca="false">Setup!$C$5+147</f>
        <v>46174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TEXT(Setup!$C$5+147,"dddd")</f>
        <v>Monday</v>
      </c>
      <c r="B21" s="13" t="n">
        <f aca="false">Setup!$C$5+147</f>
        <v>46174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TEXT(Setup!$C$5+147,"dddd")</f>
        <v>Monday</v>
      </c>
      <c r="B22" s="13" t="n">
        <f aca="false">Setup!$C$5+147</f>
        <v>46174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TEXT(Setup!$C$5+147,"dddd")</f>
        <v>Monday</v>
      </c>
      <c r="B23" s="23" t="n">
        <f aca="false">Setup!$C$5+147</f>
        <v>46174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IFERROR(H23-Wk21!H23,"")</f>
        <v>0</v>
      </c>
      <c r="O23" s="24" t="n">
        <f aca="false">IFERROR(D23-Wk21!D23,"")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TEXT(Setup!$C$5+148,"dddd")</f>
        <v>Tuesday</v>
      </c>
      <c r="B24" s="13" t="n">
        <f aca="false">Setup!$C$5+148</f>
        <v>46175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TEXT(Setup!$C$5+148,"dddd")</f>
        <v>Tuesday</v>
      </c>
      <c r="B25" s="13" t="n">
        <f aca="false">Setup!$C$5+148</f>
        <v>46175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TEXT(Setup!$C$5+148,"dddd")</f>
        <v>Tuesday</v>
      </c>
      <c r="B26" s="13" t="n">
        <f aca="false">Setup!$C$5+148</f>
        <v>46175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TEXT(Setup!$C$5+148,"dddd")</f>
        <v>Tuesday</v>
      </c>
      <c r="B27" s="13" t="n">
        <f aca="false">Setup!$C$5+148</f>
        <v>46175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TEXT(Setup!$C$5+148,"dddd")</f>
        <v>Tuesday</v>
      </c>
      <c r="B28" s="13" t="n">
        <f aca="false">Setup!$C$5+148</f>
        <v>46175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TEXT(Setup!$C$5+148,"dddd")</f>
        <v>Tuesday</v>
      </c>
      <c r="B29" s="13" t="n">
        <f aca="false">Setup!$C$5+148</f>
        <v>46175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TEXT(Setup!$C$5+148,"dddd")</f>
        <v>Tuesday</v>
      </c>
      <c r="B30" s="13" t="n">
        <f aca="false">Setup!$C$5+148</f>
        <v>46175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TEXT(Setup!$C$5+148,"dddd")</f>
        <v>Tuesday</v>
      </c>
      <c r="B31" s="13" t="n">
        <f aca="false">Setup!$C$5+148</f>
        <v>46175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TEXT(Setup!$C$5+148,"dddd")</f>
        <v>Tuesday</v>
      </c>
      <c r="B32" s="13" t="n">
        <f aca="false">Setup!$C$5+148</f>
        <v>46175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TEXT(Setup!$C$5+148,"dddd")</f>
        <v>Tuesday</v>
      </c>
      <c r="B33" s="13" t="n">
        <f aca="false">Setup!$C$5+148</f>
        <v>46175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TEXT(Setup!$C$5+148,"dddd")</f>
        <v>Tuesday</v>
      </c>
      <c r="B34" s="13" t="n">
        <f aca="false">Setup!$C$5+148</f>
        <v>46175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TEXT(Setup!$C$5+148,"dddd")</f>
        <v>Tuesday</v>
      </c>
      <c r="B35" s="13" t="n">
        <f aca="false">Setup!$C$5+148</f>
        <v>46175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TEXT(Setup!$C$5+148,"dddd")</f>
        <v>Tuesday</v>
      </c>
      <c r="B36" s="13" t="n">
        <f aca="false">Setup!$C$5+148</f>
        <v>46175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TEXT(Setup!$C$5+148,"dddd")</f>
        <v>Tuesday</v>
      </c>
      <c r="B37" s="13" t="n">
        <f aca="false">Setup!$C$5+148</f>
        <v>46175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TEXT(Setup!$C$5+148,"dddd")</f>
        <v>Tuesday</v>
      </c>
      <c r="B38" s="13" t="n">
        <f aca="false">Setup!$C$5+148</f>
        <v>46175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TEXT(Setup!$C$5+148,"dddd")</f>
        <v>Tuesday</v>
      </c>
      <c r="B39" s="13" t="n">
        <f aca="false">Setup!$C$5+148</f>
        <v>46175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TEXT(Setup!$C$5+148,"dddd")</f>
        <v>Tuesday</v>
      </c>
      <c r="B40" s="13" t="n">
        <f aca="false">Setup!$C$5+148</f>
        <v>46175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TEXT(Setup!$C$5+148,"dddd")</f>
        <v>Tuesday</v>
      </c>
      <c r="B41" s="13" t="n">
        <f aca="false">Setup!$C$5+148</f>
        <v>46175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TEXT(Setup!$C$5+148,"dddd")</f>
        <v>Tuesday</v>
      </c>
      <c r="B42" s="13" t="n">
        <f aca="false">Setup!$C$5+148</f>
        <v>46175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TEXT(Setup!$C$5+148,"dddd")</f>
        <v>Tuesday</v>
      </c>
      <c r="B43" s="13" t="n">
        <f aca="false">Setup!$C$5+148</f>
        <v>46175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TEXT(Setup!$C$5+148,"dddd")</f>
        <v>Tuesday</v>
      </c>
      <c r="B44" s="13" t="n">
        <f aca="false">Setup!$C$5+148</f>
        <v>46175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TEXT(Setup!$C$5+148,"dddd")</f>
        <v>Tuesday</v>
      </c>
      <c r="B45" s="23" t="n">
        <f aca="false">Setup!$C$5+148</f>
        <v>46175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IFERROR(H45-Wk21!H45,"")</f>
        <v>0</v>
      </c>
      <c r="O45" s="24" t="n">
        <f aca="false">IFERROR(D45-Wk21!D45,"")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TEXT(Setup!$C$5+149,"dddd")</f>
        <v>Wednesday</v>
      </c>
      <c r="B46" s="13" t="n">
        <f aca="false">Setup!$C$5+149</f>
        <v>46176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TEXT(Setup!$C$5+149,"dddd")</f>
        <v>Wednesday</v>
      </c>
      <c r="B47" s="13" t="n">
        <f aca="false">Setup!$C$5+149</f>
        <v>46176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TEXT(Setup!$C$5+149,"dddd")</f>
        <v>Wednesday</v>
      </c>
      <c r="B48" s="13" t="n">
        <f aca="false">Setup!$C$5+149</f>
        <v>46176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TEXT(Setup!$C$5+149,"dddd")</f>
        <v>Wednesday</v>
      </c>
      <c r="B49" s="13" t="n">
        <f aca="false">Setup!$C$5+149</f>
        <v>46176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TEXT(Setup!$C$5+149,"dddd")</f>
        <v>Wednesday</v>
      </c>
      <c r="B50" s="13" t="n">
        <f aca="false">Setup!$C$5+149</f>
        <v>46176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TEXT(Setup!$C$5+149,"dddd")</f>
        <v>Wednesday</v>
      </c>
      <c r="B51" s="13" t="n">
        <f aca="false">Setup!$C$5+149</f>
        <v>46176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TEXT(Setup!$C$5+149,"dddd")</f>
        <v>Wednesday</v>
      </c>
      <c r="B52" s="13" t="n">
        <f aca="false">Setup!$C$5+149</f>
        <v>46176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TEXT(Setup!$C$5+149,"dddd")</f>
        <v>Wednesday</v>
      </c>
      <c r="B53" s="13" t="n">
        <f aca="false">Setup!$C$5+149</f>
        <v>46176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TEXT(Setup!$C$5+149,"dddd")</f>
        <v>Wednesday</v>
      </c>
      <c r="B54" s="13" t="n">
        <f aca="false">Setup!$C$5+149</f>
        <v>46176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TEXT(Setup!$C$5+149,"dddd")</f>
        <v>Wednesday</v>
      </c>
      <c r="B55" s="13" t="n">
        <f aca="false">Setup!$C$5+149</f>
        <v>46176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TEXT(Setup!$C$5+149,"dddd")</f>
        <v>Wednesday</v>
      </c>
      <c r="B56" s="13" t="n">
        <f aca="false">Setup!$C$5+149</f>
        <v>46176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TEXT(Setup!$C$5+149,"dddd")</f>
        <v>Wednesday</v>
      </c>
      <c r="B57" s="13" t="n">
        <f aca="false">Setup!$C$5+149</f>
        <v>46176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TEXT(Setup!$C$5+149,"dddd")</f>
        <v>Wednesday</v>
      </c>
      <c r="B58" s="13" t="n">
        <f aca="false">Setup!$C$5+149</f>
        <v>46176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TEXT(Setup!$C$5+149,"dddd")</f>
        <v>Wednesday</v>
      </c>
      <c r="B59" s="13" t="n">
        <f aca="false">Setup!$C$5+149</f>
        <v>46176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TEXT(Setup!$C$5+149,"dddd")</f>
        <v>Wednesday</v>
      </c>
      <c r="B60" s="13" t="n">
        <f aca="false">Setup!$C$5+149</f>
        <v>46176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TEXT(Setup!$C$5+149,"dddd")</f>
        <v>Wednesday</v>
      </c>
      <c r="B61" s="13" t="n">
        <f aca="false">Setup!$C$5+149</f>
        <v>46176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TEXT(Setup!$C$5+149,"dddd")</f>
        <v>Wednesday</v>
      </c>
      <c r="B62" s="13" t="n">
        <f aca="false">Setup!$C$5+149</f>
        <v>46176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TEXT(Setup!$C$5+149,"dddd")</f>
        <v>Wednesday</v>
      </c>
      <c r="B63" s="13" t="n">
        <f aca="false">Setup!$C$5+149</f>
        <v>46176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TEXT(Setup!$C$5+149,"dddd")</f>
        <v>Wednesday</v>
      </c>
      <c r="B64" s="13" t="n">
        <f aca="false">Setup!$C$5+149</f>
        <v>46176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TEXT(Setup!$C$5+149,"dddd")</f>
        <v>Wednesday</v>
      </c>
      <c r="B65" s="13" t="n">
        <f aca="false">Setup!$C$5+149</f>
        <v>46176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TEXT(Setup!$C$5+149,"dddd")</f>
        <v>Wednesday</v>
      </c>
      <c r="B66" s="13" t="n">
        <f aca="false">Setup!$C$5+149</f>
        <v>46176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TEXT(Setup!$C$5+149,"dddd")</f>
        <v>Wednesday</v>
      </c>
      <c r="B67" s="23" t="n">
        <f aca="false">Setup!$C$5+149</f>
        <v>46176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IFERROR(H67-Wk21!H67,"")</f>
        <v>0</v>
      </c>
      <c r="O67" s="24" t="n">
        <f aca="false">IFERROR(D67-Wk21!D67,"")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TEXT(Setup!$C$5+150,"dddd")</f>
        <v>Thursday</v>
      </c>
      <c r="B68" s="13" t="n">
        <f aca="false">Setup!$C$5+150</f>
        <v>46177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TEXT(Setup!$C$5+150,"dddd")</f>
        <v>Thursday</v>
      </c>
      <c r="B69" s="13" t="n">
        <f aca="false">Setup!$C$5+150</f>
        <v>46177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TEXT(Setup!$C$5+150,"dddd")</f>
        <v>Thursday</v>
      </c>
      <c r="B70" s="13" t="n">
        <f aca="false">Setup!$C$5+150</f>
        <v>46177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TEXT(Setup!$C$5+150,"dddd")</f>
        <v>Thursday</v>
      </c>
      <c r="B71" s="13" t="n">
        <f aca="false">Setup!$C$5+150</f>
        <v>46177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TEXT(Setup!$C$5+150,"dddd")</f>
        <v>Thursday</v>
      </c>
      <c r="B72" s="13" t="n">
        <f aca="false">Setup!$C$5+150</f>
        <v>46177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TEXT(Setup!$C$5+150,"dddd")</f>
        <v>Thursday</v>
      </c>
      <c r="B73" s="13" t="n">
        <f aca="false">Setup!$C$5+150</f>
        <v>46177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TEXT(Setup!$C$5+150,"dddd")</f>
        <v>Thursday</v>
      </c>
      <c r="B74" s="13" t="n">
        <f aca="false">Setup!$C$5+150</f>
        <v>46177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TEXT(Setup!$C$5+150,"dddd")</f>
        <v>Thursday</v>
      </c>
      <c r="B75" s="13" t="n">
        <f aca="false">Setup!$C$5+150</f>
        <v>46177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TEXT(Setup!$C$5+150,"dddd")</f>
        <v>Thursday</v>
      </c>
      <c r="B76" s="13" t="n">
        <f aca="false">Setup!$C$5+150</f>
        <v>46177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TEXT(Setup!$C$5+150,"dddd")</f>
        <v>Thursday</v>
      </c>
      <c r="B77" s="13" t="n">
        <f aca="false">Setup!$C$5+150</f>
        <v>46177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TEXT(Setup!$C$5+150,"dddd")</f>
        <v>Thursday</v>
      </c>
      <c r="B78" s="13" t="n">
        <f aca="false">Setup!$C$5+150</f>
        <v>46177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TEXT(Setup!$C$5+150,"dddd")</f>
        <v>Thursday</v>
      </c>
      <c r="B79" s="13" t="n">
        <f aca="false">Setup!$C$5+150</f>
        <v>46177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TEXT(Setup!$C$5+150,"dddd")</f>
        <v>Thursday</v>
      </c>
      <c r="B80" s="13" t="n">
        <f aca="false">Setup!$C$5+150</f>
        <v>46177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TEXT(Setup!$C$5+150,"dddd")</f>
        <v>Thursday</v>
      </c>
      <c r="B81" s="13" t="n">
        <f aca="false">Setup!$C$5+150</f>
        <v>46177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TEXT(Setup!$C$5+150,"dddd")</f>
        <v>Thursday</v>
      </c>
      <c r="B82" s="13" t="n">
        <f aca="false">Setup!$C$5+150</f>
        <v>46177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TEXT(Setup!$C$5+150,"dddd")</f>
        <v>Thursday</v>
      </c>
      <c r="B83" s="13" t="n">
        <f aca="false">Setup!$C$5+150</f>
        <v>46177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TEXT(Setup!$C$5+150,"dddd")</f>
        <v>Thursday</v>
      </c>
      <c r="B84" s="13" t="n">
        <f aca="false">Setup!$C$5+150</f>
        <v>46177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TEXT(Setup!$C$5+150,"dddd")</f>
        <v>Thursday</v>
      </c>
      <c r="B85" s="13" t="n">
        <f aca="false">Setup!$C$5+150</f>
        <v>46177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TEXT(Setup!$C$5+150,"dddd")</f>
        <v>Thursday</v>
      </c>
      <c r="B86" s="13" t="n">
        <f aca="false">Setup!$C$5+150</f>
        <v>46177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TEXT(Setup!$C$5+150,"dddd")</f>
        <v>Thursday</v>
      </c>
      <c r="B87" s="13" t="n">
        <f aca="false">Setup!$C$5+150</f>
        <v>46177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TEXT(Setup!$C$5+150,"dddd")</f>
        <v>Thursday</v>
      </c>
      <c r="B88" s="13" t="n">
        <f aca="false">Setup!$C$5+150</f>
        <v>46177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TEXT(Setup!$C$5+150,"dddd")</f>
        <v>Thursday</v>
      </c>
      <c r="B89" s="23" t="n">
        <f aca="false">Setup!$C$5+150</f>
        <v>46177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IFERROR(H89-Wk21!H89,"")</f>
        <v>0</v>
      </c>
      <c r="O89" s="24" t="n">
        <f aca="false">IFERROR(D89-Wk21!D89,"")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TEXT(Setup!$C$5+151,"dddd")</f>
        <v>Friday</v>
      </c>
      <c r="B90" s="13" t="n">
        <f aca="false">Setup!$C$5+151</f>
        <v>46178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TEXT(Setup!$C$5+151,"dddd")</f>
        <v>Friday</v>
      </c>
      <c r="B91" s="13" t="n">
        <f aca="false">Setup!$C$5+151</f>
        <v>46178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TEXT(Setup!$C$5+151,"dddd")</f>
        <v>Friday</v>
      </c>
      <c r="B92" s="13" t="n">
        <f aca="false">Setup!$C$5+151</f>
        <v>46178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TEXT(Setup!$C$5+151,"dddd")</f>
        <v>Friday</v>
      </c>
      <c r="B93" s="13" t="n">
        <f aca="false">Setup!$C$5+151</f>
        <v>46178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TEXT(Setup!$C$5+151,"dddd")</f>
        <v>Friday</v>
      </c>
      <c r="B94" s="13" t="n">
        <f aca="false">Setup!$C$5+151</f>
        <v>46178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TEXT(Setup!$C$5+151,"dddd")</f>
        <v>Friday</v>
      </c>
      <c r="B95" s="13" t="n">
        <f aca="false">Setup!$C$5+151</f>
        <v>46178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TEXT(Setup!$C$5+151,"dddd")</f>
        <v>Friday</v>
      </c>
      <c r="B96" s="13" t="n">
        <f aca="false">Setup!$C$5+151</f>
        <v>46178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TEXT(Setup!$C$5+151,"dddd")</f>
        <v>Friday</v>
      </c>
      <c r="B97" s="13" t="n">
        <f aca="false">Setup!$C$5+151</f>
        <v>46178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TEXT(Setup!$C$5+151,"dddd")</f>
        <v>Friday</v>
      </c>
      <c r="B98" s="13" t="n">
        <f aca="false">Setup!$C$5+151</f>
        <v>46178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TEXT(Setup!$C$5+151,"dddd")</f>
        <v>Friday</v>
      </c>
      <c r="B99" s="13" t="n">
        <f aca="false">Setup!$C$5+151</f>
        <v>46178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TEXT(Setup!$C$5+151,"dddd")</f>
        <v>Friday</v>
      </c>
      <c r="B100" s="13" t="n">
        <f aca="false">Setup!$C$5+151</f>
        <v>46178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TEXT(Setup!$C$5+151,"dddd")</f>
        <v>Friday</v>
      </c>
      <c r="B101" s="13" t="n">
        <f aca="false">Setup!$C$5+151</f>
        <v>46178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TEXT(Setup!$C$5+151,"dddd")</f>
        <v>Friday</v>
      </c>
      <c r="B102" s="13" t="n">
        <f aca="false">Setup!$C$5+151</f>
        <v>46178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TEXT(Setup!$C$5+151,"dddd")</f>
        <v>Friday</v>
      </c>
      <c r="B103" s="13" t="n">
        <f aca="false">Setup!$C$5+151</f>
        <v>46178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TEXT(Setup!$C$5+151,"dddd")</f>
        <v>Friday</v>
      </c>
      <c r="B104" s="13" t="n">
        <f aca="false">Setup!$C$5+151</f>
        <v>46178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TEXT(Setup!$C$5+151,"dddd")</f>
        <v>Friday</v>
      </c>
      <c r="B105" s="13" t="n">
        <f aca="false">Setup!$C$5+151</f>
        <v>46178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TEXT(Setup!$C$5+151,"dddd")</f>
        <v>Friday</v>
      </c>
      <c r="B106" s="13" t="n">
        <f aca="false">Setup!$C$5+151</f>
        <v>46178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TEXT(Setup!$C$5+151,"dddd")</f>
        <v>Friday</v>
      </c>
      <c r="B107" s="13" t="n">
        <f aca="false">Setup!$C$5+151</f>
        <v>46178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TEXT(Setup!$C$5+151,"dddd")</f>
        <v>Friday</v>
      </c>
      <c r="B108" s="13" t="n">
        <f aca="false">Setup!$C$5+151</f>
        <v>46178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TEXT(Setup!$C$5+151,"dddd")</f>
        <v>Friday</v>
      </c>
      <c r="B109" s="13" t="n">
        <f aca="false">Setup!$C$5+151</f>
        <v>46178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TEXT(Setup!$C$5+151,"dddd")</f>
        <v>Friday</v>
      </c>
      <c r="B110" s="13" t="n">
        <f aca="false">Setup!$C$5+151</f>
        <v>46178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TEXT(Setup!$C$5+151,"dddd")</f>
        <v>Friday</v>
      </c>
      <c r="B111" s="23" t="n">
        <f aca="false">Setup!$C$5+151</f>
        <v>46178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IFERROR(H111-Wk21!H111,"")</f>
        <v>0</v>
      </c>
      <c r="O111" s="24" t="n">
        <f aca="false">IFERROR(D111-Wk21!D111,"")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TEXT(Setup!$C$5+152,"dddd")</f>
        <v>Saturday</v>
      </c>
      <c r="B112" s="13" t="n">
        <f aca="false">Setup!$C$5+152</f>
        <v>46179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TEXT(Setup!$C$5+152,"dddd")</f>
        <v>Saturday</v>
      </c>
      <c r="B113" s="13" t="n">
        <f aca="false">Setup!$C$5+152</f>
        <v>46179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TEXT(Setup!$C$5+152,"dddd")</f>
        <v>Saturday</v>
      </c>
      <c r="B114" s="13" t="n">
        <f aca="false">Setup!$C$5+152</f>
        <v>46179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TEXT(Setup!$C$5+152,"dddd")</f>
        <v>Saturday</v>
      </c>
      <c r="B115" s="13" t="n">
        <f aca="false">Setup!$C$5+152</f>
        <v>46179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TEXT(Setup!$C$5+152,"dddd")</f>
        <v>Saturday</v>
      </c>
      <c r="B116" s="13" t="n">
        <f aca="false">Setup!$C$5+152</f>
        <v>46179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TEXT(Setup!$C$5+152,"dddd")</f>
        <v>Saturday</v>
      </c>
      <c r="B117" s="13" t="n">
        <f aca="false">Setup!$C$5+152</f>
        <v>46179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TEXT(Setup!$C$5+152,"dddd")</f>
        <v>Saturday</v>
      </c>
      <c r="B118" s="13" t="n">
        <f aca="false">Setup!$C$5+152</f>
        <v>46179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TEXT(Setup!$C$5+152,"dddd")</f>
        <v>Saturday</v>
      </c>
      <c r="B119" s="13" t="n">
        <f aca="false">Setup!$C$5+152</f>
        <v>46179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TEXT(Setup!$C$5+152,"dddd")</f>
        <v>Saturday</v>
      </c>
      <c r="B120" s="13" t="n">
        <f aca="false">Setup!$C$5+152</f>
        <v>46179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TEXT(Setup!$C$5+152,"dddd")</f>
        <v>Saturday</v>
      </c>
      <c r="B121" s="13" t="n">
        <f aca="false">Setup!$C$5+152</f>
        <v>46179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TEXT(Setup!$C$5+152,"dddd")</f>
        <v>Saturday</v>
      </c>
      <c r="B122" s="13" t="n">
        <f aca="false">Setup!$C$5+152</f>
        <v>46179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TEXT(Setup!$C$5+152,"dddd")</f>
        <v>Saturday</v>
      </c>
      <c r="B123" s="13" t="n">
        <f aca="false">Setup!$C$5+152</f>
        <v>46179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TEXT(Setup!$C$5+152,"dddd")</f>
        <v>Saturday</v>
      </c>
      <c r="B124" s="13" t="n">
        <f aca="false">Setup!$C$5+152</f>
        <v>46179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TEXT(Setup!$C$5+152,"dddd")</f>
        <v>Saturday</v>
      </c>
      <c r="B125" s="13" t="n">
        <f aca="false">Setup!$C$5+152</f>
        <v>46179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TEXT(Setup!$C$5+152,"dddd")</f>
        <v>Saturday</v>
      </c>
      <c r="B126" s="13" t="n">
        <f aca="false">Setup!$C$5+152</f>
        <v>46179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TEXT(Setup!$C$5+152,"dddd")</f>
        <v>Saturday</v>
      </c>
      <c r="B127" s="13" t="n">
        <f aca="false">Setup!$C$5+152</f>
        <v>46179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TEXT(Setup!$C$5+152,"dddd")</f>
        <v>Saturday</v>
      </c>
      <c r="B128" s="13" t="n">
        <f aca="false">Setup!$C$5+152</f>
        <v>46179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TEXT(Setup!$C$5+152,"dddd")</f>
        <v>Saturday</v>
      </c>
      <c r="B129" s="13" t="n">
        <f aca="false">Setup!$C$5+152</f>
        <v>46179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TEXT(Setup!$C$5+152,"dddd")</f>
        <v>Saturday</v>
      </c>
      <c r="B130" s="13" t="n">
        <f aca="false">Setup!$C$5+152</f>
        <v>46179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TEXT(Setup!$C$5+152,"dddd")</f>
        <v>Saturday</v>
      </c>
      <c r="B131" s="13" t="n">
        <f aca="false">Setup!$C$5+152</f>
        <v>46179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TEXT(Setup!$C$5+152,"dddd")</f>
        <v>Saturday</v>
      </c>
      <c r="B132" s="13" t="n">
        <f aca="false">Setup!$C$5+152</f>
        <v>46179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TEXT(Setup!$C$5+152,"dddd")</f>
        <v>Saturday</v>
      </c>
      <c r="B133" s="23" t="n">
        <f aca="false">Setup!$C$5+152</f>
        <v>46179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IFERROR(H133-Wk21!H133,"")</f>
        <v>0</v>
      </c>
      <c r="O133" s="24" t="n">
        <f aca="false">IFERROR(D133-Wk21!D133,"")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TEXT(Setup!$C$5+153,"dddd")</f>
        <v>Sunday</v>
      </c>
      <c r="B134" s="13" t="n">
        <f aca="false">Setup!$C$5+153</f>
        <v>46180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TEXT(Setup!$C$5+153,"dddd")</f>
        <v>Sunday</v>
      </c>
      <c r="B135" s="13" t="n">
        <f aca="false">Setup!$C$5+153</f>
        <v>46180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TEXT(Setup!$C$5+153,"dddd")</f>
        <v>Sunday</v>
      </c>
      <c r="B136" s="13" t="n">
        <f aca="false">Setup!$C$5+153</f>
        <v>46180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TEXT(Setup!$C$5+153,"dddd")</f>
        <v>Sunday</v>
      </c>
      <c r="B137" s="13" t="n">
        <f aca="false">Setup!$C$5+153</f>
        <v>46180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TEXT(Setup!$C$5+153,"dddd")</f>
        <v>Sunday</v>
      </c>
      <c r="B138" s="13" t="n">
        <f aca="false">Setup!$C$5+153</f>
        <v>46180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TEXT(Setup!$C$5+153,"dddd")</f>
        <v>Sunday</v>
      </c>
      <c r="B139" s="13" t="n">
        <f aca="false">Setup!$C$5+153</f>
        <v>46180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TEXT(Setup!$C$5+153,"dddd")</f>
        <v>Sunday</v>
      </c>
      <c r="B140" s="13" t="n">
        <f aca="false">Setup!$C$5+153</f>
        <v>46180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TEXT(Setup!$C$5+153,"dddd")</f>
        <v>Sunday</v>
      </c>
      <c r="B141" s="13" t="n">
        <f aca="false">Setup!$C$5+153</f>
        <v>46180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TEXT(Setup!$C$5+153,"dddd")</f>
        <v>Sunday</v>
      </c>
      <c r="B142" s="13" t="n">
        <f aca="false">Setup!$C$5+153</f>
        <v>46180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TEXT(Setup!$C$5+153,"dddd")</f>
        <v>Sunday</v>
      </c>
      <c r="B143" s="13" t="n">
        <f aca="false">Setup!$C$5+153</f>
        <v>46180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TEXT(Setup!$C$5+153,"dddd")</f>
        <v>Sunday</v>
      </c>
      <c r="B144" s="13" t="n">
        <f aca="false">Setup!$C$5+153</f>
        <v>46180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TEXT(Setup!$C$5+153,"dddd")</f>
        <v>Sunday</v>
      </c>
      <c r="B145" s="13" t="n">
        <f aca="false">Setup!$C$5+153</f>
        <v>46180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TEXT(Setup!$C$5+153,"dddd")</f>
        <v>Sunday</v>
      </c>
      <c r="B146" s="13" t="n">
        <f aca="false">Setup!$C$5+153</f>
        <v>46180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TEXT(Setup!$C$5+153,"dddd")</f>
        <v>Sunday</v>
      </c>
      <c r="B147" s="13" t="n">
        <f aca="false">Setup!$C$5+153</f>
        <v>46180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TEXT(Setup!$C$5+153,"dddd")</f>
        <v>Sunday</v>
      </c>
      <c r="B148" s="13" t="n">
        <f aca="false">Setup!$C$5+153</f>
        <v>46180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TEXT(Setup!$C$5+153,"dddd")</f>
        <v>Sunday</v>
      </c>
      <c r="B149" s="13" t="n">
        <f aca="false">Setup!$C$5+153</f>
        <v>46180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TEXT(Setup!$C$5+153,"dddd")</f>
        <v>Sunday</v>
      </c>
      <c r="B150" s="13" t="n">
        <f aca="false">Setup!$C$5+153</f>
        <v>46180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TEXT(Setup!$C$5+153,"dddd")</f>
        <v>Sunday</v>
      </c>
      <c r="B151" s="13" t="n">
        <f aca="false">Setup!$C$5+153</f>
        <v>46180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TEXT(Setup!$C$5+153,"dddd")</f>
        <v>Sunday</v>
      </c>
      <c r="B152" s="13" t="n">
        <f aca="false">Setup!$C$5+153</f>
        <v>46180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TEXT(Setup!$C$5+153,"dddd")</f>
        <v>Sunday</v>
      </c>
      <c r="B153" s="13" t="n">
        <f aca="false">Setup!$C$5+153</f>
        <v>46180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TEXT(Setup!$C$5+153,"dddd")</f>
        <v>Sunday</v>
      </c>
      <c r="B154" s="13" t="n">
        <f aca="false">Setup!$C$5+153</f>
        <v>46180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TEXT(Setup!$C$5+153,"dddd")</f>
        <v>Sunday</v>
      </c>
      <c r="B155" s="23" t="n">
        <f aca="false">Setup!$C$5+153</f>
        <v>46180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IFERROR(H155-Wk21!H155,"")</f>
        <v>0</v>
      </c>
      <c r="O155" s="24" t="n">
        <f aca="false">IFERROR(D155-Wk21!D155,"")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IFERROR(D156-Wk21!D156,"")</f>
        <v>0</v>
      </c>
      <c r="E157" s="34" t="n">
        <f aca="false">IFERROR(E156-Wk21!E156,"")</f>
        <v>0</v>
      </c>
      <c r="H157" s="32" t="n">
        <f aca="false">IFERROR(H156-Wk21!H156,"")</f>
        <v>0</v>
      </c>
      <c r="K157" s="32" t="n">
        <f aca="false">IFERROR(K156-Wk21!K156,"")</f>
        <v>0</v>
      </c>
      <c r="M157" s="32" t="n">
        <f aca="false">IFERROR(M156-Wk21!M156,"")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TEXT(Setup!$C$5+154,"dddd")</f>
        <v>Monday</v>
      </c>
      <c r="B2" s="13" t="n">
        <f aca="false">Setup!$C$5+154</f>
        <v>46181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TEXT(Setup!$C$5+154,"dddd")</f>
        <v>Monday</v>
      </c>
      <c r="B3" s="13" t="n">
        <f aca="false">Setup!$C$5+154</f>
        <v>46181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TEXT(Setup!$C$5+154,"dddd")</f>
        <v>Monday</v>
      </c>
      <c r="B4" s="13" t="n">
        <f aca="false">Setup!$C$5+154</f>
        <v>46181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TEXT(Setup!$C$5+154,"dddd")</f>
        <v>Monday</v>
      </c>
      <c r="B5" s="13" t="n">
        <f aca="false">Setup!$C$5+154</f>
        <v>46181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TEXT(Setup!$C$5+154,"dddd")</f>
        <v>Monday</v>
      </c>
      <c r="B6" s="13" t="n">
        <f aca="false">Setup!$C$5+154</f>
        <v>46181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TEXT(Setup!$C$5+154,"dddd")</f>
        <v>Monday</v>
      </c>
      <c r="B7" s="13" t="n">
        <f aca="false">Setup!$C$5+154</f>
        <v>46181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TEXT(Setup!$C$5+154,"dddd")</f>
        <v>Monday</v>
      </c>
      <c r="B8" s="13" t="n">
        <f aca="false">Setup!$C$5+154</f>
        <v>46181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TEXT(Setup!$C$5+154,"dddd")</f>
        <v>Monday</v>
      </c>
      <c r="B9" s="13" t="n">
        <f aca="false">Setup!$C$5+154</f>
        <v>46181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TEXT(Setup!$C$5+154,"dddd")</f>
        <v>Monday</v>
      </c>
      <c r="B10" s="13" t="n">
        <f aca="false">Setup!$C$5+154</f>
        <v>46181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TEXT(Setup!$C$5+154,"dddd")</f>
        <v>Monday</v>
      </c>
      <c r="B11" s="13" t="n">
        <f aca="false">Setup!$C$5+154</f>
        <v>46181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TEXT(Setup!$C$5+154,"dddd")</f>
        <v>Monday</v>
      </c>
      <c r="B12" s="13" t="n">
        <f aca="false">Setup!$C$5+154</f>
        <v>46181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TEXT(Setup!$C$5+154,"dddd")</f>
        <v>Monday</v>
      </c>
      <c r="B13" s="13" t="n">
        <f aca="false">Setup!$C$5+154</f>
        <v>46181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TEXT(Setup!$C$5+154,"dddd")</f>
        <v>Monday</v>
      </c>
      <c r="B14" s="13" t="n">
        <f aca="false">Setup!$C$5+154</f>
        <v>46181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TEXT(Setup!$C$5+154,"dddd")</f>
        <v>Monday</v>
      </c>
      <c r="B15" s="13" t="n">
        <f aca="false">Setup!$C$5+154</f>
        <v>46181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TEXT(Setup!$C$5+154,"dddd")</f>
        <v>Monday</v>
      </c>
      <c r="B16" s="13" t="n">
        <f aca="false">Setup!$C$5+154</f>
        <v>46181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TEXT(Setup!$C$5+154,"dddd")</f>
        <v>Monday</v>
      </c>
      <c r="B17" s="13" t="n">
        <f aca="false">Setup!$C$5+154</f>
        <v>46181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TEXT(Setup!$C$5+154,"dddd")</f>
        <v>Monday</v>
      </c>
      <c r="B18" s="13" t="n">
        <f aca="false">Setup!$C$5+154</f>
        <v>46181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TEXT(Setup!$C$5+154,"dddd")</f>
        <v>Monday</v>
      </c>
      <c r="B19" s="13" t="n">
        <f aca="false">Setup!$C$5+154</f>
        <v>46181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TEXT(Setup!$C$5+154,"dddd")</f>
        <v>Monday</v>
      </c>
      <c r="B20" s="13" t="n">
        <f aca="false">Setup!$C$5+154</f>
        <v>46181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TEXT(Setup!$C$5+154,"dddd")</f>
        <v>Monday</v>
      </c>
      <c r="B21" s="13" t="n">
        <f aca="false">Setup!$C$5+154</f>
        <v>46181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TEXT(Setup!$C$5+154,"dddd")</f>
        <v>Monday</v>
      </c>
      <c r="B22" s="13" t="n">
        <f aca="false">Setup!$C$5+154</f>
        <v>46181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TEXT(Setup!$C$5+154,"dddd")</f>
        <v>Monday</v>
      </c>
      <c r="B23" s="23" t="n">
        <f aca="false">Setup!$C$5+154</f>
        <v>46181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IFERROR(H23-Wk22!H23,"")</f>
        <v>0</v>
      </c>
      <c r="O23" s="24" t="n">
        <f aca="false">IFERROR(D23-Wk22!D23,"")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TEXT(Setup!$C$5+155,"dddd")</f>
        <v>Tuesday</v>
      </c>
      <c r="B24" s="13" t="n">
        <f aca="false">Setup!$C$5+155</f>
        <v>46182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TEXT(Setup!$C$5+155,"dddd")</f>
        <v>Tuesday</v>
      </c>
      <c r="B25" s="13" t="n">
        <f aca="false">Setup!$C$5+155</f>
        <v>46182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TEXT(Setup!$C$5+155,"dddd")</f>
        <v>Tuesday</v>
      </c>
      <c r="B26" s="13" t="n">
        <f aca="false">Setup!$C$5+155</f>
        <v>46182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TEXT(Setup!$C$5+155,"dddd")</f>
        <v>Tuesday</v>
      </c>
      <c r="B27" s="13" t="n">
        <f aca="false">Setup!$C$5+155</f>
        <v>46182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TEXT(Setup!$C$5+155,"dddd")</f>
        <v>Tuesday</v>
      </c>
      <c r="B28" s="13" t="n">
        <f aca="false">Setup!$C$5+155</f>
        <v>46182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TEXT(Setup!$C$5+155,"dddd")</f>
        <v>Tuesday</v>
      </c>
      <c r="B29" s="13" t="n">
        <f aca="false">Setup!$C$5+155</f>
        <v>46182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TEXT(Setup!$C$5+155,"dddd")</f>
        <v>Tuesday</v>
      </c>
      <c r="B30" s="13" t="n">
        <f aca="false">Setup!$C$5+155</f>
        <v>46182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TEXT(Setup!$C$5+155,"dddd")</f>
        <v>Tuesday</v>
      </c>
      <c r="B31" s="13" t="n">
        <f aca="false">Setup!$C$5+155</f>
        <v>46182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TEXT(Setup!$C$5+155,"dddd")</f>
        <v>Tuesday</v>
      </c>
      <c r="B32" s="13" t="n">
        <f aca="false">Setup!$C$5+155</f>
        <v>46182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TEXT(Setup!$C$5+155,"dddd")</f>
        <v>Tuesday</v>
      </c>
      <c r="B33" s="13" t="n">
        <f aca="false">Setup!$C$5+155</f>
        <v>46182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TEXT(Setup!$C$5+155,"dddd")</f>
        <v>Tuesday</v>
      </c>
      <c r="B34" s="13" t="n">
        <f aca="false">Setup!$C$5+155</f>
        <v>46182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TEXT(Setup!$C$5+155,"dddd")</f>
        <v>Tuesday</v>
      </c>
      <c r="B35" s="13" t="n">
        <f aca="false">Setup!$C$5+155</f>
        <v>46182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TEXT(Setup!$C$5+155,"dddd")</f>
        <v>Tuesday</v>
      </c>
      <c r="B36" s="13" t="n">
        <f aca="false">Setup!$C$5+155</f>
        <v>46182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TEXT(Setup!$C$5+155,"dddd")</f>
        <v>Tuesday</v>
      </c>
      <c r="B37" s="13" t="n">
        <f aca="false">Setup!$C$5+155</f>
        <v>46182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TEXT(Setup!$C$5+155,"dddd")</f>
        <v>Tuesday</v>
      </c>
      <c r="B38" s="13" t="n">
        <f aca="false">Setup!$C$5+155</f>
        <v>46182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TEXT(Setup!$C$5+155,"dddd")</f>
        <v>Tuesday</v>
      </c>
      <c r="B39" s="13" t="n">
        <f aca="false">Setup!$C$5+155</f>
        <v>46182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TEXT(Setup!$C$5+155,"dddd")</f>
        <v>Tuesday</v>
      </c>
      <c r="B40" s="13" t="n">
        <f aca="false">Setup!$C$5+155</f>
        <v>46182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TEXT(Setup!$C$5+155,"dddd")</f>
        <v>Tuesday</v>
      </c>
      <c r="B41" s="13" t="n">
        <f aca="false">Setup!$C$5+155</f>
        <v>46182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TEXT(Setup!$C$5+155,"dddd")</f>
        <v>Tuesday</v>
      </c>
      <c r="B42" s="13" t="n">
        <f aca="false">Setup!$C$5+155</f>
        <v>46182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TEXT(Setup!$C$5+155,"dddd")</f>
        <v>Tuesday</v>
      </c>
      <c r="B43" s="13" t="n">
        <f aca="false">Setup!$C$5+155</f>
        <v>46182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TEXT(Setup!$C$5+155,"dddd")</f>
        <v>Tuesday</v>
      </c>
      <c r="B44" s="13" t="n">
        <f aca="false">Setup!$C$5+155</f>
        <v>46182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TEXT(Setup!$C$5+155,"dddd")</f>
        <v>Tuesday</v>
      </c>
      <c r="B45" s="23" t="n">
        <f aca="false">Setup!$C$5+155</f>
        <v>46182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IFERROR(H45-Wk22!H45,"")</f>
        <v>0</v>
      </c>
      <c r="O45" s="24" t="n">
        <f aca="false">IFERROR(D45-Wk22!D45,"")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TEXT(Setup!$C$5+156,"dddd")</f>
        <v>Wednesday</v>
      </c>
      <c r="B46" s="13" t="n">
        <f aca="false">Setup!$C$5+156</f>
        <v>46183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TEXT(Setup!$C$5+156,"dddd")</f>
        <v>Wednesday</v>
      </c>
      <c r="B47" s="13" t="n">
        <f aca="false">Setup!$C$5+156</f>
        <v>46183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TEXT(Setup!$C$5+156,"dddd")</f>
        <v>Wednesday</v>
      </c>
      <c r="B48" s="13" t="n">
        <f aca="false">Setup!$C$5+156</f>
        <v>46183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TEXT(Setup!$C$5+156,"dddd")</f>
        <v>Wednesday</v>
      </c>
      <c r="B49" s="13" t="n">
        <f aca="false">Setup!$C$5+156</f>
        <v>46183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TEXT(Setup!$C$5+156,"dddd")</f>
        <v>Wednesday</v>
      </c>
      <c r="B50" s="13" t="n">
        <f aca="false">Setup!$C$5+156</f>
        <v>46183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TEXT(Setup!$C$5+156,"dddd")</f>
        <v>Wednesday</v>
      </c>
      <c r="B51" s="13" t="n">
        <f aca="false">Setup!$C$5+156</f>
        <v>46183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TEXT(Setup!$C$5+156,"dddd")</f>
        <v>Wednesday</v>
      </c>
      <c r="B52" s="13" t="n">
        <f aca="false">Setup!$C$5+156</f>
        <v>46183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TEXT(Setup!$C$5+156,"dddd")</f>
        <v>Wednesday</v>
      </c>
      <c r="B53" s="13" t="n">
        <f aca="false">Setup!$C$5+156</f>
        <v>46183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TEXT(Setup!$C$5+156,"dddd")</f>
        <v>Wednesday</v>
      </c>
      <c r="B54" s="13" t="n">
        <f aca="false">Setup!$C$5+156</f>
        <v>46183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TEXT(Setup!$C$5+156,"dddd")</f>
        <v>Wednesday</v>
      </c>
      <c r="B55" s="13" t="n">
        <f aca="false">Setup!$C$5+156</f>
        <v>46183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TEXT(Setup!$C$5+156,"dddd")</f>
        <v>Wednesday</v>
      </c>
      <c r="B56" s="13" t="n">
        <f aca="false">Setup!$C$5+156</f>
        <v>46183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TEXT(Setup!$C$5+156,"dddd")</f>
        <v>Wednesday</v>
      </c>
      <c r="B57" s="13" t="n">
        <f aca="false">Setup!$C$5+156</f>
        <v>46183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TEXT(Setup!$C$5+156,"dddd")</f>
        <v>Wednesday</v>
      </c>
      <c r="B58" s="13" t="n">
        <f aca="false">Setup!$C$5+156</f>
        <v>46183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TEXT(Setup!$C$5+156,"dddd")</f>
        <v>Wednesday</v>
      </c>
      <c r="B59" s="13" t="n">
        <f aca="false">Setup!$C$5+156</f>
        <v>46183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TEXT(Setup!$C$5+156,"dddd")</f>
        <v>Wednesday</v>
      </c>
      <c r="B60" s="13" t="n">
        <f aca="false">Setup!$C$5+156</f>
        <v>46183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TEXT(Setup!$C$5+156,"dddd")</f>
        <v>Wednesday</v>
      </c>
      <c r="B61" s="13" t="n">
        <f aca="false">Setup!$C$5+156</f>
        <v>46183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TEXT(Setup!$C$5+156,"dddd")</f>
        <v>Wednesday</v>
      </c>
      <c r="B62" s="13" t="n">
        <f aca="false">Setup!$C$5+156</f>
        <v>46183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TEXT(Setup!$C$5+156,"dddd")</f>
        <v>Wednesday</v>
      </c>
      <c r="B63" s="13" t="n">
        <f aca="false">Setup!$C$5+156</f>
        <v>46183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TEXT(Setup!$C$5+156,"dddd")</f>
        <v>Wednesday</v>
      </c>
      <c r="B64" s="13" t="n">
        <f aca="false">Setup!$C$5+156</f>
        <v>46183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TEXT(Setup!$C$5+156,"dddd")</f>
        <v>Wednesday</v>
      </c>
      <c r="B65" s="13" t="n">
        <f aca="false">Setup!$C$5+156</f>
        <v>46183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TEXT(Setup!$C$5+156,"dddd")</f>
        <v>Wednesday</v>
      </c>
      <c r="B66" s="13" t="n">
        <f aca="false">Setup!$C$5+156</f>
        <v>46183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TEXT(Setup!$C$5+156,"dddd")</f>
        <v>Wednesday</v>
      </c>
      <c r="B67" s="23" t="n">
        <f aca="false">Setup!$C$5+156</f>
        <v>46183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IFERROR(H67-Wk22!H67,"")</f>
        <v>0</v>
      </c>
      <c r="O67" s="24" t="n">
        <f aca="false">IFERROR(D67-Wk22!D67,"")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TEXT(Setup!$C$5+157,"dddd")</f>
        <v>Thursday</v>
      </c>
      <c r="B68" s="13" t="n">
        <f aca="false">Setup!$C$5+157</f>
        <v>46184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TEXT(Setup!$C$5+157,"dddd")</f>
        <v>Thursday</v>
      </c>
      <c r="B69" s="13" t="n">
        <f aca="false">Setup!$C$5+157</f>
        <v>46184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TEXT(Setup!$C$5+157,"dddd")</f>
        <v>Thursday</v>
      </c>
      <c r="B70" s="13" t="n">
        <f aca="false">Setup!$C$5+157</f>
        <v>46184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TEXT(Setup!$C$5+157,"dddd")</f>
        <v>Thursday</v>
      </c>
      <c r="B71" s="13" t="n">
        <f aca="false">Setup!$C$5+157</f>
        <v>46184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TEXT(Setup!$C$5+157,"dddd")</f>
        <v>Thursday</v>
      </c>
      <c r="B72" s="13" t="n">
        <f aca="false">Setup!$C$5+157</f>
        <v>46184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TEXT(Setup!$C$5+157,"dddd")</f>
        <v>Thursday</v>
      </c>
      <c r="B73" s="13" t="n">
        <f aca="false">Setup!$C$5+157</f>
        <v>46184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TEXT(Setup!$C$5+157,"dddd")</f>
        <v>Thursday</v>
      </c>
      <c r="B74" s="13" t="n">
        <f aca="false">Setup!$C$5+157</f>
        <v>46184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TEXT(Setup!$C$5+157,"dddd")</f>
        <v>Thursday</v>
      </c>
      <c r="B75" s="13" t="n">
        <f aca="false">Setup!$C$5+157</f>
        <v>46184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TEXT(Setup!$C$5+157,"dddd")</f>
        <v>Thursday</v>
      </c>
      <c r="B76" s="13" t="n">
        <f aca="false">Setup!$C$5+157</f>
        <v>46184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TEXT(Setup!$C$5+157,"dddd")</f>
        <v>Thursday</v>
      </c>
      <c r="B77" s="13" t="n">
        <f aca="false">Setup!$C$5+157</f>
        <v>46184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TEXT(Setup!$C$5+157,"dddd")</f>
        <v>Thursday</v>
      </c>
      <c r="B78" s="13" t="n">
        <f aca="false">Setup!$C$5+157</f>
        <v>46184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TEXT(Setup!$C$5+157,"dddd")</f>
        <v>Thursday</v>
      </c>
      <c r="B79" s="13" t="n">
        <f aca="false">Setup!$C$5+157</f>
        <v>46184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TEXT(Setup!$C$5+157,"dddd")</f>
        <v>Thursday</v>
      </c>
      <c r="B80" s="13" t="n">
        <f aca="false">Setup!$C$5+157</f>
        <v>46184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TEXT(Setup!$C$5+157,"dddd")</f>
        <v>Thursday</v>
      </c>
      <c r="B81" s="13" t="n">
        <f aca="false">Setup!$C$5+157</f>
        <v>46184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TEXT(Setup!$C$5+157,"dddd")</f>
        <v>Thursday</v>
      </c>
      <c r="B82" s="13" t="n">
        <f aca="false">Setup!$C$5+157</f>
        <v>46184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TEXT(Setup!$C$5+157,"dddd")</f>
        <v>Thursday</v>
      </c>
      <c r="B83" s="13" t="n">
        <f aca="false">Setup!$C$5+157</f>
        <v>46184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TEXT(Setup!$C$5+157,"dddd")</f>
        <v>Thursday</v>
      </c>
      <c r="B84" s="13" t="n">
        <f aca="false">Setup!$C$5+157</f>
        <v>46184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TEXT(Setup!$C$5+157,"dddd")</f>
        <v>Thursday</v>
      </c>
      <c r="B85" s="13" t="n">
        <f aca="false">Setup!$C$5+157</f>
        <v>46184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TEXT(Setup!$C$5+157,"dddd")</f>
        <v>Thursday</v>
      </c>
      <c r="B86" s="13" t="n">
        <f aca="false">Setup!$C$5+157</f>
        <v>46184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TEXT(Setup!$C$5+157,"dddd")</f>
        <v>Thursday</v>
      </c>
      <c r="B87" s="13" t="n">
        <f aca="false">Setup!$C$5+157</f>
        <v>46184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TEXT(Setup!$C$5+157,"dddd")</f>
        <v>Thursday</v>
      </c>
      <c r="B88" s="13" t="n">
        <f aca="false">Setup!$C$5+157</f>
        <v>46184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TEXT(Setup!$C$5+157,"dddd")</f>
        <v>Thursday</v>
      </c>
      <c r="B89" s="23" t="n">
        <f aca="false">Setup!$C$5+157</f>
        <v>46184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IFERROR(H89-Wk22!H89,"")</f>
        <v>0</v>
      </c>
      <c r="O89" s="24" t="n">
        <f aca="false">IFERROR(D89-Wk22!D89,"")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TEXT(Setup!$C$5+158,"dddd")</f>
        <v>Friday</v>
      </c>
      <c r="B90" s="13" t="n">
        <f aca="false">Setup!$C$5+158</f>
        <v>46185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TEXT(Setup!$C$5+158,"dddd")</f>
        <v>Friday</v>
      </c>
      <c r="B91" s="13" t="n">
        <f aca="false">Setup!$C$5+158</f>
        <v>46185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TEXT(Setup!$C$5+158,"dddd")</f>
        <v>Friday</v>
      </c>
      <c r="B92" s="13" t="n">
        <f aca="false">Setup!$C$5+158</f>
        <v>46185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TEXT(Setup!$C$5+158,"dddd")</f>
        <v>Friday</v>
      </c>
      <c r="B93" s="13" t="n">
        <f aca="false">Setup!$C$5+158</f>
        <v>46185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TEXT(Setup!$C$5+158,"dddd")</f>
        <v>Friday</v>
      </c>
      <c r="B94" s="13" t="n">
        <f aca="false">Setup!$C$5+158</f>
        <v>46185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TEXT(Setup!$C$5+158,"dddd")</f>
        <v>Friday</v>
      </c>
      <c r="B95" s="13" t="n">
        <f aca="false">Setup!$C$5+158</f>
        <v>46185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TEXT(Setup!$C$5+158,"dddd")</f>
        <v>Friday</v>
      </c>
      <c r="B96" s="13" t="n">
        <f aca="false">Setup!$C$5+158</f>
        <v>46185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TEXT(Setup!$C$5+158,"dddd")</f>
        <v>Friday</v>
      </c>
      <c r="B97" s="13" t="n">
        <f aca="false">Setup!$C$5+158</f>
        <v>46185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TEXT(Setup!$C$5+158,"dddd")</f>
        <v>Friday</v>
      </c>
      <c r="B98" s="13" t="n">
        <f aca="false">Setup!$C$5+158</f>
        <v>46185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TEXT(Setup!$C$5+158,"dddd")</f>
        <v>Friday</v>
      </c>
      <c r="B99" s="13" t="n">
        <f aca="false">Setup!$C$5+158</f>
        <v>46185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TEXT(Setup!$C$5+158,"dddd")</f>
        <v>Friday</v>
      </c>
      <c r="B100" s="13" t="n">
        <f aca="false">Setup!$C$5+158</f>
        <v>46185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TEXT(Setup!$C$5+158,"dddd")</f>
        <v>Friday</v>
      </c>
      <c r="B101" s="13" t="n">
        <f aca="false">Setup!$C$5+158</f>
        <v>46185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TEXT(Setup!$C$5+158,"dddd")</f>
        <v>Friday</v>
      </c>
      <c r="B102" s="13" t="n">
        <f aca="false">Setup!$C$5+158</f>
        <v>46185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TEXT(Setup!$C$5+158,"dddd")</f>
        <v>Friday</v>
      </c>
      <c r="B103" s="13" t="n">
        <f aca="false">Setup!$C$5+158</f>
        <v>46185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TEXT(Setup!$C$5+158,"dddd")</f>
        <v>Friday</v>
      </c>
      <c r="B104" s="13" t="n">
        <f aca="false">Setup!$C$5+158</f>
        <v>46185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TEXT(Setup!$C$5+158,"dddd")</f>
        <v>Friday</v>
      </c>
      <c r="B105" s="13" t="n">
        <f aca="false">Setup!$C$5+158</f>
        <v>46185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TEXT(Setup!$C$5+158,"dddd")</f>
        <v>Friday</v>
      </c>
      <c r="B106" s="13" t="n">
        <f aca="false">Setup!$C$5+158</f>
        <v>46185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TEXT(Setup!$C$5+158,"dddd")</f>
        <v>Friday</v>
      </c>
      <c r="B107" s="13" t="n">
        <f aca="false">Setup!$C$5+158</f>
        <v>46185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TEXT(Setup!$C$5+158,"dddd")</f>
        <v>Friday</v>
      </c>
      <c r="B108" s="13" t="n">
        <f aca="false">Setup!$C$5+158</f>
        <v>46185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TEXT(Setup!$C$5+158,"dddd")</f>
        <v>Friday</v>
      </c>
      <c r="B109" s="13" t="n">
        <f aca="false">Setup!$C$5+158</f>
        <v>46185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TEXT(Setup!$C$5+158,"dddd")</f>
        <v>Friday</v>
      </c>
      <c r="B110" s="13" t="n">
        <f aca="false">Setup!$C$5+158</f>
        <v>46185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TEXT(Setup!$C$5+158,"dddd")</f>
        <v>Friday</v>
      </c>
      <c r="B111" s="23" t="n">
        <f aca="false">Setup!$C$5+158</f>
        <v>46185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IFERROR(H111-Wk22!H111,"")</f>
        <v>0</v>
      </c>
      <c r="O111" s="24" t="n">
        <f aca="false">IFERROR(D111-Wk22!D111,"")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TEXT(Setup!$C$5+159,"dddd")</f>
        <v>Saturday</v>
      </c>
      <c r="B112" s="13" t="n">
        <f aca="false">Setup!$C$5+159</f>
        <v>46186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TEXT(Setup!$C$5+159,"dddd")</f>
        <v>Saturday</v>
      </c>
      <c r="B113" s="13" t="n">
        <f aca="false">Setup!$C$5+159</f>
        <v>46186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TEXT(Setup!$C$5+159,"dddd")</f>
        <v>Saturday</v>
      </c>
      <c r="B114" s="13" t="n">
        <f aca="false">Setup!$C$5+159</f>
        <v>46186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TEXT(Setup!$C$5+159,"dddd")</f>
        <v>Saturday</v>
      </c>
      <c r="B115" s="13" t="n">
        <f aca="false">Setup!$C$5+159</f>
        <v>46186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TEXT(Setup!$C$5+159,"dddd")</f>
        <v>Saturday</v>
      </c>
      <c r="B116" s="13" t="n">
        <f aca="false">Setup!$C$5+159</f>
        <v>46186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TEXT(Setup!$C$5+159,"dddd")</f>
        <v>Saturday</v>
      </c>
      <c r="B117" s="13" t="n">
        <f aca="false">Setup!$C$5+159</f>
        <v>46186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TEXT(Setup!$C$5+159,"dddd")</f>
        <v>Saturday</v>
      </c>
      <c r="B118" s="13" t="n">
        <f aca="false">Setup!$C$5+159</f>
        <v>46186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TEXT(Setup!$C$5+159,"dddd")</f>
        <v>Saturday</v>
      </c>
      <c r="B119" s="13" t="n">
        <f aca="false">Setup!$C$5+159</f>
        <v>46186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TEXT(Setup!$C$5+159,"dddd")</f>
        <v>Saturday</v>
      </c>
      <c r="B120" s="13" t="n">
        <f aca="false">Setup!$C$5+159</f>
        <v>46186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TEXT(Setup!$C$5+159,"dddd")</f>
        <v>Saturday</v>
      </c>
      <c r="B121" s="13" t="n">
        <f aca="false">Setup!$C$5+159</f>
        <v>46186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TEXT(Setup!$C$5+159,"dddd")</f>
        <v>Saturday</v>
      </c>
      <c r="B122" s="13" t="n">
        <f aca="false">Setup!$C$5+159</f>
        <v>46186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TEXT(Setup!$C$5+159,"dddd")</f>
        <v>Saturday</v>
      </c>
      <c r="B123" s="13" t="n">
        <f aca="false">Setup!$C$5+159</f>
        <v>46186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TEXT(Setup!$C$5+159,"dddd")</f>
        <v>Saturday</v>
      </c>
      <c r="B124" s="13" t="n">
        <f aca="false">Setup!$C$5+159</f>
        <v>46186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TEXT(Setup!$C$5+159,"dddd")</f>
        <v>Saturday</v>
      </c>
      <c r="B125" s="13" t="n">
        <f aca="false">Setup!$C$5+159</f>
        <v>46186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TEXT(Setup!$C$5+159,"dddd")</f>
        <v>Saturday</v>
      </c>
      <c r="B126" s="13" t="n">
        <f aca="false">Setup!$C$5+159</f>
        <v>46186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TEXT(Setup!$C$5+159,"dddd")</f>
        <v>Saturday</v>
      </c>
      <c r="B127" s="13" t="n">
        <f aca="false">Setup!$C$5+159</f>
        <v>46186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TEXT(Setup!$C$5+159,"dddd")</f>
        <v>Saturday</v>
      </c>
      <c r="B128" s="13" t="n">
        <f aca="false">Setup!$C$5+159</f>
        <v>46186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TEXT(Setup!$C$5+159,"dddd")</f>
        <v>Saturday</v>
      </c>
      <c r="B129" s="13" t="n">
        <f aca="false">Setup!$C$5+159</f>
        <v>46186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TEXT(Setup!$C$5+159,"dddd")</f>
        <v>Saturday</v>
      </c>
      <c r="B130" s="13" t="n">
        <f aca="false">Setup!$C$5+159</f>
        <v>46186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TEXT(Setup!$C$5+159,"dddd")</f>
        <v>Saturday</v>
      </c>
      <c r="B131" s="13" t="n">
        <f aca="false">Setup!$C$5+159</f>
        <v>46186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TEXT(Setup!$C$5+159,"dddd")</f>
        <v>Saturday</v>
      </c>
      <c r="B132" s="13" t="n">
        <f aca="false">Setup!$C$5+159</f>
        <v>46186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TEXT(Setup!$C$5+159,"dddd")</f>
        <v>Saturday</v>
      </c>
      <c r="B133" s="23" t="n">
        <f aca="false">Setup!$C$5+159</f>
        <v>46186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IFERROR(H133-Wk22!H133,"")</f>
        <v>0</v>
      </c>
      <c r="O133" s="24" t="n">
        <f aca="false">IFERROR(D133-Wk22!D133,"")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TEXT(Setup!$C$5+160,"dddd")</f>
        <v>Sunday</v>
      </c>
      <c r="B134" s="13" t="n">
        <f aca="false">Setup!$C$5+160</f>
        <v>46187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TEXT(Setup!$C$5+160,"dddd")</f>
        <v>Sunday</v>
      </c>
      <c r="B135" s="13" t="n">
        <f aca="false">Setup!$C$5+160</f>
        <v>46187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TEXT(Setup!$C$5+160,"dddd")</f>
        <v>Sunday</v>
      </c>
      <c r="B136" s="13" t="n">
        <f aca="false">Setup!$C$5+160</f>
        <v>46187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TEXT(Setup!$C$5+160,"dddd")</f>
        <v>Sunday</v>
      </c>
      <c r="B137" s="13" t="n">
        <f aca="false">Setup!$C$5+160</f>
        <v>46187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TEXT(Setup!$C$5+160,"dddd")</f>
        <v>Sunday</v>
      </c>
      <c r="B138" s="13" t="n">
        <f aca="false">Setup!$C$5+160</f>
        <v>46187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TEXT(Setup!$C$5+160,"dddd")</f>
        <v>Sunday</v>
      </c>
      <c r="B139" s="13" t="n">
        <f aca="false">Setup!$C$5+160</f>
        <v>46187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TEXT(Setup!$C$5+160,"dddd")</f>
        <v>Sunday</v>
      </c>
      <c r="B140" s="13" t="n">
        <f aca="false">Setup!$C$5+160</f>
        <v>46187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TEXT(Setup!$C$5+160,"dddd")</f>
        <v>Sunday</v>
      </c>
      <c r="B141" s="13" t="n">
        <f aca="false">Setup!$C$5+160</f>
        <v>46187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TEXT(Setup!$C$5+160,"dddd")</f>
        <v>Sunday</v>
      </c>
      <c r="B142" s="13" t="n">
        <f aca="false">Setup!$C$5+160</f>
        <v>46187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TEXT(Setup!$C$5+160,"dddd")</f>
        <v>Sunday</v>
      </c>
      <c r="B143" s="13" t="n">
        <f aca="false">Setup!$C$5+160</f>
        <v>46187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TEXT(Setup!$C$5+160,"dddd")</f>
        <v>Sunday</v>
      </c>
      <c r="B144" s="13" t="n">
        <f aca="false">Setup!$C$5+160</f>
        <v>46187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TEXT(Setup!$C$5+160,"dddd")</f>
        <v>Sunday</v>
      </c>
      <c r="B145" s="13" t="n">
        <f aca="false">Setup!$C$5+160</f>
        <v>46187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TEXT(Setup!$C$5+160,"dddd")</f>
        <v>Sunday</v>
      </c>
      <c r="B146" s="13" t="n">
        <f aca="false">Setup!$C$5+160</f>
        <v>46187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TEXT(Setup!$C$5+160,"dddd")</f>
        <v>Sunday</v>
      </c>
      <c r="B147" s="13" t="n">
        <f aca="false">Setup!$C$5+160</f>
        <v>46187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TEXT(Setup!$C$5+160,"dddd")</f>
        <v>Sunday</v>
      </c>
      <c r="B148" s="13" t="n">
        <f aca="false">Setup!$C$5+160</f>
        <v>46187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TEXT(Setup!$C$5+160,"dddd")</f>
        <v>Sunday</v>
      </c>
      <c r="B149" s="13" t="n">
        <f aca="false">Setup!$C$5+160</f>
        <v>46187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TEXT(Setup!$C$5+160,"dddd")</f>
        <v>Sunday</v>
      </c>
      <c r="B150" s="13" t="n">
        <f aca="false">Setup!$C$5+160</f>
        <v>46187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TEXT(Setup!$C$5+160,"dddd")</f>
        <v>Sunday</v>
      </c>
      <c r="B151" s="13" t="n">
        <f aca="false">Setup!$C$5+160</f>
        <v>46187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TEXT(Setup!$C$5+160,"dddd")</f>
        <v>Sunday</v>
      </c>
      <c r="B152" s="13" t="n">
        <f aca="false">Setup!$C$5+160</f>
        <v>46187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TEXT(Setup!$C$5+160,"dddd")</f>
        <v>Sunday</v>
      </c>
      <c r="B153" s="13" t="n">
        <f aca="false">Setup!$C$5+160</f>
        <v>46187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TEXT(Setup!$C$5+160,"dddd")</f>
        <v>Sunday</v>
      </c>
      <c r="B154" s="13" t="n">
        <f aca="false">Setup!$C$5+160</f>
        <v>46187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TEXT(Setup!$C$5+160,"dddd")</f>
        <v>Sunday</v>
      </c>
      <c r="B155" s="23" t="n">
        <f aca="false">Setup!$C$5+160</f>
        <v>46187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IFERROR(H155-Wk22!H155,"")</f>
        <v>0</v>
      </c>
      <c r="O155" s="24" t="n">
        <f aca="false">IFERROR(D155-Wk22!D155,"")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IFERROR(D156-Wk22!D156,"")</f>
        <v>0</v>
      </c>
      <c r="E157" s="34" t="n">
        <f aca="false">IFERROR(E156-Wk22!E156,"")</f>
        <v>0</v>
      </c>
      <c r="H157" s="32" t="n">
        <f aca="false">IFERROR(H156-Wk22!H156,"")</f>
        <v>0</v>
      </c>
      <c r="K157" s="32" t="n">
        <f aca="false">IFERROR(K156-Wk22!K156,"")</f>
        <v>0</v>
      </c>
      <c r="M157" s="32" t="n">
        <f aca="false">IFERROR(M156-Wk22!M156,"")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TEXT(Setup!$C$5+161,"dddd")</f>
        <v>Monday</v>
      </c>
      <c r="B2" s="13" t="n">
        <f aca="false">Setup!$C$5+161</f>
        <v>46188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TEXT(Setup!$C$5+161,"dddd")</f>
        <v>Monday</v>
      </c>
      <c r="B3" s="13" t="n">
        <f aca="false">Setup!$C$5+161</f>
        <v>46188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TEXT(Setup!$C$5+161,"dddd")</f>
        <v>Monday</v>
      </c>
      <c r="B4" s="13" t="n">
        <f aca="false">Setup!$C$5+161</f>
        <v>46188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TEXT(Setup!$C$5+161,"dddd")</f>
        <v>Monday</v>
      </c>
      <c r="B5" s="13" t="n">
        <f aca="false">Setup!$C$5+161</f>
        <v>46188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TEXT(Setup!$C$5+161,"dddd")</f>
        <v>Monday</v>
      </c>
      <c r="B6" s="13" t="n">
        <f aca="false">Setup!$C$5+161</f>
        <v>46188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TEXT(Setup!$C$5+161,"dddd")</f>
        <v>Monday</v>
      </c>
      <c r="B7" s="13" t="n">
        <f aca="false">Setup!$C$5+161</f>
        <v>46188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TEXT(Setup!$C$5+161,"dddd")</f>
        <v>Monday</v>
      </c>
      <c r="B8" s="13" t="n">
        <f aca="false">Setup!$C$5+161</f>
        <v>46188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TEXT(Setup!$C$5+161,"dddd")</f>
        <v>Monday</v>
      </c>
      <c r="B9" s="13" t="n">
        <f aca="false">Setup!$C$5+161</f>
        <v>46188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TEXT(Setup!$C$5+161,"dddd")</f>
        <v>Monday</v>
      </c>
      <c r="B10" s="13" t="n">
        <f aca="false">Setup!$C$5+161</f>
        <v>46188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TEXT(Setup!$C$5+161,"dddd")</f>
        <v>Monday</v>
      </c>
      <c r="B11" s="13" t="n">
        <f aca="false">Setup!$C$5+161</f>
        <v>46188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TEXT(Setup!$C$5+161,"dddd")</f>
        <v>Monday</v>
      </c>
      <c r="B12" s="13" t="n">
        <f aca="false">Setup!$C$5+161</f>
        <v>46188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TEXT(Setup!$C$5+161,"dddd")</f>
        <v>Monday</v>
      </c>
      <c r="B13" s="13" t="n">
        <f aca="false">Setup!$C$5+161</f>
        <v>46188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TEXT(Setup!$C$5+161,"dddd")</f>
        <v>Monday</v>
      </c>
      <c r="B14" s="13" t="n">
        <f aca="false">Setup!$C$5+161</f>
        <v>46188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TEXT(Setup!$C$5+161,"dddd")</f>
        <v>Monday</v>
      </c>
      <c r="B15" s="13" t="n">
        <f aca="false">Setup!$C$5+161</f>
        <v>46188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TEXT(Setup!$C$5+161,"dddd")</f>
        <v>Monday</v>
      </c>
      <c r="B16" s="13" t="n">
        <f aca="false">Setup!$C$5+161</f>
        <v>46188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TEXT(Setup!$C$5+161,"dddd")</f>
        <v>Monday</v>
      </c>
      <c r="B17" s="13" t="n">
        <f aca="false">Setup!$C$5+161</f>
        <v>46188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TEXT(Setup!$C$5+161,"dddd")</f>
        <v>Monday</v>
      </c>
      <c r="B18" s="13" t="n">
        <f aca="false">Setup!$C$5+161</f>
        <v>46188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TEXT(Setup!$C$5+161,"dddd")</f>
        <v>Monday</v>
      </c>
      <c r="B19" s="13" t="n">
        <f aca="false">Setup!$C$5+161</f>
        <v>46188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TEXT(Setup!$C$5+161,"dddd")</f>
        <v>Monday</v>
      </c>
      <c r="B20" s="13" t="n">
        <f aca="false">Setup!$C$5+161</f>
        <v>46188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TEXT(Setup!$C$5+161,"dddd")</f>
        <v>Monday</v>
      </c>
      <c r="B21" s="13" t="n">
        <f aca="false">Setup!$C$5+161</f>
        <v>46188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TEXT(Setup!$C$5+161,"dddd")</f>
        <v>Monday</v>
      </c>
      <c r="B22" s="13" t="n">
        <f aca="false">Setup!$C$5+161</f>
        <v>46188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TEXT(Setup!$C$5+161,"dddd")</f>
        <v>Monday</v>
      </c>
      <c r="B23" s="23" t="n">
        <f aca="false">Setup!$C$5+161</f>
        <v>46188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IFERROR(H23-Wk23!H23,"")</f>
        <v>0</v>
      </c>
      <c r="O23" s="24" t="n">
        <f aca="false">IFERROR(D23-Wk23!D23,"")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TEXT(Setup!$C$5+162,"dddd")</f>
        <v>Tuesday</v>
      </c>
      <c r="B24" s="13" t="n">
        <f aca="false">Setup!$C$5+162</f>
        <v>46189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TEXT(Setup!$C$5+162,"dddd")</f>
        <v>Tuesday</v>
      </c>
      <c r="B25" s="13" t="n">
        <f aca="false">Setup!$C$5+162</f>
        <v>46189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TEXT(Setup!$C$5+162,"dddd")</f>
        <v>Tuesday</v>
      </c>
      <c r="B26" s="13" t="n">
        <f aca="false">Setup!$C$5+162</f>
        <v>46189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TEXT(Setup!$C$5+162,"dddd")</f>
        <v>Tuesday</v>
      </c>
      <c r="B27" s="13" t="n">
        <f aca="false">Setup!$C$5+162</f>
        <v>46189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TEXT(Setup!$C$5+162,"dddd")</f>
        <v>Tuesday</v>
      </c>
      <c r="B28" s="13" t="n">
        <f aca="false">Setup!$C$5+162</f>
        <v>46189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TEXT(Setup!$C$5+162,"dddd")</f>
        <v>Tuesday</v>
      </c>
      <c r="B29" s="13" t="n">
        <f aca="false">Setup!$C$5+162</f>
        <v>46189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TEXT(Setup!$C$5+162,"dddd")</f>
        <v>Tuesday</v>
      </c>
      <c r="B30" s="13" t="n">
        <f aca="false">Setup!$C$5+162</f>
        <v>46189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TEXT(Setup!$C$5+162,"dddd")</f>
        <v>Tuesday</v>
      </c>
      <c r="B31" s="13" t="n">
        <f aca="false">Setup!$C$5+162</f>
        <v>46189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TEXT(Setup!$C$5+162,"dddd")</f>
        <v>Tuesday</v>
      </c>
      <c r="B32" s="13" t="n">
        <f aca="false">Setup!$C$5+162</f>
        <v>46189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TEXT(Setup!$C$5+162,"dddd")</f>
        <v>Tuesday</v>
      </c>
      <c r="B33" s="13" t="n">
        <f aca="false">Setup!$C$5+162</f>
        <v>46189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TEXT(Setup!$C$5+162,"dddd")</f>
        <v>Tuesday</v>
      </c>
      <c r="B34" s="13" t="n">
        <f aca="false">Setup!$C$5+162</f>
        <v>46189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TEXT(Setup!$C$5+162,"dddd")</f>
        <v>Tuesday</v>
      </c>
      <c r="B35" s="13" t="n">
        <f aca="false">Setup!$C$5+162</f>
        <v>46189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TEXT(Setup!$C$5+162,"dddd")</f>
        <v>Tuesday</v>
      </c>
      <c r="B36" s="13" t="n">
        <f aca="false">Setup!$C$5+162</f>
        <v>46189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TEXT(Setup!$C$5+162,"dddd")</f>
        <v>Tuesday</v>
      </c>
      <c r="B37" s="13" t="n">
        <f aca="false">Setup!$C$5+162</f>
        <v>46189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TEXT(Setup!$C$5+162,"dddd")</f>
        <v>Tuesday</v>
      </c>
      <c r="B38" s="13" t="n">
        <f aca="false">Setup!$C$5+162</f>
        <v>46189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TEXT(Setup!$C$5+162,"dddd")</f>
        <v>Tuesday</v>
      </c>
      <c r="B39" s="13" t="n">
        <f aca="false">Setup!$C$5+162</f>
        <v>46189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TEXT(Setup!$C$5+162,"dddd")</f>
        <v>Tuesday</v>
      </c>
      <c r="B40" s="13" t="n">
        <f aca="false">Setup!$C$5+162</f>
        <v>46189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TEXT(Setup!$C$5+162,"dddd")</f>
        <v>Tuesday</v>
      </c>
      <c r="B41" s="13" t="n">
        <f aca="false">Setup!$C$5+162</f>
        <v>46189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TEXT(Setup!$C$5+162,"dddd")</f>
        <v>Tuesday</v>
      </c>
      <c r="B42" s="13" t="n">
        <f aca="false">Setup!$C$5+162</f>
        <v>46189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TEXT(Setup!$C$5+162,"dddd")</f>
        <v>Tuesday</v>
      </c>
      <c r="B43" s="13" t="n">
        <f aca="false">Setup!$C$5+162</f>
        <v>46189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TEXT(Setup!$C$5+162,"dddd")</f>
        <v>Tuesday</v>
      </c>
      <c r="B44" s="13" t="n">
        <f aca="false">Setup!$C$5+162</f>
        <v>46189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TEXT(Setup!$C$5+162,"dddd")</f>
        <v>Tuesday</v>
      </c>
      <c r="B45" s="23" t="n">
        <f aca="false">Setup!$C$5+162</f>
        <v>46189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IFERROR(H45-Wk23!H45,"")</f>
        <v>0</v>
      </c>
      <c r="O45" s="24" t="n">
        <f aca="false">IFERROR(D45-Wk23!D45,"")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TEXT(Setup!$C$5+163,"dddd")</f>
        <v>Wednesday</v>
      </c>
      <c r="B46" s="13" t="n">
        <f aca="false">Setup!$C$5+163</f>
        <v>46190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TEXT(Setup!$C$5+163,"dddd")</f>
        <v>Wednesday</v>
      </c>
      <c r="B47" s="13" t="n">
        <f aca="false">Setup!$C$5+163</f>
        <v>46190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TEXT(Setup!$C$5+163,"dddd")</f>
        <v>Wednesday</v>
      </c>
      <c r="B48" s="13" t="n">
        <f aca="false">Setup!$C$5+163</f>
        <v>46190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TEXT(Setup!$C$5+163,"dddd")</f>
        <v>Wednesday</v>
      </c>
      <c r="B49" s="13" t="n">
        <f aca="false">Setup!$C$5+163</f>
        <v>46190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TEXT(Setup!$C$5+163,"dddd")</f>
        <v>Wednesday</v>
      </c>
      <c r="B50" s="13" t="n">
        <f aca="false">Setup!$C$5+163</f>
        <v>46190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TEXT(Setup!$C$5+163,"dddd")</f>
        <v>Wednesday</v>
      </c>
      <c r="B51" s="13" t="n">
        <f aca="false">Setup!$C$5+163</f>
        <v>46190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TEXT(Setup!$C$5+163,"dddd")</f>
        <v>Wednesday</v>
      </c>
      <c r="B52" s="13" t="n">
        <f aca="false">Setup!$C$5+163</f>
        <v>46190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TEXT(Setup!$C$5+163,"dddd")</f>
        <v>Wednesday</v>
      </c>
      <c r="B53" s="13" t="n">
        <f aca="false">Setup!$C$5+163</f>
        <v>46190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TEXT(Setup!$C$5+163,"dddd")</f>
        <v>Wednesday</v>
      </c>
      <c r="B54" s="13" t="n">
        <f aca="false">Setup!$C$5+163</f>
        <v>46190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TEXT(Setup!$C$5+163,"dddd")</f>
        <v>Wednesday</v>
      </c>
      <c r="B55" s="13" t="n">
        <f aca="false">Setup!$C$5+163</f>
        <v>46190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TEXT(Setup!$C$5+163,"dddd")</f>
        <v>Wednesday</v>
      </c>
      <c r="B56" s="13" t="n">
        <f aca="false">Setup!$C$5+163</f>
        <v>46190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TEXT(Setup!$C$5+163,"dddd")</f>
        <v>Wednesday</v>
      </c>
      <c r="B57" s="13" t="n">
        <f aca="false">Setup!$C$5+163</f>
        <v>46190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TEXT(Setup!$C$5+163,"dddd")</f>
        <v>Wednesday</v>
      </c>
      <c r="B58" s="13" t="n">
        <f aca="false">Setup!$C$5+163</f>
        <v>46190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TEXT(Setup!$C$5+163,"dddd")</f>
        <v>Wednesday</v>
      </c>
      <c r="B59" s="13" t="n">
        <f aca="false">Setup!$C$5+163</f>
        <v>46190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TEXT(Setup!$C$5+163,"dddd")</f>
        <v>Wednesday</v>
      </c>
      <c r="B60" s="13" t="n">
        <f aca="false">Setup!$C$5+163</f>
        <v>46190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TEXT(Setup!$C$5+163,"dddd")</f>
        <v>Wednesday</v>
      </c>
      <c r="B61" s="13" t="n">
        <f aca="false">Setup!$C$5+163</f>
        <v>46190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TEXT(Setup!$C$5+163,"dddd")</f>
        <v>Wednesday</v>
      </c>
      <c r="B62" s="13" t="n">
        <f aca="false">Setup!$C$5+163</f>
        <v>46190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TEXT(Setup!$C$5+163,"dddd")</f>
        <v>Wednesday</v>
      </c>
      <c r="B63" s="13" t="n">
        <f aca="false">Setup!$C$5+163</f>
        <v>46190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TEXT(Setup!$C$5+163,"dddd")</f>
        <v>Wednesday</v>
      </c>
      <c r="B64" s="13" t="n">
        <f aca="false">Setup!$C$5+163</f>
        <v>46190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TEXT(Setup!$C$5+163,"dddd")</f>
        <v>Wednesday</v>
      </c>
      <c r="B65" s="13" t="n">
        <f aca="false">Setup!$C$5+163</f>
        <v>46190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TEXT(Setup!$C$5+163,"dddd")</f>
        <v>Wednesday</v>
      </c>
      <c r="B66" s="13" t="n">
        <f aca="false">Setup!$C$5+163</f>
        <v>46190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TEXT(Setup!$C$5+163,"dddd")</f>
        <v>Wednesday</v>
      </c>
      <c r="B67" s="23" t="n">
        <f aca="false">Setup!$C$5+163</f>
        <v>46190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IFERROR(H67-Wk23!H67,"")</f>
        <v>0</v>
      </c>
      <c r="O67" s="24" t="n">
        <f aca="false">IFERROR(D67-Wk23!D67,"")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TEXT(Setup!$C$5+164,"dddd")</f>
        <v>Thursday</v>
      </c>
      <c r="B68" s="13" t="n">
        <f aca="false">Setup!$C$5+164</f>
        <v>46191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TEXT(Setup!$C$5+164,"dddd")</f>
        <v>Thursday</v>
      </c>
      <c r="B69" s="13" t="n">
        <f aca="false">Setup!$C$5+164</f>
        <v>46191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TEXT(Setup!$C$5+164,"dddd")</f>
        <v>Thursday</v>
      </c>
      <c r="B70" s="13" t="n">
        <f aca="false">Setup!$C$5+164</f>
        <v>46191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TEXT(Setup!$C$5+164,"dddd")</f>
        <v>Thursday</v>
      </c>
      <c r="B71" s="13" t="n">
        <f aca="false">Setup!$C$5+164</f>
        <v>46191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TEXT(Setup!$C$5+164,"dddd")</f>
        <v>Thursday</v>
      </c>
      <c r="B72" s="13" t="n">
        <f aca="false">Setup!$C$5+164</f>
        <v>46191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TEXT(Setup!$C$5+164,"dddd")</f>
        <v>Thursday</v>
      </c>
      <c r="B73" s="13" t="n">
        <f aca="false">Setup!$C$5+164</f>
        <v>46191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TEXT(Setup!$C$5+164,"dddd")</f>
        <v>Thursday</v>
      </c>
      <c r="B74" s="13" t="n">
        <f aca="false">Setup!$C$5+164</f>
        <v>46191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TEXT(Setup!$C$5+164,"dddd")</f>
        <v>Thursday</v>
      </c>
      <c r="B75" s="13" t="n">
        <f aca="false">Setup!$C$5+164</f>
        <v>46191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TEXT(Setup!$C$5+164,"dddd")</f>
        <v>Thursday</v>
      </c>
      <c r="B76" s="13" t="n">
        <f aca="false">Setup!$C$5+164</f>
        <v>46191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TEXT(Setup!$C$5+164,"dddd")</f>
        <v>Thursday</v>
      </c>
      <c r="B77" s="13" t="n">
        <f aca="false">Setup!$C$5+164</f>
        <v>46191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TEXT(Setup!$C$5+164,"dddd")</f>
        <v>Thursday</v>
      </c>
      <c r="B78" s="13" t="n">
        <f aca="false">Setup!$C$5+164</f>
        <v>46191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TEXT(Setup!$C$5+164,"dddd")</f>
        <v>Thursday</v>
      </c>
      <c r="B79" s="13" t="n">
        <f aca="false">Setup!$C$5+164</f>
        <v>46191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TEXT(Setup!$C$5+164,"dddd")</f>
        <v>Thursday</v>
      </c>
      <c r="B80" s="13" t="n">
        <f aca="false">Setup!$C$5+164</f>
        <v>46191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TEXT(Setup!$C$5+164,"dddd")</f>
        <v>Thursday</v>
      </c>
      <c r="B81" s="13" t="n">
        <f aca="false">Setup!$C$5+164</f>
        <v>46191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TEXT(Setup!$C$5+164,"dddd")</f>
        <v>Thursday</v>
      </c>
      <c r="B82" s="13" t="n">
        <f aca="false">Setup!$C$5+164</f>
        <v>46191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TEXT(Setup!$C$5+164,"dddd")</f>
        <v>Thursday</v>
      </c>
      <c r="B83" s="13" t="n">
        <f aca="false">Setup!$C$5+164</f>
        <v>46191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TEXT(Setup!$C$5+164,"dddd")</f>
        <v>Thursday</v>
      </c>
      <c r="B84" s="13" t="n">
        <f aca="false">Setup!$C$5+164</f>
        <v>46191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TEXT(Setup!$C$5+164,"dddd")</f>
        <v>Thursday</v>
      </c>
      <c r="B85" s="13" t="n">
        <f aca="false">Setup!$C$5+164</f>
        <v>46191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TEXT(Setup!$C$5+164,"dddd")</f>
        <v>Thursday</v>
      </c>
      <c r="B86" s="13" t="n">
        <f aca="false">Setup!$C$5+164</f>
        <v>46191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TEXT(Setup!$C$5+164,"dddd")</f>
        <v>Thursday</v>
      </c>
      <c r="B87" s="13" t="n">
        <f aca="false">Setup!$C$5+164</f>
        <v>46191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TEXT(Setup!$C$5+164,"dddd")</f>
        <v>Thursday</v>
      </c>
      <c r="B88" s="13" t="n">
        <f aca="false">Setup!$C$5+164</f>
        <v>46191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TEXT(Setup!$C$5+164,"dddd")</f>
        <v>Thursday</v>
      </c>
      <c r="B89" s="23" t="n">
        <f aca="false">Setup!$C$5+164</f>
        <v>46191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IFERROR(H89-Wk23!H89,"")</f>
        <v>0</v>
      </c>
      <c r="O89" s="24" t="n">
        <f aca="false">IFERROR(D89-Wk23!D89,"")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TEXT(Setup!$C$5+165,"dddd")</f>
        <v>Friday</v>
      </c>
      <c r="B90" s="13" t="n">
        <f aca="false">Setup!$C$5+165</f>
        <v>46192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TEXT(Setup!$C$5+165,"dddd")</f>
        <v>Friday</v>
      </c>
      <c r="B91" s="13" t="n">
        <f aca="false">Setup!$C$5+165</f>
        <v>46192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TEXT(Setup!$C$5+165,"dddd")</f>
        <v>Friday</v>
      </c>
      <c r="B92" s="13" t="n">
        <f aca="false">Setup!$C$5+165</f>
        <v>46192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TEXT(Setup!$C$5+165,"dddd")</f>
        <v>Friday</v>
      </c>
      <c r="B93" s="13" t="n">
        <f aca="false">Setup!$C$5+165</f>
        <v>46192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TEXT(Setup!$C$5+165,"dddd")</f>
        <v>Friday</v>
      </c>
      <c r="B94" s="13" t="n">
        <f aca="false">Setup!$C$5+165</f>
        <v>46192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TEXT(Setup!$C$5+165,"dddd")</f>
        <v>Friday</v>
      </c>
      <c r="B95" s="13" t="n">
        <f aca="false">Setup!$C$5+165</f>
        <v>46192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TEXT(Setup!$C$5+165,"dddd")</f>
        <v>Friday</v>
      </c>
      <c r="B96" s="13" t="n">
        <f aca="false">Setup!$C$5+165</f>
        <v>46192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TEXT(Setup!$C$5+165,"dddd")</f>
        <v>Friday</v>
      </c>
      <c r="B97" s="13" t="n">
        <f aca="false">Setup!$C$5+165</f>
        <v>46192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TEXT(Setup!$C$5+165,"dddd")</f>
        <v>Friday</v>
      </c>
      <c r="B98" s="13" t="n">
        <f aca="false">Setup!$C$5+165</f>
        <v>46192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TEXT(Setup!$C$5+165,"dddd")</f>
        <v>Friday</v>
      </c>
      <c r="B99" s="13" t="n">
        <f aca="false">Setup!$C$5+165</f>
        <v>46192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TEXT(Setup!$C$5+165,"dddd")</f>
        <v>Friday</v>
      </c>
      <c r="B100" s="13" t="n">
        <f aca="false">Setup!$C$5+165</f>
        <v>46192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TEXT(Setup!$C$5+165,"dddd")</f>
        <v>Friday</v>
      </c>
      <c r="B101" s="13" t="n">
        <f aca="false">Setup!$C$5+165</f>
        <v>46192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TEXT(Setup!$C$5+165,"dddd")</f>
        <v>Friday</v>
      </c>
      <c r="B102" s="13" t="n">
        <f aca="false">Setup!$C$5+165</f>
        <v>46192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TEXT(Setup!$C$5+165,"dddd")</f>
        <v>Friday</v>
      </c>
      <c r="B103" s="13" t="n">
        <f aca="false">Setup!$C$5+165</f>
        <v>46192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TEXT(Setup!$C$5+165,"dddd")</f>
        <v>Friday</v>
      </c>
      <c r="B104" s="13" t="n">
        <f aca="false">Setup!$C$5+165</f>
        <v>46192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TEXT(Setup!$C$5+165,"dddd")</f>
        <v>Friday</v>
      </c>
      <c r="B105" s="13" t="n">
        <f aca="false">Setup!$C$5+165</f>
        <v>46192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TEXT(Setup!$C$5+165,"dddd")</f>
        <v>Friday</v>
      </c>
      <c r="B106" s="13" t="n">
        <f aca="false">Setup!$C$5+165</f>
        <v>46192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TEXT(Setup!$C$5+165,"dddd")</f>
        <v>Friday</v>
      </c>
      <c r="B107" s="13" t="n">
        <f aca="false">Setup!$C$5+165</f>
        <v>46192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TEXT(Setup!$C$5+165,"dddd")</f>
        <v>Friday</v>
      </c>
      <c r="B108" s="13" t="n">
        <f aca="false">Setup!$C$5+165</f>
        <v>46192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TEXT(Setup!$C$5+165,"dddd")</f>
        <v>Friday</v>
      </c>
      <c r="B109" s="13" t="n">
        <f aca="false">Setup!$C$5+165</f>
        <v>46192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TEXT(Setup!$C$5+165,"dddd")</f>
        <v>Friday</v>
      </c>
      <c r="B110" s="13" t="n">
        <f aca="false">Setup!$C$5+165</f>
        <v>46192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TEXT(Setup!$C$5+165,"dddd")</f>
        <v>Friday</v>
      </c>
      <c r="B111" s="23" t="n">
        <f aca="false">Setup!$C$5+165</f>
        <v>46192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IFERROR(H111-Wk23!H111,"")</f>
        <v>0</v>
      </c>
      <c r="O111" s="24" t="n">
        <f aca="false">IFERROR(D111-Wk23!D111,"")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TEXT(Setup!$C$5+166,"dddd")</f>
        <v>Saturday</v>
      </c>
      <c r="B112" s="13" t="n">
        <f aca="false">Setup!$C$5+166</f>
        <v>46193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TEXT(Setup!$C$5+166,"dddd")</f>
        <v>Saturday</v>
      </c>
      <c r="B113" s="13" t="n">
        <f aca="false">Setup!$C$5+166</f>
        <v>46193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TEXT(Setup!$C$5+166,"dddd")</f>
        <v>Saturday</v>
      </c>
      <c r="B114" s="13" t="n">
        <f aca="false">Setup!$C$5+166</f>
        <v>46193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TEXT(Setup!$C$5+166,"dddd")</f>
        <v>Saturday</v>
      </c>
      <c r="B115" s="13" t="n">
        <f aca="false">Setup!$C$5+166</f>
        <v>46193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TEXT(Setup!$C$5+166,"dddd")</f>
        <v>Saturday</v>
      </c>
      <c r="B116" s="13" t="n">
        <f aca="false">Setup!$C$5+166</f>
        <v>46193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TEXT(Setup!$C$5+166,"dddd")</f>
        <v>Saturday</v>
      </c>
      <c r="B117" s="13" t="n">
        <f aca="false">Setup!$C$5+166</f>
        <v>46193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TEXT(Setup!$C$5+166,"dddd")</f>
        <v>Saturday</v>
      </c>
      <c r="B118" s="13" t="n">
        <f aca="false">Setup!$C$5+166</f>
        <v>46193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TEXT(Setup!$C$5+166,"dddd")</f>
        <v>Saturday</v>
      </c>
      <c r="B119" s="13" t="n">
        <f aca="false">Setup!$C$5+166</f>
        <v>46193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TEXT(Setup!$C$5+166,"dddd")</f>
        <v>Saturday</v>
      </c>
      <c r="B120" s="13" t="n">
        <f aca="false">Setup!$C$5+166</f>
        <v>46193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TEXT(Setup!$C$5+166,"dddd")</f>
        <v>Saturday</v>
      </c>
      <c r="B121" s="13" t="n">
        <f aca="false">Setup!$C$5+166</f>
        <v>46193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TEXT(Setup!$C$5+166,"dddd")</f>
        <v>Saturday</v>
      </c>
      <c r="B122" s="13" t="n">
        <f aca="false">Setup!$C$5+166</f>
        <v>46193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TEXT(Setup!$C$5+166,"dddd")</f>
        <v>Saturday</v>
      </c>
      <c r="B123" s="13" t="n">
        <f aca="false">Setup!$C$5+166</f>
        <v>46193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TEXT(Setup!$C$5+166,"dddd")</f>
        <v>Saturday</v>
      </c>
      <c r="B124" s="13" t="n">
        <f aca="false">Setup!$C$5+166</f>
        <v>46193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TEXT(Setup!$C$5+166,"dddd")</f>
        <v>Saturday</v>
      </c>
      <c r="B125" s="13" t="n">
        <f aca="false">Setup!$C$5+166</f>
        <v>46193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TEXT(Setup!$C$5+166,"dddd")</f>
        <v>Saturday</v>
      </c>
      <c r="B126" s="13" t="n">
        <f aca="false">Setup!$C$5+166</f>
        <v>46193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TEXT(Setup!$C$5+166,"dddd")</f>
        <v>Saturday</v>
      </c>
      <c r="B127" s="13" t="n">
        <f aca="false">Setup!$C$5+166</f>
        <v>46193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TEXT(Setup!$C$5+166,"dddd")</f>
        <v>Saturday</v>
      </c>
      <c r="B128" s="13" t="n">
        <f aca="false">Setup!$C$5+166</f>
        <v>46193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TEXT(Setup!$C$5+166,"dddd")</f>
        <v>Saturday</v>
      </c>
      <c r="B129" s="13" t="n">
        <f aca="false">Setup!$C$5+166</f>
        <v>46193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TEXT(Setup!$C$5+166,"dddd")</f>
        <v>Saturday</v>
      </c>
      <c r="B130" s="13" t="n">
        <f aca="false">Setup!$C$5+166</f>
        <v>46193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TEXT(Setup!$C$5+166,"dddd")</f>
        <v>Saturday</v>
      </c>
      <c r="B131" s="13" t="n">
        <f aca="false">Setup!$C$5+166</f>
        <v>46193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TEXT(Setup!$C$5+166,"dddd")</f>
        <v>Saturday</v>
      </c>
      <c r="B132" s="13" t="n">
        <f aca="false">Setup!$C$5+166</f>
        <v>46193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TEXT(Setup!$C$5+166,"dddd")</f>
        <v>Saturday</v>
      </c>
      <c r="B133" s="23" t="n">
        <f aca="false">Setup!$C$5+166</f>
        <v>46193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IFERROR(H133-Wk23!H133,"")</f>
        <v>0</v>
      </c>
      <c r="O133" s="24" t="n">
        <f aca="false">IFERROR(D133-Wk23!D133,"")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TEXT(Setup!$C$5+167,"dddd")</f>
        <v>Sunday</v>
      </c>
      <c r="B134" s="13" t="n">
        <f aca="false">Setup!$C$5+167</f>
        <v>46194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TEXT(Setup!$C$5+167,"dddd")</f>
        <v>Sunday</v>
      </c>
      <c r="B135" s="13" t="n">
        <f aca="false">Setup!$C$5+167</f>
        <v>46194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TEXT(Setup!$C$5+167,"dddd")</f>
        <v>Sunday</v>
      </c>
      <c r="B136" s="13" t="n">
        <f aca="false">Setup!$C$5+167</f>
        <v>46194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TEXT(Setup!$C$5+167,"dddd")</f>
        <v>Sunday</v>
      </c>
      <c r="B137" s="13" t="n">
        <f aca="false">Setup!$C$5+167</f>
        <v>46194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TEXT(Setup!$C$5+167,"dddd")</f>
        <v>Sunday</v>
      </c>
      <c r="B138" s="13" t="n">
        <f aca="false">Setup!$C$5+167</f>
        <v>46194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TEXT(Setup!$C$5+167,"dddd")</f>
        <v>Sunday</v>
      </c>
      <c r="B139" s="13" t="n">
        <f aca="false">Setup!$C$5+167</f>
        <v>46194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TEXT(Setup!$C$5+167,"dddd")</f>
        <v>Sunday</v>
      </c>
      <c r="B140" s="13" t="n">
        <f aca="false">Setup!$C$5+167</f>
        <v>46194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TEXT(Setup!$C$5+167,"dddd")</f>
        <v>Sunday</v>
      </c>
      <c r="B141" s="13" t="n">
        <f aca="false">Setup!$C$5+167</f>
        <v>46194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TEXT(Setup!$C$5+167,"dddd")</f>
        <v>Sunday</v>
      </c>
      <c r="B142" s="13" t="n">
        <f aca="false">Setup!$C$5+167</f>
        <v>46194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TEXT(Setup!$C$5+167,"dddd")</f>
        <v>Sunday</v>
      </c>
      <c r="B143" s="13" t="n">
        <f aca="false">Setup!$C$5+167</f>
        <v>46194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TEXT(Setup!$C$5+167,"dddd")</f>
        <v>Sunday</v>
      </c>
      <c r="B144" s="13" t="n">
        <f aca="false">Setup!$C$5+167</f>
        <v>46194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TEXT(Setup!$C$5+167,"dddd")</f>
        <v>Sunday</v>
      </c>
      <c r="B145" s="13" t="n">
        <f aca="false">Setup!$C$5+167</f>
        <v>46194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TEXT(Setup!$C$5+167,"dddd")</f>
        <v>Sunday</v>
      </c>
      <c r="B146" s="13" t="n">
        <f aca="false">Setup!$C$5+167</f>
        <v>46194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TEXT(Setup!$C$5+167,"dddd")</f>
        <v>Sunday</v>
      </c>
      <c r="B147" s="13" t="n">
        <f aca="false">Setup!$C$5+167</f>
        <v>46194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TEXT(Setup!$C$5+167,"dddd")</f>
        <v>Sunday</v>
      </c>
      <c r="B148" s="13" t="n">
        <f aca="false">Setup!$C$5+167</f>
        <v>46194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TEXT(Setup!$C$5+167,"dddd")</f>
        <v>Sunday</v>
      </c>
      <c r="B149" s="13" t="n">
        <f aca="false">Setup!$C$5+167</f>
        <v>46194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TEXT(Setup!$C$5+167,"dddd")</f>
        <v>Sunday</v>
      </c>
      <c r="B150" s="13" t="n">
        <f aca="false">Setup!$C$5+167</f>
        <v>46194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TEXT(Setup!$C$5+167,"dddd")</f>
        <v>Sunday</v>
      </c>
      <c r="B151" s="13" t="n">
        <f aca="false">Setup!$C$5+167</f>
        <v>46194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TEXT(Setup!$C$5+167,"dddd")</f>
        <v>Sunday</v>
      </c>
      <c r="B152" s="13" t="n">
        <f aca="false">Setup!$C$5+167</f>
        <v>46194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TEXT(Setup!$C$5+167,"dddd")</f>
        <v>Sunday</v>
      </c>
      <c r="B153" s="13" t="n">
        <f aca="false">Setup!$C$5+167</f>
        <v>46194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TEXT(Setup!$C$5+167,"dddd")</f>
        <v>Sunday</v>
      </c>
      <c r="B154" s="13" t="n">
        <f aca="false">Setup!$C$5+167</f>
        <v>46194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TEXT(Setup!$C$5+167,"dddd")</f>
        <v>Sunday</v>
      </c>
      <c r="B155" s="23" t="n">
        <f aca="false">Setup!$C$5+167</f>
        <v>46194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IFERROR(H155-Wk23!H155,"")</f>
        <v>0</v>
      </c>
      <c r="O155" s="24" t="n">
        <f aca="false">IFERROR(D155-Wk23!D155,"")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IFERROR(D156-Wk23!D156,"")</f>
        <v>0</v>
      </c>
      <c r="E157" s="34" t="n">
        <f aca="false">IFERROR(E156-Wk23!E156,"")</f>
        <v>0</v>
      </c>
      <c r="H157" s="32" t="n">
        <f aca="false">IFERROR(H156-Wk23!H156,"")</f>
        <v>0</v>
      </c>
      <c r="K157" s="32" t="n">
        <f aca="false">IFERROR(K156-Wk23!K156,"")</f>
        <v>0</v>
      </c>
      <c r="M157" s="32" t="n">
        <f aca="false">IFERROR(M156-Wk23!M156,"")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TEXT(Setup!$C$5+168,"dddd")</f>
        <v>Monday</v>
      </c>
      <c r="B2" s="13" t="n">
        <f aca="false">Setup!$C$5+168</f>
        <v>46195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TEXT(Setup!$C$5+168,"dddd")</f>
        <v>Monday</v>
      </c>
      <c r="B3" s="13" t="n">
        <f aca="false">Setup!$C$5+168</f>
        <v>46195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TEXT(Setup!$C$5+168,"dddd")</f>
        <v>Monday</v>
      </c>
      <c r="B4" s="13" t="n">
        <f aca="false">Setup!$C$5+168</f>
        <v>46195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TEXT(Setup!$C$5+168,"dddd")</f>
        <v>Monday</v>
      </c>
      <c r="B5" s="13" t="n">
        <f aca="false">Setup!$C$5+168</f>
        <v>46195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TEXT(Setup!$C$5+168,"dddd")</f>
        <v>Monday</v>
      </c>
      <c r="B6" s="13" t="n">
        <f aca="false">Setup!$C$5+168</f>
        <v>46195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TEXT(Setup!$C$5+168,"dddd")</f>
        <v>Monday</v>
      </c>
      <c r="B7" s="13" t="n">
        <f aca="false">Setup!$C$5+168</f>
        <v>46195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TEXT(Setup!$C$5+168,"dddd")</f>
        <v>Monday</v>
      </c>
      <c r="B8" s="13" t="n">
        <f aca="false">Setup!$C$5+168</f>
        <v>46195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TEXT(Setup!$C$5+168,"dddd")</f>
        <v>Monday</v>
      </c>
      <c r="B9" s="13" t="n">
        <f aca="false">Setup!$C$5+168</f>
        <v>46195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TEXT(Setup!$C$5+168,"dddd")</f>
        <v>Monday</v>
      </c>
      <c r="B10" s="13" t="n">
        <f aca="false">Setup!$C$5+168</f>
        <v>46195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TEXT(Setup!$C$5+168,"dddd")</f>
        <v>Monday</v>
      </c>
      <c r="B11" s="13" t="n">
        <f aca="false">Setup!$C$5+168</f>
        <v>46195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TEXT(Setup!$C$5+168,"dddd")</f>
        <v>Monday</v>
      </c>
      <c r="B12" s="13" t="n">
        <f aca="false">Setup!$C$5+168</f>
        <v>46195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TEXT(Setup!$C$5+168,"dddd")</f>
        <v>Monday</v>
      </c>
      <c r="B13" s="13" t="n">
        <f aca="false">Setup!$C$5+168</f>
        <v>46195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TEXT(Setup!$C$5+168,"dddd")</f>
        <v>Monday</v>
      </c>
      <c r="B14" s="13" t="n">
        <f aca="false">Setup!$C$5+168</f>
        <v>46195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TEXT(Setup!$C$5+168,"dddd")</f>
        <v>Monday</v>
      </c>
      <c r="B15" s="13" t="n">
        <f aca="false">Setup!$C$5+168</f>
        <v>46195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TEXT(Setup!$C$5+168,"dddd")</f>
        <v>Monday</v>
      </c>
      <c r="B16" s="13" t="n">
        <f aca="false">Setup!$C$5+168</f>
        <v>46195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TEXT(Setup!$C$5+168,"dddd")</f>
        <v>Monday</v>
      </c>
      <c r="B17" s="13" t="n">
        <f aca="false">Setup!$C$5+168</f>
        <v>46195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TEXT(Setup!$C$5+168,"dddd")</f>
        <v>Monday</v>
      </c>
      <c r="B18" s="13" t="n">
        <f aca="false">Setup!$C$5+168</f>
        <v>46195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TEXT(Setup!$C$5+168,"dddd")</f>
        <v>Monday</v>
      </c>
      <c r="B19" s="13" t="n">
        <f aca="false">Setup!$C$5+168</f>
        <v>46195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TEXT(Setup!$C$5+168,"dddd")</f>
        <v>Monday</v>
      </c>
      <c r="B20" s="13" t="n">
        <f aca="false">Setup!$C$5+168</f>
        <v>46195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TEXT(Setup!$C$5+168,"dddd")</f>
        <v>Monday</v>
      </c>
      <c r="B21" s="13" t="n">
        <f aca="false">Setup!$C$5+168</f>
        <v>46195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TEXT(Setup!$C$5+168,"dddd")</f>
        <v>Monday</v>
      </c>
      <c r="B22" s="13" t="n">
        <f aca="false">Setup!$C$5+168</f>
        <v>46195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TEXT(Setup!$C$5+168,"dddd")</f>
        <v>Monday</v>
      </c>
      <c r="B23" s="23" t="n">
        <f aca="false">Setup!$C$5+168</f>
        <v>46195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IFERROR(H23-Wk24!H23,"")</f>
        <v>0</v>
      </c>
      <c r="O23" s="24" t="n">
        <f aca="false">IFERROR(D23-Wk24!D23,"")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TEXT(Setup!$C$5+169,"dddd")</f>
        <v>Tuesday</v>
      </c>
      <c r="B24" s="13" t="n">
        <f aca="false">Setup!$C$5+169</f>
        <v>46196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TEXT(Setup!$C$5+169,"dddd")</f>
        <v>Tuesday</v>
      </c>
      <c r="B25" s="13" t="n">
        <f aca="false">Setup!$C$5+169</f>
        <v>46196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TEXT(Setup!$C$5+169,"dddd")</f>
        <v>Tuesday</v>
      </c>
      <c r="B26" s="13" t="n">
        <f aca="false">Setup!$C$5+169</f>
        <v>46196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TEXT(Setup!$C$5+169,"dddd")</f>
        <v>Tuesday</v>
      </c>
      <c r="B27" s="13" t="n">
        <f aca="false">Setup!$C$5+169</f>
        <v>46196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TEXT(Setup!$C$5+169,"dddd")</f>
        <v>Tuesday</v>
      </c>
      <c r="B28" s="13" t="n">
        <f aca="false">Setup!$C$5+169</f>
        <v>46196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TEXT(Setup!$C$5+169,"dddd")</f>
        <v>Tuesday</v>
      </c>
      <c r="B29" s="13" t="n">
        <f aca="false">Setup!$C$5+169</f>
        <v>46196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TEXT(Setup!$C$5+169,"dddd")</f>
        <v>Tuesday</v>
      </c>
      <c r="B30" s="13" t="n">
        <f aca="false">Setup!$C$5+169</f>
        <v>46196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TEXT(Setup!$C$5+169,"dddd")</f>
        <v>Tuesday</v>
      </c>
      <c r="B31" s="13" t="n">
        <f aca="false">Setup!$C$5+169</f>
        <v>46196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TEXT(Setup!$C$5+169,"dddd")</f>
        <v>Tuesday</v>
      </c>
      <c r="B32" s="13" t="n">
        <f aca="false">Setup!$C$5+169</f>
        <v>46196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TEXT(Setup!$C$5+169,"dddd")</f>
        <v>Tuesday</v>
      </c>
      <c r="B33" s="13" t="n">
        <f aca="false">Setup!$C$5+169</f>
        <v>46196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TEXT(Setup!$C$5+169,"dddd")</f>
        <v>Tuesday</v>
      </c>
      <c r="B34" s="13" t="n">
        <f aca="false">Setup!$C$5+169</f>
        <v>46196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TEXT(Setup!$C$5+169,"dddd")</f>
        <v>Tuesday</v>
      </c>
      <c r="B35" s="13" t="n">
        <f aca="false">Setup!$C$5+169</f>
        <v>46196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TEXT(Setup!$C$5+169,"dddd")</f>
        <v>Tuesday</v>
      </c>
      <c r="B36" s="13" t="n">
        <f aca="false">Setup!$C$5+169</f>
        <v>46196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TEXT(Setup!$C$5+169,"dddd")</f>
        <v>Tuesday</v>
      </c>
      <c r="B37" s="13" t="n">
        <f aca="false">Setup!$C$5+169</f>
        <v>46196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TEXT(Setup!$C$5+169,"dddd")</f>
        <v>Tuesday</v>
      </c>
      <c r="B38" s="13" t="n">
        <f aca="false">Setup!$C$5+169</f>
        <v>46196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TEXT(Setup!$C$5+169,"dddd")</f>
        <v>Tuesday</v>
      </c>
      <c r="B39" s="13" t="n">
        <f aca="false">Setup!$C$5+169</f>
        <v>46196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TEXT(Setup!$C$5+169,"dddd")</f>
        <v>Tuesday</v>
      </c>
      <c r="B40" s="13" t="n">
        <f aca="false">Setup!$C$5+169</f>
        <v>46196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TEXT(Setup!$C$5+169,"dddd")</f>
        <v>Tuesday</v>
      </c>
      <c r="B41" s="13" t="n">
        <f aca="false">Setup!$C$5+169</f>
        <v>46196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TEXT(Setup!$C$5+169,"dddd")</f>
        <v>Tuesday</v>
      </c>
      <c r="B42" s="13" t="n">
        <f aca="false">Setup!$C$5+169</f>
        <v>46196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TEXT(Setup!$C$5+169,"dddd")</f>
        <v>Tuesday</v>
      </c>
      <c r="B43" s="13" t="n">
        <f aca="false">Setup!$C$5+169</f>
        <v>46196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TEXT(Setup!$C$5+169,"dddd")</f>
        <v>Tuesday</v>
      </c>
      <c r="B44" s="13" t="n">
        <f aca="false">Setup!$C$5+169</f>
        <v>46196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TEXT(Setup!$C$5+169,"dddd")</f>
        <v>Tuesday</v>
      </c>
      <c r="B45" s="23" t="n">
        <f aca="false">Setup!$C$5+169</f>
        <v>46196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IFERROR(H45-Wk24!H45,"")</f>
        <v>0</v>
      </c>
      <c r="O45" s="24" t="n">
        <f aca="false">IFERROR(D45-Wk24!D45,"")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TEXT(Setup!$C$5+170,"dddd")</f>
        <v>Wednesday</v>
      </c>
      <c r="B46" s="13" t="n">
        <f aca="false">Setup!$C$5+170</f>
        <v>46197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TEXT(Setup!$C$5+170,"dddd")</f>
        <v>Wednesday</v>
      </c>
      <c r="B47" s="13" t="n">
        <f aca="false">Setup!$C$5+170</f>
        <v>46197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TEXT(Setup!$C$5+170,"dddd")</f>
        <v>Wednesday</v>
      </c>
      <c r="B48" s="13" t="n">
        <f aca="false">Setup!$C$5+170</f>
        <v>46197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TEXT(Setup!$C$5+170,"dddd")</f>
        <v>Wednesday</v>
      </c>
      <c r="B49" s="13" t="n">
        <f aca="false">Setup!$C$5+170</f>
        <v>46197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TEXT(Setup!$C$5+170,"dddd")</f>
        <v>Wednesday</v>
      </c>
      <c r="B50" s="13" t="n">
        <f aca="false">Setup!$C$5+170</f>
        <v>46197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TEXT(Setup!$C$5+170,"dddd")</f>
        <v>Wednesday</v>
      </c>
      <c r="B51" s="13" t="n">
        <f aca="false">Setup!$C$5+170</f>
        <v>46197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TEXT(Setup!$C$5+170,"dddd")</f>
        <v>Wednesday</v>
      </c>
      <c r="B52" s="13" t="n">
        <f aca="false">Setup!$C$5+170</f>
        <v>46197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TEXT(Setup!$C$5+170,"dddd")</f>
        <v>Wednesday</v>
      </c>
      <c r="B53" s="13" t="n">
        <f aca="false">Setup!$C$5+170</f>
        <v>46197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TEXT(Setup!$C$5+170,"dddd")</f>
        <v>Wednesday</v>
      </c>
      <c r="B54" s="13" t="n">
        <f aca="false">Setup!$C$5+170</f>
        <v>46197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TEXT(Setup!$C$5+170,"dddd")</f>
        <v>Wednesday</v>
      </c>
      <c r="B55" s="13" t="n">
        <f aca="false">Setup!$C$5+170</f>
        <v>46197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TEXT(Setup!$C$5+170,"dddd")</f>
        <v>Wednesday</v>
      </c>
      <c r="B56" s="13" t="n">
        <f aca="false">Setup!$C$5+170</f>
        <v>46197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TEXT(Setup!$C$5+170,"dddd")</f>
        <v>Wednesday</v>
      </c>
      <c r="B57" s="13" t="n">
        <f aca="false">Setup!$C$5+170</f>
        <v>46197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TEXT(Setup!$C$5+170,"dddd")</f>
        <v>Wednesday</v>
      </c>
      <c r="B58" s="13" t="n">
        <f aca="false">Setup!$C$5+170</f>
        <v>46197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TEXT(Setup!$C$5+170,"dddd")</f>
        <v>Wednesday</v>
      </c>
      <c r="B59" s="13" t="n">
        <f aca="false">Setup!$C$5+170</f>
        <v>46197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TEXT(Setup!$C$5+170,"dddd")</f>
        <v>Wednesday</v>
      </c>
      <c r="B60" s="13" t="n">
        <f aca="false">Setup!$C$5+170</f>
        <v>46197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TEXT(Setup!$C$5+170,"dddd")</f>
        <v>Wednesday</v>
      </c>
      <c r="B61" s="13" t="n">
        <f aca="false">Setup!$C$5+170</f>
        <v>46197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TEXT(Setup!$C$5+170,"dddd")</f>
        <v>Wednesday</v>
      </c>
      <c r="B62" s="13" t="n">
        <f aca="false">Setup!$C$5+170</f>
        <v>46197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TEXT(Setup!$C$5+170,"dddd")</f>
        <v>Wednesday</v>
      </c>
      <c r="B63" s="13" t="n">
        <f aca="false">Setup!$C$5+170</f>
        <v>46197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TEXT(Setup!$C$5+170,"dddd")</f>
        <v>Wednesday</v>
      </c>
      <c r="B64" s="13" t="n">
        <f aca="false">Setup!$C$5+170</f>
        <v>46197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TEXT(Setup!$C$5+170,"dddd")</f>
        <v>Wednesday</v>
      </c>
      <c r="B65" s="13" t="n">
        <f aca="false">Setup!$C$5+170</f>
        <v>46197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TEXT(Setup!$C$5+170,"dddd")</f>
        <v>Wednesday</v>
      </c>
      <c r="B66" s="13" t="n">
        <f aca="false">Setup!$C$5+170</f>
        <v>46197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TEXT(Setup!$C$5+170,"dddd")</f>
        <v>Wednesday</v>
      </c>
      <c r="B67" s="23" t="n">
        <f aca="false">Setup!$C$5+170</f>
        <v>46197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IFERROR(H67-Wk24!H67,"")</f>
        <v>0</v>
      </c>
      <c r="O67" s="24" t="n">
        <f aca="false">IFERROR(D67-Wk24!D67,"")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TEXT(Setup!$C$5+171,"dddd")</f>
        <v>Thursday</v>
      </c>
      <c r="B68" s="13" t="n">
        <f aca="false">Setup!$C$5+171</f>
        <v>46198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TEXT(Setup!$C$5+171,"dddd")</f>
        <v>Thursday</v>
      </c>
      <c r="B69" s="13" t="n">
        <f aca="false">Setup!$C$5+171</f>
        <v>46198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TEXT(Setup!$C$5+171,"dddd")</f>
        <v>Thursday</v>
      </c>
      <c r="B70" s="13" t="n">
        <f aca="false">Setup!$C$5+171</f>
        <v>46198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TEXT(Setup!$C$5+171,"dddd")</f>
        <v>Thursday</v>
      </c>
      <c r="B71" s="13" t="n">
        <f aca="false">Setup!$C$5+171</f>
        <v>46198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TEXT(Setup!$C$5+171,"dddd")</f>
        <v>Thursday</v>
      </c>
      <c r="B72" s="13" t="n">
        <f aca="false">Setup!$C$5+171</f>
        <v>46198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TEXT(Setup!$C$5+171,"dddd")</f>
        <v>Thursday</v>
      </c>
      <c r="B73" s="13" t="n">
        <f aca="false">Setup!$C$5+171</f>
        <v>46198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TEXT(Setup!$C$5+171,"dddd")</f>
        <v>Thursday</v>
      </c>
      <c r="B74" s="13" t="n">
        <f aca="false">Setup!$C$5+171</f>
        <v>46198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TEXT(Setup!$C$5+171,"dddd")</f>
        <v>Thursday</v>
      </c>
      <c r="B75" s="13" t="n">
        <f aca="false">Setup!$C$5+171</f>
        <v>46198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TEXT(Setup!$C$5+171,"dddd")</f>
        <v>Thursday</v>
      </c>
      <c r="B76" s="13" t="n">
        <f aca="false">Setup!$C$5+171</f>
        <v>46198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TEXT(Setup!$C$5+171,"dddd")</f>
        <v>Thursday</v>
      </c>
      <c r="B77" s="13" t="n">
        <f aca="false">Setup!$C$5+171</f>
        <v>46198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TEXT(Setup!$C$5+171,"dddd")</f>
        <v>Thursday</v>
      </c>
      <c r="B78" s="13" t="n">
        <f aca="false">Setup!$C$5+171</f>
        <v>46198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TEXT(Setup!$C$5+171,"dddd")</f>
        <v>Thursday</v>
      </c>
      <c r="B79" s="13" t="n">
        <f aca="false">Setup!$C$5+171</f>
        <v>46198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TEXT(Setup!$C$5+171,"dddd")</f>
        <v>Thursday</v>
      </c>
      <c r="B80" s="13" t="n">
        <f aca="false">Setup!$C$5+171</f>
        <v>46198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TEXT(Setup!$C$5+171,"dddd")</f>
        <v>Thursday</v>
      </c>
      <c r="B81" s="13" t="n">
        <f aca="false">Setup!$C$5+171</f>
        <v>46198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TEXT(Setup!$C$5+171,"dddd")</f>
        <v>Thursday</v>
      </c>
      <c r="B82" s="13" t="n">
        <f aca="false">Setup!$C$5+171</f>
        <v>46198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TEXT(Setup!$C$5+171,"dddd")</f>
        <v>Thursday</v>
      </c>
      <c r="B83" s="13" t="n">
        <f aca="false">Setup!$C$5+171</f>
        <v>46198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TEXT(Setup!$C$5+171,"dddd")</f>
        <v>Thursday</v>
      </c>
      <c r="B84" s="13" t="n">
        <f aca="false">Setup!$C$5+171</f>
        <v>46198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TEXT(Setup!$C$5+171,"dddd")</f>
        <v>Thursday</v>
      </c>
      <c r="B85" s="13" t="n">
        <f aca="false">Setup!$C$5+171</f>
        <v>46198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TEXT(Setup!$C$5+171,"dddd")</f>
        <v>Thursday</v>
      </c>
      <c r="B86" s="13" t="n">
        <f aca="false">Setup!$C$5+171</f>
        <v>46198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TEXT(Setup!$C$5+171,"dddd")</f>
        <v>Thursday</v>
      </c>
      <c r="B87" s="13" t="n">
        <f aca="false">Setup!$C$5+171</f>
        <v>46198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TEXT(Setup!$C$5+171,"dddd")</f>
        <v>Thursday</v>
      </c>
      <c r="B88" s="13" t="n">
        <f aca="false">Setup!$C$5+171</f>
        <v>46198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TEXT(Setup!$C$5+171,"dddd")</f>
        <v>Thursday</v>
      </c>
      <c r="B89" s="23" t="n">
        <f aca="false">Setup!$C$5+171</f>
        <v>46198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IFERROR(H89-Wk24!H89,"")</f>
        <v>0</v>
      </c>
      <c r="O89" s="24" t="n">
        <f aca="false">IFERROR(D89-Wk24!D89,"")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TEXT(Setup!$C$5+172,"dddd")</f>
        <v>Friday</v>
      </c>
      <c r="B90" s="13" t="n">
        <f aca="false">Setup!$C$5+172</f>
        <v>46199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TEXT(Setup!$C$5+172,"dddd")</f>
        <v>Friday</v>
      </c>
      <c r="B91" s="13" t="n">
        <f aca="false">Setup!$C$5+172</f>
        <v>46199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TEXT(Setup!$C$5+172,"dddd")</f>
        <v>Friday</v>
      </c>
      <c r="B92" s="13" t="n">
        <f aca="false">Setup!$C$5+172</f>
        <v>46199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TEXT(Setup!$C$5+172,"dddd")</f>
        <v>Friday</v>
      </c>
      <c r="B93" s="13" t="n">
        <f aca="false">Setup!$C$5+172</f>
        <v>46199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TEXT(Setup!$C$5+172,"dddd")</f>
        <v>Friday</v>
      </c>
      <c r="B94" s="13" t="n">
        <f aca="false">Setup!$C$5+172</f>
        <v>46199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TEXT(Setup!$C$5+172,"dddd")</f>
        <v>Friday</v>
      </c>
      <c r="B95" s="13" t="n">
        <f aca="false">Setup!$C$5+172</f>
        <v>46199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TEXT(Setup!$C$5+172,"dddd")</f>
        <v>Friday</v>
      </c>
      <c r="B96" s="13" t="n">
        <f aca="false">Setup!$C$5+172</f>
        <v>46199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TEXT(Setup!$C$5+172,"dddd")</f>
        <v>Friday</v>
      </c>
      <c r="B97" s="13" t="n">
        <f aca="false">Setup!$C$5+172</f>
        <v>46199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TEXT(Setup!$C$5+172,"dddd")</f>
        <v>Friday</v>
      </c>
      <c r="B98" s="13" t="n">
        <f aca="false">Setup!$C$5+172</f>
        <v>46199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TEXT(Setup!$C$5+172,"dddd")</f>
        <v>Friday</v>
      </c>
      <c r="B99" s="13" t="n">
        <f aca="false">Setup!$C$5+172</f>
        <v>46199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TEXT(Setup!$C$5+172,"dddd")</f>
        <v>Friday</v>
      </c>
      <c r="B100" s="13" t="n">
        <f aca="false">Setup!$C$5+172</f>
        <v>46199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TEXT(Setup!$C$5+172,"dddd")</f>
        <v>Friday</v>
      </c>
      <c r="B101" s="13" t="n">
        <f aca="false">Setup!$C$5+172</f>
        <v>46199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TEXT(Setup!$C$5+172,"dddd")</f>
        <v>Friday</v>
      </c>
      <c r="B102" s="13" t="n">
        <f aca="false">Setup!$C$5+172</f>
        <v>46199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TEXT(Setup!$C$5+172,"dddd")</f>
        <v>Friday</v>
      </c>
      <c r="B103" s="13" t="n">
        <f aca="false">Setup!$C$5+172</f>
        <v>46199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TEXT(Setup!$C$5+172,"dddd")</f>
        <v>Friday</v>
      </c>
      <c r="B104" s="13" t="n">
        <f aca="false">Setup!$C$5+172</f>
        <v>46199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TEXT(Setup!$C$5+172,"dddd")</f>
        <v>Friday</v>
      </c>
      <c r="B105" s="13" t="n">
        <f aca="false">Setup!$C$5+172</f>
        <v>46199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TEXT(Setup!$C$5+172,"dddd")</f>
        <v>Friday</v>
      </c>
      <c r="B106" s="13" t="n">
        <f aca="false">Setup!$C$5+172</f>
        <v>46199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TEXT(Setup!$C$5+172,"dddd")</f>
        <v>Friday</v>
      </c>
      <c r="B107" s="13" t="n">
        <f aca="false">Setup!$C$5+172</f>
        <v>46199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TEXT(Setup!$C$5+172,"dddd")</f>
        <v>Friday</v>
      </c>
      <c r="B108" s="13" t="n">
        <f aca="false">Setup!$C$5+172</f>
        <v>46199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TEXT(Setup!$C$5+172,"dddd")</f>
        <v>Friday</v>
      </c>
      <c r="B109" s="13" t="n">
        <f aca="false">Setup!$C$5+172</f>
        <v>46199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TEXT(Setup!$C$5+172,"dddd")</f>
        <v>Friday</v>
      </c>
      <c r="B110" s="13" t="n">
        <f aca="false">Setup!$C$5+172</f>
        <v>46199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TEXT(Setup!$C$5+172,"dddd")</f>
        <v>Friday</v>
      </c>
      <c r="B111" s="23" t="n">
        <f aca="false">Setup!$C$5+172</f>
        <v>46199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IFERROR(H111-Wk24!H111,"")</f>
        <v>0</v>
      </c>
      <c r="O111" s="24" t="n">
        <f aca="false">IFERROR(D111-Wk24!D111,"")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TEXT(Setup!$C$5+173,"dddd")</f>
        <v>Saturday</v>
      </c>
      <c r="B112" s="13" t="n">
        <f aca="false">Setup!$C$5+173</f>
        <v>46200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TEXT(Setup!$C$5+173,"dddd")</f>
        <v>Saturday</v>
      </c>
      <c r="B113" s="13" t="n">
        <f aca="false">Setup!$C$5+173</f>
        <v>46200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TEXT(Setup!$C$5+173,"dddd")</f>
        <v>Saturday</v>
      </c>
      <c r="B114" s="13" t="n">
        <f aca="false">Setup!$C$5+173</f>
        <v>46200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TEXT(Setup!$C$5+173,"dddd")</f>
        <v>Saturday</v>
      </c>
      <c r="B115" s="13" t="n">
        <f aca="false">Setup!$C$5+173</f>
        <v>46200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TEXT(Setup!$C$5+173,"dddd")</f>
        <v>Saturday</v>
      </c>
      <c r="B116" s="13" t="n">
        <f aca="false">Setup!$C$5+173</f>
        <v>46200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TEXT(Setup!$C$5+173,"dddd")</f>
        <v>Saturday</v>
      </c>
      <c r="B117" s="13" t="n">
        <f aca="false">Setup!$C$5+173</f>
        <v>46200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TEXT(Setup!$C$5+173,"dddd")</f>
        <v>Saturday</v>
      </c>
      <c r="B118" s="13" t="n">
        <f aca="false">Setup!$C$5+173</f>
        <v>46200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TEXT(Setup!$C$5+173,"dddd")</f>
        <v>Saturday</v>
      </c>
      <c r="B119" s="13" t="n">
        <f aca="false">Setup!$C$5+173</f>
        <v>46200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TEXT(Setup!$C$5+173,"dddd")</f>
        <v>Saturday</v>
      </c>
      <c r="B120" s="13" t="n">
        <f aca="false">Setup!$C$5+173</f>
        <v>46200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TEXT(Setup!$C$5+173,"dddd")</f>
        <v>Saturday</v>
      </c>
      <c r="B121" s="13" t="n">
        <f aca="false">Setup!$C$5+173</f>
        <v>46200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TEXT(Setup!$C$5+173,"dddd")</f>
        <v>Saturday</v>
      </c>
      <c r="B122" s="13" t="n">
        <f aca="false">Setup!$C$5+173</f>
        <v>46200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TEXT(Setup!$C$5+173,"dddd")</f>
        <v>Saturday</v>
      </c>
      <c r="B123" s="13" t="n">
        <f aca="false">Setup!$C$5+173</f>
        <v>46200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TEXT(Setup!$C$5+173,"dddd")</f>
        <v>Saturday</v>
      </c>
      <c r="B124" s="13" t="n">
        <f aca="false">Setup!$C$5+173</f>
        <v>46200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TEXT(Setup!$C$5+173,"dddd")</f>
        <v>Saturday</v>
      </c>
      <c r="B125" s="13" t="n">
        <f aca="false">Setup!$C$5+173</f>
        <v>46200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TEXT(Setup!$C$5+173,"dddd")</f>
        <v>Saturday</v>
      </c>
      <c r="B126" s="13" t="n">
        <f aca="false">Setup!$C$5+173</f>
        <v>46200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TEXT(Setup!$C$5+173,"dddd")</f>
        <v>Saturday</v>
      </c>
      <c r="B127" s="13" t="n">
        <f aca="false">Setup!$C$5+173</f>
        <v>46200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TEXT(Setup!$C$5+173,"dddd")</f>
        <v>Saturday</v>
      </c>
      <c r="B128" s="13" t="n">
        <f aca="false">Setup!$C$5+173</f>
        <v>46200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TEXT(Setup!$C$5+173,"dddd")</f>
        <v>Saturday</v>
      </c>
      <c r="B129" s="13" t="n">
        <f aca="false">Setup!$C$5+173</f>
        <v>46200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TEXT(Setup!$C$5+173,"dddd")</f>
        <v>Saturday</v>
      </c>
      <c r="B130" s="13" t="n">
        <f aca="false">Setup!$C$5+173</f>
        <v>46200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TEXT(Setup!$C$5+173,"dddd")</f>
        <v>Saturday</v>
      </c>
      <c r="B131" s="13" t="n">
        <f aca="false">Setup!$C$5+173</f>
        <v>46200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TEXT(Setup!$C$5+173,"dddd")</f>
        <v>Saturday</v>
      </c>
      <c r="B132" s="13" t="n">
        <f aca="false">Setup!$C$5+173</f>
        <v>46200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TEXT(Setup!$C$5+173,"dddd")</f>
        <v>Saturday</v>
      </c>
      <c r="B133" s="23" t="n">
        <f aca="false">Setup!$C$5+173</f>
        <v>46200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IFERROR(H133-Wk24!H133,"")</f>
        <v>0</v>
      </c>
      <c r="O133" s="24" t="n">
        <f aca="false">IFERROR(D133-Wk24!D133,"")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TEXT(Setup!$C$5+174,"dddd")</f>
        <v>Sunday</v>
      </c>
      <c r="B134" s="13" t="n">
        <f aca="false">Setup!$C$5+174</f>
        <v>46201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TEXT(Setup!$C$5+174,"dddd")</f>
        <v>Sunday</v>
      </c>
      <c r="B135" s="13" t="n">
        <f aca="false">Setup!$C$5+174</f>
        <v>46201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TEXT(Setup!$C$5+174,"dddd")</f>
        <v>Sunday</v>
      </c>
      <c r="B136" s="13" t="n">
        <f aca="false">Setup!$C$5+174</f>
        <v>46201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TEXT(Setup!$C$5+174,"dddd")</f>
        <v>Sunday</v>
      </c>
      <c r="B137" s="13" t="n">
        <f aca="false">Setup!$C$5+174</f>
        <v>46201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TEXT(Setup!$C$5+174,"dddd")</f>
        <v>Sunday</v>
      </c>
      <c r="B138" s="13" t="n">
        <f aca="false">Setup!$C$5+174</f>
        <v>46201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TEXT(Setup!$C$5+174,"dddd")</f>
        <v>Sunday</v>
      </c>
      <c r="B139" s="13" t="n">
        <f aca="false">Setup!$C$5+174</f>
        <v>46201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TEXT(Setup!$C$5+174,"dddd")</f>
        <v>Sunday</v>
      </c>
      <c r="B140" s="13" t="n">
        <f aca="false">Setup!$C$5+174</f>
        <v>46201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TEXT(Setup!$C$5+174,"dddd")</f>
        <v>Sunday</v>
      </c>
      <c r="B141" s="13" t="n">
        <f aca="false">Setup!$C$5+174</f>
        <v>46201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TEXT(Setup!$C$5+174,"dddd")</f>
        <v>Sunday</v>
      </c>
      <c r="B142" s="13" t="n">
        <f aca="false">Setup!$C$5+174</f>
        <v>46201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TEXT(Setup!$C$5+174,"dddd")</f>
        <v>Sunday</v>
      </c>
      <c r="B143" s="13" t="n">
        <f aca="false">Setup!$C$5+174</f>
        <v>46201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TEXT(Setup!$C$5+174,"dddd")</f>
        <v>Sunday</v>
      </c>
      <c r="B144" s="13" t="n">
        <f aca="false">Setup!$C$5+174</f>
        <v>46201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TEXT(Setup!$C$5+174,"dddd")</f>
        <v>Sunday</v>
      </c>
      <c r="B145" s="13" t="n">
        <f aca="false">Setup!$C$5+174</f>
        <v>46201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TEXT(Setup!$C$5+174,"dddd")</f>
        <v>Sunday</v>
      </c>
      <c r="B146" s="13" t="n">
        <f aca="false">Setup!$C$5+174</f>
        <v>46201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TEXT(Setup!$C$5+174,"dddd")</f>
        <v>Sunday</v>
      </c>
      <c r="B147" s="13" t="n">
        <f aca="false">Setup!$C$5+174</f>
        <v>46201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TEXT(Setup!$C$5+174,"dddd")</f>
        <v>Sunday</v>
      </c>
      <c r="B148" s="13" t="n">
        <f aca="false">Setup!$C$5+174</f>
        <v>46201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TEXT(Setup!$C$5+174,"dddd")</f>
        <v>Sunday</v>
      </c>
      <c r="B149" s="13" t="n">
        <f aca="false">Setup!$C$5+174</f>
        <v>46201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TEXT(Setup!$C$5+174,"dddd")</f>
        <v>Sunday</v>
      </c>
      <c r="B150" s="13" t="n">
        <f aca="false">Setup!$C$5+174</f>
        <v>46201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TEXT(Setup!$C$5+174,"dddd")</f>
        <v>Sunday</v>
      </c>
      <c r="B151" s="13" t="n">
        <f aca="false">Setup!$C$5+174</f>
        <v>46201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TEXT(Setup!$C$5+174,"dddd")</f>
        <v>Sunday</v>
      </c>
      <c r="B152" s="13" t="n">
        <f aca="false">Setup!$C$5+174</f>
        <v>46201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TEXT(Setup!$C$5+174,"dddd")</f>
        <v>Sunday</v>
      </c>
      <c r="B153" s="13" t="n">
        <f aca="false">Setup!$C$5+174</f>
        <v>46201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TEXT(Setup!$C$5+174,"dddd")</f>
        <v>Sunday</v>
      </c>
      <c r="B154" s="13" t="n">
        <f aca="false">Setup!$C$5+174</f>
        <v>46201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TEXT(Setup!$C$5+174,"dddd")</f>
        <v>Sunday</v>
      </c>
      <c r="B155" s="23" t="n">
        <f aca="false">Setup!$C$5+174</f>
        <v>46201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IFERROR(H155-Wk24!H155,"")</f>
        <v>0</v>
      </c>
      <c r="O155" s="24" t="n">
        <f aca="false">IFERROR(D155-Wk24!D155,"")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IFERROR(D156-Wk24!D156,"")</f>
        <v>0</v>
      </c>
      <c r="E157" s="34" t="n">
        <f aca="false">IFERROR(E156-Wk24!E156,"")</f>
        <v>0</v>
      </c>
      <c r="H157" s="32" t="n">
        <f aca="false">IFERROR(H156-Wk24!H156,"")</f>
        <v>0</v>
      </c>
      <c r="K157" s="32" t="n">
        <f aca="false">IFERROR(K156-Wk24!K156,"")</f>
        <v>0</v>
      </c>
      <c r="M157" s="32" t="n">
        <f aca="false">IFERROR(M156-Wk24!M156,"")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TEXT(Setup!$C$5+175,"dddd")</f>
        <v>Monday</v>
      </c>
      <c r="B2" s="13" t="n">
        <f aca="false">Setup!$C$5+175</f>
        <v>46202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TEXT(Setup!$C$5+175,"dddd")</f>
        <v>Monday</v>
      </c>
      <c r="B3" s="13" t="n">
        <f aca="false">Setup!$C$5+175</f>
        <v>46202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TEXT(Setup!$C$5+175,"dddd")</f>
        <v>Monday</v>
      </c>
      <c r="B4" s="13" t="n">
        <f aca="false">Setup!$C$5+175</f>
        <v>46202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TEXT(Setup!$C$5+175,"dddd")</f>
        <v>Monday</v>
      </c>
      <c r="B5" s="13" t="n">
        <f aca="false">Setup!$C$5+175</f>
        <v>46202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TEXT(Setup!$C$5+175,"dddd")</f>
        <v>Monday</v>
      </c>
      <c r="B6" s="13" t="n">
        <f aca="false">Setup!$C$5+175</f>
        <v>46202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TEXT(Setup!$C$5+175,"dddd")</f>
        <v>Monday</v>
      </c>
      <c r="B7" s="13" t="n">
        <f aca="false">Setup!$C$5+175</f>
        <v>46202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TEXT(Setup!$C$5+175,"dddd")</f>
        <v>Monday</v>
      </c>
      <c r="B8" s="13" t="n">
        <f aca="false">Setup!$C$5+175</f>
        <v>46202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TEXT(Setup!$C$5+175,"dddd")</f>
        <v>Monday</v>
      </c>
      <c r="B9" s="13" t="n">
        <f aca="false">Setup!$C$5+175</f>
        <v>46202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TEXT(Setup!$C$5+175,"dddd")</f>
        <v>Monday</v>
      </c>
      <c r="B10" s="13" t="n">
        <f aca="false">Setup!$C$5+175</f>
        <v>46202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TEXT(Setup!$C$5+175,"dddd")</f>
        <v>Monday</v>
      </c>
      <c r="B11" s="13" t="n">
        <f aca="false">Setup!$C$5+175</f>
        <v>46202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TEXT(Setup!$C$5+175,"dddd")</f>
        <v>Monday</v>
      </c>
      <c r="B12" s="13" t="n">
        <f aca="false">Setup!$C$5+175</f>
        <v>46202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TEXT(Setup!$C$5+175,"dddd")</f>
        <v>Monday</v>
      </c>
      <c r="B13" s="13" t="n">
        <f aca="false">Setup!$C$5+175</f>
        <v>46202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TEXT(Setup!$C$5+175,"dddd")</f>
        <v>Monday</v>
      </c>
      <c r="B14" s="13" t="n">
        <f aca="false">Setup!$C$5+175</f>
        <v>46202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TEXT(Setup!$C$5+175,"dddd")</f>
        <v>Monday</v>
      </c>
      <c r="B15" s="13" t="n">
        <f aca="false">Setup!$C$5+175</f>
        <v>46202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TEXT(Setup!$C$5+175,"dddd")</f>
        <v>Monday</v>
      </c>
      <c r="B16" s="13" t="n">
        <f aca="false">Setup!$C$5+175</f>
        <v>46202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TEXT(Setup!$C$5+175,"dddd")</f>
        <v>Monday</v>
      </c>
      <c r="B17" s="13" t="n">
        <f aca="false">Setup!$C$5+175</f>
        <v>46202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TEXT(Setup!$C$5+175,"dddd")</f>
        <v>Monday</v>
      </c>
      <c r="B18" s="13" t="n">
        <f aca="false">Setup!$C$5+175</f>
        <v>46202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TEXT(Setup!$C$5+175,"dddd")</f>
        <v>Monday</v>
      </c>
      <c r="B19" s="13" t="n">
        <f aca="false">Setup!$C$5+175</f>
        <v>46202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TEXT(Setup!$C$5+175,"dddd")</f>
        <v>Monday</v>
      </c>
      <c r="B20" s="13" t="n">
        <f aca="false">Setup!$C$5+175</f>
        <v>46202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TEXT(Setup!$C$5+175,"dddd")</f>
        <v>Monday</v>
      </c>
      <c r="B21" s="13" t="n">
        <f aca="false">Setup!$C$5+175</f>
        <v>46202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TEXT(Setup!$C$5+175,"dddd")</f>
        <v>Monday</v>
      </c>
      <c r="B22" s="13" t="n">
        <f aca="false">Setup!$C$5+175</f>
        <v>46202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TEXT(Setup!$C$5+175,"dddd")</f>
        <v>Monday</v>
      </c>
      <c r="B23" s="23" t="n">
        <f aca="false">Setup!$C$5+175</f>
        <v>46202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IFERROR(H23-Wk25!H23,"")</f>
        <v>0</v>
      </c>
      <c r="O23" s="24" t="n">
        <f aca="false">IFERROR(D23-Wk25!D23,"")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TEXT(Setup!$C$5+176,"dddd")</f>
        <v>Tuesday</v>
      </c>
      <c r="B24" s="13" t="n">
        <f aca="false">Setup!$C$5+176</f>
        <v>46203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TEXT(Setup!$C$5+176,"dddd")</f>
        <v>Tuesday</v>
      </c>
      <c r="B25" s="13" t="n">
        <f aca="false">Setup!$C$5+176</f>
        <v>46203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TEXT(Setup!$C$5+176,"dddd")</f>
        <v>Tuesday</v>
      </c>
      <c r="B26" s="13" t="n">
        <f aca="false">Setup!$C$5+176</f>
        <v>46203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TEXT(Setup!$C$5+176,"dddd")</f>
        <v>Tuesday</v>
      </c>
      <c r="B27" s="13" t="n">
        <f aca="false">Setup!$C$5+176</f>
        <v>46203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TEXT(Setup!$C$5+176,"dddd")</f>
        <v>Tuesday</v>
      </c>
      <c r="B28" s="13" t="n">
        <f aca="false">Setup!$C$5+176</f>
        <v>46203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TEXT(Setup!$C$5+176,"dddd")</f>
        <v>Tuesday</v>
      </c>
      <c r="B29" s="13" t="n">
        <f aca="false">Setup!$C$5+176</f>
        <v>46203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TEXT(Setup!$C$5+176,"dddd")</f>
        <v>Tuesday</v>
      </c>
      <c r="B30" s="13" t="n">
        <f aca="false">Setup!$C$5+176</f>
        <v>46203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TEXT(Setup!$C$5+176,"dddd")</f>
        <v>Tuesday</v>
      </c>
      <c r="B31" s="13" t="n">
        <f aca="false">Setup!$C$5+176</f>
        <v>46203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TEXT(Setup!$C$5+176,"dddd")</f>
        <v>Tuesday</v>
      </c>
      <c r="B32" s="13" t="n">
        <f aca="false">Setup!$C$5+176</f>
        <v>46203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TEXT(Setup!$C$5+176,"dddd")</f>
        <v>Tuesday</v>
      </c>
      <c r="B33" s="13" t="n">
        <f aca="false">Setup!$C$5+176</f>
        <v>46203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TEXT(Setup!$C$5+176,"dddd")</f>
        <v>Tuesday</v>
      </c>
      <c r="B34" s="13" t="n">
        <f aca="false">Setup!$C$5+176</f>
        <v>46203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TEXT(Setup!$C$5+176,"dddd")</f>
        <v>Tuesday</v>
      </c>
      <c r="B35" s="13" t="n">
        <f aca="false">Setup!$C$5+176</f>
        <v>46203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TEXT(Setup!$C$5+176,"dddd")</f>
        <v>Tuesday</v>
      </c>
      <c r="B36" s="13" t="n">
        <f aca="false">Setup!$C$5+176</f>
        <v>46203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TEXT(Setup!$C$5+176,"dddd")</f>
        <v>Tuesday</v>
      </c>
      <c r="B37" s="13" t="n">
        <f aca="false">Setup!$C$5+176</f>
        <v>46203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TEXT(Setup!$C$5+176,"dddd")</f>
        <v>Tuesday</v>
      </c>
      <c r="B38" s="13" t="n">
        <f aca="false">Setup!$C$5+176</f>
        <v>46203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TEXT(Setup!$C$5+176,"dddd")</f>
        <v>Tuesday</v>
      </c>
      <c r="B39" s="13" t="n">
        <f aca="false">Setup!$C$5+176</f>
        <v>46203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TEXT(Setup!$C$5+176,"dddd")</f>
        <v>Tuesday</v>
      </c>
      <c r="B40" s="13" t="n">
        <f aca="false">Setup!$C$5+176</f>
        <v>46203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TEXT(Setup!$C$5+176,"dddd")</f>
        <v>Tuesday</v>
      </c>
      <c r="B41" s="13" t="n">
        <f aca="false">Setup!$C$5+176</f>
        <v>46203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TEXT(Setup!$C$5+176,"dddd")</f>
        <v>Tuesday</v>
      </c>
      <c r="B42" s="13" t="n">
        <f aca="false">Setup!$C$5+176</f>
        <v>46203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TEXT(Setup!$C$5+176,"dddd")</f>
        <v>Tuesday</v>
      </c>
      <c r="B43" s="13" t="n">
        <f aca="false">Setup!$C$5+176</f>
        <v>46203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TEXT(Setup!$C$5+176,"dddd")</f>
        <v>Tuesday</v>
      </c>
      <c r="B44" s="13" t="n">
        <f aca="false">Setup!$C$5+176</f>
        <v>46203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TEXT(Setup!$C$5+176,"dddd")</f>
        <v>Tuesday</v>
      </c>
      <c r="B45" s="23" t="n">
        <f aca="false">Setup!$C$5+176</f>
        <v>46203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IFERROR(H45-Wk25!H45,"")</f>
        <v>0</v>
      </c>
      <c r="O45" s="24" t="n">
        <f aca="false">IFERROR(D45-Wk25!D45,"")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TEXT(Setup!$C$5+177,"dddd")</f>
        <v>Wednesday</v>
      </c>
      <c r="B46" s="13" t="n">
        <f aca="false">Setup!$C$5+177</f>
        <v>46204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TEXT(Setup!$C$5+177,"dddd")</f>
        <v>Wednesday</v>
      </c>
      <c r="B47" s="13" t="n">
        <f aca="false">Setup!$C$5+177</f>
        <v>46204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TEXT(Setup!$C$5+177,"dddd")</f>
        <v>Wednesday</v>
      </c>
      <c r="B48" s="13" t="n">
        <f aca="false">Setup!$C$5+177</f>
        <v>46204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TEXT(Setup!$C$5+177,"dddd")</f>
        <v>Wednesday</v>
      </c>
      <c r="B49" s="13" t="n">
        <f aca="false">Setup!$C$5+177</f>
        <v>46204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TEXT(Setup!$C$5+177,"dddd")</f>
        <v>Wednesday</v>
      </c>
      <c r="B50" s="13" t="n">
        <f aca="false">Setup!$C$5+177</f>
        <v>46204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TEXT(Setup!$C$5+177,"dddd")</f>
        <v>Wednesday</v>
      </c>
      <c r="B51" s="13" t="n">
        <f aca="false">Setup!$C$5+177</f>
        <v>46204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TEXT(Setup!$C$5+177,"dddd")</f>
        <v>Wednesday</v>
      </c>
      <c r="B52" s="13" t="n">
        <f aca="false">Setup!$C$5+177</f>
        <v>46204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TEXT(Setup!$C$5+177,"dddd")</f>
        <v>Wednesday</v>
      </c>
      <c r="B53" s="13" t="n">
        <f aca="false">Setup!$C$5+177</f>
        <v>46204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TEXT(Setup!$C$5+177,"dddd")</f>
        <v>Wednesday</v>
      </c>
      <c r="B54" s="13" t="n">
        <f aca="false">Setup!$C$5+177</f>
        <v>46204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TEXT(Setup!$C$5+177,"dddd")</f>
        <v>Wednesday</v>
      </c>
      <c r="B55" s="13" t="n">
        <f aca="false">Setup!$C$5+177</f>
        <v>46204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TEXT(Setup!$C$5+177,"dddd")</f>
        <v>Wednesday</v>
      </c>
      <c r="B56" s="13" t="n">
        <f aca="false">Setup!$C$5+177</f>
        <v>46204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TEXT(Setup!$C$5+177,"dddd")</f>
        <v>Wednesday</v>
      </c>
      <c r="B57" s="13" t="n">
        <f aca="false">Setup!$C$5+177</f>
        <v>46204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TEXT(Setup!$C$5+177,"dddd")</f>
        <v>Wednesday</v>
      </c>
      <c r="B58" s="13" t="n">
        <f aca="false">Setup!$C$5+177</f>
        <v>46204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TEXT(Setup!$C$5+177,"dddd")</f>
        <v>Wednesday</v>
      </c>
      <c r="B59" s="13" t="n">
        <f aca="false">Setup!$C$5+177</f>
        <v>46204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TEXT(Setup!$C$5+177,"dddd")</f>
        <v>Wednesday</v>
      </c>
      <c r="B60" s="13" t="n">
        <f aca="false">Setup!$C$5+177</f>
        <v>46204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TEXT(Setup!$C$5+177,"dddd")</f>
        <v>Wednesday</v>
      </c>
      <c r="B61" s="13" t="n">
        <f aca="false">Setup!$C$5+177</f>
        <v>46204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TEXT(Setup!$C$5+177,"dddd")</f>
        <v>Wednesday</v>
      </c>
      <c r="B62" s="13" t="n">
        <f aca="false">Setup!$C$5+177</f>
        <v>46204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TEXT(Setup!$C$5+177,"dddd")</f>
        <v>Wednesday</v>
      </c>
      <c r="B63" s="13" t="n">
        <f aca="false">Setup!$C$5+177</f>
        <v>46204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TEXT(Setup!$C$5+177,"dddd")</f>
        <v>Wednesday</v>
      </c>
      <c r="B64" s="13" t="n">
        <f aca="false">Setup!$C$5+177</f>
        <v>46204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TEXT(Setup!$C$5+177,"dddd")</f>
        <v>Wednesday</v>
      </c>
      <c r="B65" s="13" t="n">
        <f aca="false">Setup!$C$5+177</f>
        <v>46204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TEXT(Setup!$C$5+177,"dddd")</f>
        <v>Wednesday</v>
      </c>
      <c r="B66" s="13" t="n">
        <f aca="false">Setup!$C$5+177</f>
        <v>46204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TEXT(Setup!$C$5+177,"dddd")</f>
        <v>Wednesday</v>
      </c>
      <c r="B67" s="23" t="n">
        <f aca="false">Setup!$C$5+177</f>
        <v>46204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IFERROR(H67-Wk25!H67,"")</f>
        <v>0</v>
      </c>
      <c r="O67" s="24" t="n">
        <f aca="false">IFERROR(D67-Wk25!D67,"")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TEXT(Setup!$C$5+178,"dddd")</f>
        <v>Thursday</v>
      </c>
      <c r="B68" s="13" t="n">
        <f aca="false">Setup!$C$5+178</f>
        <v>46205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TEXT(Setup!$C$5+178,"dddd")</f>
        <v>Thursday</v>
      </c>
      <c r="B69" s="13" t="n">
        <f aca="false">Setup!$C$5+178</f>
        <v>46205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TEXT(Setup!$C$5+178,"dddd")</f>
        <v>Thursday</v>
      </c>
      <c r="B70" s="13" t="n">
        <f aca="false">Setup!$C$5+178</f>
        <v>46205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TEXT(Setup!$C$5+178,"dddd")</f>
        <v>Thursday</v>
      </c>
      <c r="B71" s="13" t="n">
        <f aca="false">Setup!$C$5+178</f>
        <v>46205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TEXT(Setup!$C$5+178,"dddd")</f>
        <v>Thursday</v>
      </c>
      <c r="B72" s="13" t="n">
        <f aca="false">Setup!$C$5+178</f>
        <v>46205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TEXT(Setup!$C$5+178,"dddd")</f>
        <v>Thursday</v>
      </c>
      <c r="B73" s="13" t="n">
        <f aca="false">Setup!$C$5+178</f>
        <v>46205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TEXT(Setup!$C$5+178,"dddd")</f>
        <v>Thursday</v>
      </c>
      <c r="B74" s="13" t="n">
        <f aca="false">Setup!$C$5+178</f>
        <v>46205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TEXT(Setup!$C$5+178,"dddd")</f>
        <v>Thursday</v>
      </c>
      <c r="B75" s="13" t="n">
        <f aca="false">Setup!$C$5+178</f>
        <v>46205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TEXT(Setup!$C$5+178,"dddd")</f>
        <v>Thursday</v>
      </c>
      <c r="B76" s="13" t="n">
        <f aca="false">Setup!$C$5+178</f>
        <v>46205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TEXT(Setup!$C$5+178,"dddd")</f>
        <v>Thursday</v>
      </c>
      <c r="B77" s="13" t="n">
        <f aca="false">Setup!$C$5+178</f>
        <v>46205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TEXT(Setup!$C$5+178,"dddd")</f>
        <v>Thursday</v>
      </c>
      <c r="B78" s="13" t="n">
        <f aca="false">Setup!$C$5+178</f>
        <v>46205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TEXT(Setup!$C$5+178,"dddd")</f>
        <v>Thursday</v>
      </c>
      <c r="B79" s="13" t="n">
        <f aca="false">Setup!$C$5+178</f>
        <v>46205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TEXT(Setup!$C$5+178,"dddd")</f>
        <v>Thursday</v>
      </c>
      <c r="B80" s="13" t="n">
        <f aca="false">Setup!$C$5+178</f>
        <v>46205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TEXT(Setup!$C$5+178,"dddd")</f>
        <v>Thursday</v>
      </c>
      <c r="B81" s="13" t="n">
        <f aca="false">Setup!$C$5+178</f>
        <v>46205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TEXT(Setup!$C$5+178,"dddd")</f>
        <v>Thursday</v>
      </c>
      <c r="B82" s="13" t="n">
        <f aca="false">Setup!$C$5+178</f>
        <v>46205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TEXT(Setup!$C$5+178,"dddd")</f>
        <v>Thursday</v>
      </c>
      <c r="B83" s="13" t="n">
        <f aca="false">Setup!$C$5+178</f>
        <v>46205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TEXT(Setup!$C$5+178,"dddd")</f>
        <v>Thursday</v>
      </c>
      <c r="B84" s="13" t="n">
        <f aca="false">Setup!$C$5+178</f>
        <v>46205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TEXT(Setup!$C$5+178,"dddd")</f>
        <v>Thursday</v>
      </c>
      <c r="B85" s="13" t="n">
        <f aca="false">Setup!$C$5+178</f>
        <v>46205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TEXT(Setup!$C$5+178,"dddd")</f>
        <v>Thursday</v>
      </c>
      <c r="B86" s="13" t="n">
        <f aca="false">Setup!$C$5+178</f>
        <v>46205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TEXT(Setup!$C$5+178,"dddd")</f>
        <v>Thursday</v>
      </c>
      <c r="B87" s="13" t="n">
        <f aca="false">Setup!$C$5+178</f>
        <v>46205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TEXT(Setup!$C$5+178,"dddd")</f>
        <v>Thursday</v>
      </c>
      <c r="B88" s="13" t="n">
        <f aca="false">Setup!$C$5+178</f>
        <v>46205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TEXT(Setup!$C$5+178,"dddd")</f>
        <v>Thursday</v>
      </c>
      <c r="B89" s="23" t="n">
        <f aca="false">Setup!$C$5+178</f>
        <v>46205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IFERROR(H89-Wk25!H89,"")</f>
        <v>0</v>
      </c>
      <c r="O89" s="24" t="n">
        <f aca="false">IFERROR(D89-Wk25!D89,"")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TEXT(Setup!$C$5+179,"dddd")</f>
        <v>Friday</v>
      </c>
      <c r="B90" s="13" t="n">
        <f aca="false">Setup!$C$5+179</f>
        <v>46206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TEXT(Setup!$C$5+179,"dddd")</f>
        <v>Friday</v>
      </c>
      <c r="B91" s="13" t="n">
        <f aca="false">Setup!$C$5+179</f>
        <v>46206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TEXT(Setup!$C$5+179,"dddd")</f>
        <v>Friday</v>
      </c>
      <c r="B92" s="13" t="n">
        <f aca="false">Setup!$C$5+179</f>
        <v>46206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TEXT(Setup!$C$5+179,"dddd")</f>
        <v>Friday</v>
      </c>
      <c r="B93" s="13" t="n">
        <f aca="false">Setup!$C$5+179</f>
        <v>46206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TEXT(Setup!$C$5+179,"dddd")</f>
        <v>Friday</v>
      </c>
      <c r="B94" s="13" t="n">
        <f aca="false">Setup!$C$5+179</f>
        <v>46206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TEXT(Setup!$C$5+179,"dddd")</f>
        <v>Friday</v>
      </c>
      <c r="B95" s="13" t="n">
        <f aca="false">Setup!$C$5+179</f>
        <v>46206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TEXT(Setup!$C$5+179,"dddd")</f>
        <v>Friday</v>
      </c>
      <c r="B96" s="13" t="n">
        <f aca="false">Setup!$C$5+179</f>
        <v>46206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TEXT(Setup!$C$5+179,"dddd")</f>
        <v>Friday</v>
      </c>
      <c r="B97" s="13" t="n">
        <f aca="false">Setup!$C$5+179</f>
        <v>46206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TEXT(Setup!$C$5+179,"dddd")</f>
        <v>Friday</v>
      </c>
      <c r="B98" s="13" t="n">
        <f aca="false">Setup!$C$5+179</f>
        <v>46206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TEXT(Setup!$C$5+179,"dddd")</f>
        <v>Friday</v>
      </c>
      <c r="B99" s="13" t="n">
        <f aca="false">Setup!$C$5+179</f>
        <v>46206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TEXT(Setup!$C$5+179,"dddd")</f>
        <v>Friday</v>
      </c>
      <c r="B100" s="13" t="n">
        <f aca="false">Setup!$C$5+179</f>
        <v>46206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TEXT(Setup!$C$5+179,"dddd")</f>
        <v>Friday</v>
      </c>
      <c r="B101" s="13" t="n">
        <f aca="false">Setup!$C$5+179</f>
        <v>46206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TEXT(Setup!$C$5+179,"dddd")</f>
        <v>Friday</v>
      </c>
      <c r="B102" s="13" t="n">
        <f aca="false">Setup!$C$5+179</f>
        <v>46206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TEXT(Setup!$C$5+179,"dddd")</f>
        <v>Friday</v>
      </c>
      <c r="B103" s="13" t="n">
        <f aca="false">Setup!$C$5+179</f>
        <v>46206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TEXT(Setup!$C$5+179,"dddd")</f>
        <v>Friday</v>
      </c>
      <c r="B104" s="13" t="n">
        <f aca="false">Setup!$C$5+179</f>
        <v>46206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TEXT(Setup!$C$5+179,"dddd")</f>
        <v>Friday</v>
      </c>
      <c r="B105" s="13" t="n">
        <f aca="false">Setup!$C$5+179</f>
        <v>46206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TEXT(Setup!$C$5+179,"dddd")</f>
        <v>Friday</v>
      </c>
      <c r="B106" s="13" t="n">
        <f aca="false">Setup!$C$5+179</f>
        <v>46206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TEXT(Setup!$C$5+179,"dddd")</f>
        <v>Friday</v>
      </c>
      <c r="B107" s="13" t="n">
        <f aca="false">Setup!$C$5+179</f>
        <v>46206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TEXT(Setup!$C$5+179,"dddd")</f>
        <v>Friday</v>
      </c>
      <c r="B108" s="13" t="n">
        <f aca="false">Setup!$C$5+179</f>
        <v>46206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TEXT(Setup!$C$5+179,"dddd")</f>
        <v>Friday</v>
      </c>
      <c r="B109" s="13" t="n">
        <f aca="false">Setup!$C$5+179</f>
        <v>46206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TEXT(Setup!$C$5+179,"dddd")</f>
        <v>Friday</v>
      </c>
      <c r="B110" s="13" t="n">
        <f aca="false">Setup!$C$5+179</f>
        <v>46206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TEXT(Setup!$C$5+179,"dddd")</f>
        <v>Friday</v>
      </c>
      <c r="B111" s="23" t="n">
        <f aca="false">Setup!$C$5+179</f>
        <v>46206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IFERROR(H111-Wk25!H111,"")</f>
        <v>0</v>
      </c>
      <c r="O111" s="24" t="n">
        <f aca="false">IFERROR(D111-Wk25!D111,"")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TEXT(Setup!$C$5+180,"dddd")</f>
        <v>Saturday</v>
      </c>
      <c r="B112" s="13" t="n">
        <f aca="false">Setup!$C$5+180</f>
        <v>46207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TEXT(Setup!$C$5+180,"dddd")</f>
        <v>Saturday</v>
      </c>
      <c r="B113" s="13" t="n">
        <f aca="false">Setup!$C$5+180</f>
        <v>46207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TEXT(Setup!$C$5+180,"dddd")</f>
        <v>Saturday</v>
      </c>
      <c r="B114" s="13" t="n">
        <f aca="false">Setup!$C$5+180</f>
        <v>46207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TEXT(Setup!$C$5+180,"dddd")</f>
        <v>Saturday</v>
      </c>
      <c r="B115" s="13" t="n">
        <f aca="false">Setup!$C$5+180</f>
        <v>46207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TEXT(Setup!$C$5+180,"dddd")</f>
        <v>Saturday</v>
      </c>
      <c r="B116" s="13" t="n">
        <f aca="false">Setup!$C$5+180</f>
        <v>46207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TEXT(Setup!$C$5+180,"dddd")</f>
        <v>Saturday</v>
      </c>
      <c r="B117" s="13" t="n">
        <f aca="false">Setup!$C$5+180</f>
        <v>46207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TEXT(Setup!$C$5+180,"dddd")</f>
        <v>Saturday</v>
      </c>
      <c r="B118" s="13" t="n">
        <f aca="false">Setup!$C$5+180</f>
        <v>46207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TEXT(Setup!$C$5+180,"dddd")</f>
        <v>Saturday</v>
      </c>
      <c r="B119" s="13" t="n">
        <f aca="false">Setup!$C$5+180</f>
        <v>46207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TEXT(Setup!$C$5+180,"dddd")</f>
        <v>Saturday</v>
      </c>
      <c r="B120" s="13" t="n">
        <f aca="false">Setup!$C$5+180</f>
        <v>46207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TEXT(Setup!$C$5+180,"dddd")</f>
        <v>Saturday</v>
      </c>
      <c r="B121" s="13" t="n">
        <f aca="false">Setup!$C$5+180</f>
        <v>46207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TEXT(Setup!$C$5+180,"dddd")</f>
        <v>Saturday</v>
      </c>
      <c r="B122" s="13" t="n">
        <f aca="false">Setup!$C$5+180</f>
        <v>46207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TEXT(Setup!$C$5+180,"dddd")</f>
        <v>Saturday</v>
      </c>
      <c r="B123" s="13" t="n">
        <f aca="false">Setup!$C$5+180</f>
        <v>46207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TEXT(Setup!$C$5+180,"dddd")</f>
        <v>Saturday</v>
      </c>
      <c r="B124" s="13" t="n">
        <f aca="false">Setup!$C$5+180</f>
        <v>46207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TEXT(Setup!$C$5+180,"dddd")</f>
        <v>Saturday</v>
      </c>
      <c r="B125" s="13" t="n">
        <f aca="false">Setup!$C$5+180</f>
        <v>46207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TEXT(Setup!$C$5+180,"dddd")</f>
        <v>Saturday</v>
      </c>
      <c r="B126" s="13" t="n">
        <f aca="false">Setup!$C$5+180</f>
        <v>46207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TEXT(Setup!$C$5+180,"dddd")</f>
        <v>Saturday</v>
      </c>
      <c r="B127" s="13" t="n">
        <f aca="false">Setup!$C$5+180</f>
        <v>46207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TEXT(Setup!$C$5+180,"dddd")</f>
        <v>Saturday</v>
      </c>
      <c r="B128" s="13" t="n">
        <f aca="false">Setup!$C$5+180</f>
        <v>46207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TEXT(Setup!$C$5+180,"dddd")</f>
        <v>Saturday</v>
      </c>
      <c r="B129" s="13" t="n">
        <f aca="false">Setup!$C$5+180</f>
        <v>46207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TEXT(Setup!$C$5+180,"dddd")</f>
        <v>Saturday</v>
      </c>
      <c r="B130" s="13" t="n">
        <f aca="false">Setup!$C$5+180</f>
        <v>46207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TEXT(Setup!$C$5+180,"dddd")</f>
        <v>Saturday</v>
      </c>
      <c r="B131" s="13" t="n">
        <f aca="false">Setup!$C$5+180</f>
        <v>46207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TEXT(Setup!$C$5+180,"dddd")</f>
        <v>Saturday</v>
      </c>
      <c r="B132" s="13" t="n">
        <f aca="false">Setup!$C$5+180</f>
        <v>46207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TEXT(Setup!$C$5+180,"dddd")</f>
        <v>Saturday</v>
      </c>
      <c r="B133" s="23" t="n">
        <f aca="false">Setup!$C$5+180</f>
        <v>46207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IFERROR(H133-Wk25!H133,"")</f>
        <v>0</v>
      </c>
      <c r="O133" s="24" t="n">
        <f aca="false">IFERROR(D133-Wk25!D133,"")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TEXT(Setup!$C$5+181,"dddd")</f>
        <v>Sunday</v>
      </c>
      <c r="B134" s="13" t="n">
        <f aca="false">Setup!$C$5+181</f>
        <v>46208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TEXT(Setup!$C$5+181,"dddd")</f>
        <v>Sunday</v>
      </c>
      <c r="B135" s="13" t="n">
        <f aca="false">Setup!$C$5+181</f>
        <v>46208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TEXT(Setup!$C$5+181,"dddd")</f>
        <v>Sunday</v>
      </c>
      <c r="B136" s="13" t="n">
        <f aca="false">Setup!$C$5+181</f>
        <v>46208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TEXT(Setup!$C$5+181,"dddd")</f>
        <v>Sunday</v>
      </c>
      <c r="B137" s="13" t="n">
        <f aca="false">Setup!$C$5+181</f>
        <v>46208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TEXT(Setup!$C$5+181,"dddd")</f>
        <v>Sunday</v>
      </c>
      <c r="B138" s="13" t="n">
        <f aca="false">Setup!$C$5+181</f>
        <v>46208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TEXT(Setup!$C$5+181,"dddd")</f>
        <v>Sunday</v>
      </c>
      <c r="B139" s="13" t="n">
        <f aca="false">Setup!$C$5+181</f>
        <v>46208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TEXT(Setup!$C$5+181,"dddd")</f>
        <v>Sunday</v>
      </c>
      <c r="B140" s="13" t="n">
        <f aca="false">Setup!$C$5+181</f>
        <v>46208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TEXT(Setup!$C$5+181,"dddd")</f>
        <v>Sunday</v>
      </c>
      <c r="B141" s="13" t="n">
        <f aca="false">Setup!$C$5+181</f>
        <v>46208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TEXT(Setup!$C$5+181,"dddd")</f>
        <v>Sunday</v>
      </c>
      <c r="B142" s="13" t="n">
        <f aca="false">Setup!$C$5+181</f>
        <v>46208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TEXT(Setup!$C$5+181,"dddd")</f>
        <v>Sunday</v>
      </c>
      <c r="B143" s="13" t="n">
        <f aca="false">Setup!$C$5+181</f>
        <v>46208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TEXT(Setup!$C$5+181,"dddd")</f>
        <v>Sunday</v>
      </c>
      <c r="B144" s="13" t="n">
        <f aca="false">Setup!$C$5+181</f>
        <v>46208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TEXT(Setup!$C$5+181,"dddd")</f>
        <v>Sunday</v>
      </c>
      <c r="B145" s="13" t="n">
        <f aca="false">Setup!$C$5+181</f>
        <v>46208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TEXT(Setup!$C$5+181,"dddd")</f>
        <v>Sunday</v>
      </c>
      <c r="B146" s="13" t="n">
        <f aca="false">Setup!$C$5+181</f>
        <v>46208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TEXT(Setup!$C$5+181,"dddd")</f>
        <v>Sunday</v>
      </c>
      <c r="B147" s="13" t="n">
        <f aca="false">Setup!$C$5+181</f>
        <v>46208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TEXT(Setup!$C$5+181,"dddd")</f>
        <v>Sunday</v>
      </c>
      <c r="B148" s="13" t="n">
        <f aca="false">Setup!$C$5+181</f>
        <v>46208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TEXT(Setup!$C$5+181,"dddd")</f>
        <v>Sunday</v>
      </c>
      <c r="B149" s="13" t="n">
        <f aca="false">Setup!$C$5+181</f>
        <v>46208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TEXT(Setup!$C$5+181,"dddd")</f>
        <v>Sunday</v>
      </c>
      <c r="B150" s="13" t="n">
        <f aca="false">Setup!$C$5+181</f>
        <v>46208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TEXT(Setup!$C$5+181,"dddd")</f>
        <v>Sunday</v>
      </c>
      <c r="B151" s="13" t="n">
        <f aca="false">Setup!$C$5+181</f>
        <v>46208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TEXT(Setup!$C$5+181,"dddd")</f>
        <v>Sunday</v>
      </c>
      <c r="B152" s="13" t="n">
        <f aca="false">Setup!$C$5+181</f>
        <v>46208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TEXT(Setup!$C$5+181,"dddd")</f>
        <v>Sunday</v>
      </c>
      <c r="B153" s="13" t="n">
        <f aca="false">Setup!$C$5+181</f>
        <v>46208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TEXT(Setup!$C$5+181,"dddd")</f>
        <v>Sunday</v>
      </c>
      <c r="B154" s="13" t="n">
        <f aca="false">Setup!$C$5+181</f>
        <v>46208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TEXT(Setup!$C$5+181,"dddd")</f>
        <v>Sunday</v>
      </c>
      <c r="B155" s="23" t="n">
        <f aca="false">Setup!$C$5+181</f>
        <v>46208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IFERROR(H155-Wk25!H155,"")</f>
        <v>0</v>
      </c>
      <c r="O155" s="24" t="n">
        <f aca="false">IFERROR(D155-Wk25!D155,"")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IFERROR(D156-Wk25!D156,"")</f>
        <v>0</v>
      </c>
      <c r="E157" s="34" t="n">
        <f aca="false">IFERROR(E156-Wk25!E156,"")</f>
        <v>0</v>
      </c>
      <c r="H157" s="32" t="n">
        <f aca="false">IFERROR(H156-Wk25!H156,"")</f>
        <v>0</v>
      </c>
      <c r="K157" s="32" t="n">
        <f aca="false">IFERROR(K156-Wk25!K156,"")</f>
        <v>0</v>
      </c>
      <c r="M157" s="32" t="n">
        <f aca="false">IFERROR(M156-Wk25!M156,"")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TEXT(Setup!$C$5+182,"dddd")</f>
        <v>Monday</v>
      </c>
      <c r="B2" s="13" t="n">
        <f aca="false">Setup!$C$5+182</f>
        <v>46209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TEXT(Setup!$C$5+182,"dddd")</f>
        <v>Monday</v>
      </c>
      <c r="B3" s="13" t="n">
        <f aca="false">Setup!$C$5+182</f>
        <v>46209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TEXT(Setup!$C$5+182,"dddd")</f>
        <v>Monday</v>
      </c>
      <c r="B4" s="13" t="n">
        <f aca="false">Setup!$C$5+182</f>
        <v>46209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TEXT(Setup!$C$5+182,"dddd")</f>
        <v>Monday</v>
      </c>
      <c r="B5" s="13" t="n">
        <f aca="false">Setup!$C$5+182</f>
        <v>46209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TEXT(Setup!$C$5+182,"dddd")</f>
        <v>Monday</v>
      </c>
      <c r="B6" s="13" t="n">
        <f aca="false">Setup!$C$5+182</f>
        <v>46209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TEXT(Setup!$C$5+182,"dddd")</f>
        <v>Monday</v>
      </c>
      <c r="B7" s="13" t="n">
        <f aca="false">Setup!$C$5+182</f>
        <v>46209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TEXT(Setup!$C$5+182,"dddd")</f>
        <v>Monday</v>
      </c>
      <c r="B8" s="13" t="n">
        <f aca="false">Setup!$C$5+182</f>
        <v>46209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TEXT(Setup!$C$5+182,"dddd")</f>
        <v>Monday</v>
      </c>
      <c r="B9" s="13" t="n">
        <f aca="false">Setup!$C$5+182</f>
        <v>46209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TEXT(Setup!$C$5+182,"dddd")</f>
        <v>Monday</v>
      </c>
      <c r="B10" s="13" t="n">
        <f aca="false">Setup!$C$5+182</f>
        <v>46209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TEXT(Setup!$C$5+182,"dddd")</f>
        <v>Monday</v>
      </c>
      <c r="B11" s="13" t="n">
        <f aca="false">Setup!$C$5+182</f>
        <v>46209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TEXT(Setup!$C$5+182,"dddd")</f>
        <v>Monday</v>
      </c>
      <c r="B12" s="13" t="n">
        <f aca="false">Setup!$C$5+182</f>
        <v>46209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TEXT(Setup!$C$5+182,"dddd")</f>
        <v>Monday</v>
      </c>
      <c r="B13" s="13" t="n">
        <f aca="false">Setup!$C$5+182</f>
        <v>46209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TEXT(Setup!$C$5+182,"dddd")</f>
        <v>Monday</v>
      </c>
      <c r="B14" s="13" t="n">
        <f aca="false">Setup!$C$5+182</f>
        <v>46209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TEXT(Setup!$C$5+182,"dddd")</f>
        <v>Monday</v>
      </c>
      <c r="B15" s="13" t="n">
        <f aca="false">Setup!$C$5+182</f>
        <v>46209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TEXT(Setup!$C$5+182,"dddd")</f>
        <v>Monday</v>
      </c>
      <c r="B16" s="13" t="n">
        <f aca="false">Setup!$C$5+182</f>
        <v>46209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TEXT(Setup!$C$5+182,"dddd")</f>
        <v>Monday</v>
      </c>
      <c r="B17" s="13" t="n">
        <f aca="false">Setup!$C$5+182</f>
        <v>46209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TEXT(Setup!$C$5+182,"dddd")</f>
        <v>Monday</v>
      </c>
      <c r="B18" s="13" t="n">
        <f aca="false">Setup!$C$5+182</f>
        <v>46209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TEXT(Setup!$C$5+182,"dddd")</f>
        <v>Monday</v>
      </c>
      <c r="B19" s="13" t="n">
        <f aca="false">Setup!$C$5+182</f>
        <v>46209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TEXT(Setup!$C$5+182,"dddd")</f>
        <v>Monday</v>
      </c>
      <c r="B20" s="13" t="n">
        <f aca="false">Setup!$C$5+182</f>
        <v>46209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TEXT(Setup!$C$5+182,"dddd")</f>
        <v>Monday</v>
      </c>
      <c r="B21" s="13" t="n">
        <f aca="false">Setup!$C$5+182</f>
        <v>46209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TEXT(Setup!$C$5+182,"dddd")</f>
        <v>Monday</v>
      </c>
      <c r="B22" s="13" t="n">
        <f aca="false">Setup!$C$5+182</f>
        <v>46209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TEXT(Setup!$C$5+182,"dddd")</f>
        <v>Monday</v>
      </c>
      <c r="B23" s="23" t="n">
        <f aca="false">Setup!$C$5+182</f>
        <v>46209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IFERROR(H23-Wk26!H23,"")</f>
        <v>0</v>
      </c>
      <c r="O23" s="24" t="n">
        <f aca="false">IFERROR(D23-Wk26!D23,"")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TEXT(Setup!$C$5+183,"dddd")</f>
        <v>Tuesday</v>
      </c>
      <c r="B24" s="13" t="n">
        <f aca="false">Setup!$C$5+183</f>
        <v>46210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TEXT(Setup!$C$5+183,"dddd")</f>
        <v>Tuesday</v>
      </c>
      <c r="B25" s="13" t="n">
        <f aca="false">Setup!$C$5+183</f>
        <v>46210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TEXT(Setup!$C$5+183,"dddd")</f>
        <v>Tuesday</v>
      </c>
      <c r="B26" s="13" t="n">
        <f aca="false">Setup!$C$5+183</f>
        <v>46210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TEXT(Setup!$C$5+183,"dddd")</f>
        <v>Tuesday</v>
      </c>
      <c r="B27" s="13" t="n">
        <f aca="false">Setup!$C$5+183</f>
        <v>46210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TEXT(Setup!$C$5+183,"dddd")</f>
        <v>Tuesday</v>
      </c>
      <c r="B28" s="13" t="n">
        <f aca="false">Setup!$C$5+183</f>
        <v>46210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TEXT(Setup!$C$5+183,"dddd")</f>
        <v>Tuesday</v>
      </c>
      <c r="B29" s="13" t="n">
        <f aca="false">Setup!$C$5+183</f>
        <v>46210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TEXT(Setup!$C$5+183,"dddd")</f>
        <v>Tuesday</v>
      </c>
      <c r="B30" s="13" t="n">
        <f aca="false">Setup!$C$5+183</f>
        <v>46210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TEXT(Setup!$C$5+183,"dddd")</f>
        <v>Tuesday</v>
      </c>
      <c r="B31" s="13" t="n">
        <f aca="false">Setup!$C$5+183</f>
        <v>46210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TEXT(Setup!$C$5+183,"dddd")</f>
        <v>Tuesday</v>
      </c>
      <c r="B32" s="13" t="n">
        <f aca="false">Setup!$C$5+183</f>
        <v>46210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TEXT(Setup!$C$5+183,"dddd")</f>
        <v>Tuesday</v>
      </c>
      <c r="B33" s="13" t="n">
        <f aca="false">Setup!$C$5+183</f>
        <v>46210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TEXT(Setup!$C$5+183,"dddd")</f>
        <v>Tuesday</v>
      </c>
      <c r="B34" s="13" t="n">
        <f aca="false">Setup!$C$5+183</f>
        <v>46210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TEXT(Setup!$C$5+183,"dddd")</f>
        <v>Tuesday</v>
      </c>
      <c r="B35" s="13" t="n">
        <f aca="false">Setup!$C$5+183</f>
        <v>46210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TEXT(Setup!$C$5+183,"dddd")</f>
        <v>Tuesday</v>
      </c>
      <c r="B36" s="13" t="n">
        <f aca="false">Setup!$C$5+183</f>
        <v>46210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TEXT(Setup!$C$5+183,"dddd")</f>
        <v>Tuesday</v>
      </c>
      <c r="B37" s="13" t="n">
        <f aca="false">Setup!$C$5+183</f>
        <v>46210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TEXT(Setup!$C$5+183,"dddd")</f>
        <v>Tuesday</v>
      </c>
      <c r="B38" s="13" t="n">
        <f aca="false">Setup!$C$5+183</f>
        <v>46210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TEXT(Setup!$C$5+183,"dddd")</f>
        <v>Tuesday</v>
      </c>
      <c r="B39" s="13" t="n">
        <f aca="false">Setup!$C$5+183</f>
        <v>46210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TEXT(Setup!$C$5+183,"dddd")</f>
        <v>Tuesday</v>
      </c>
      <c r="B40" s="13" t="n">
        <f aca="false">Setup!$C$5+183</f>
        <v>46210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TEXT(Setup!$C$5+183,"dddd")</f>
        <v>Tuesday</v>
      </c>
      <c r="B41" s="13" t="n">
        <f aca="false">Setup!$C$5+183</f>
        <v>46210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TEXT(Setup!$C$5+183,"dddd")</f>
        <v>Tuesday</v>
      </c>
      <c r="B42" s="13" t="n">
        <f aca="false">Setup!$C$5+183</f>
        <v>46210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TEXT(Setup!$C$5+183,"dddd")</f>
        <v>Tuesday</v>
      </c>
      <c r="B43" s="13" t="n">
        <f aca="false">Setup!$C$5+183</f>
        <v>46210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TEXT(Setup!$C$5+183,"dddd")</f>
        <v>Tuesday</v>
      </c>
      <c r="B44" s="13" t="n">
        <f aca="false">Setup!$C$5+183</f>
        <v>46210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TEXT(Setup!$C$5+183,"dddd")</f>
        <v>Tuesday</v>
      </c>
      <c r="B45" s="23" t="n">
        <f aca="false">Setup!$C$5+183</f>
        <v>46210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IFERROR(H45-Wk26!H45,"")</f>
        <v>0</v>
      </c>
      <c r="O45" s="24" t="n">
        <f aca="false">IFERROR(D45-Wk26!D45,"")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TEXT(Setup!$C$5+184,"dddd")</f>
        <v>Wednesday</v>
      </c>
      <c r="B46" s="13" t="n">
        <f aca="false">Setup!$C$5+184</f>
        <v>46211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TEXT(Setup!$C$5+184,"dddd")</f>
        <v>Wednesday</v>
      </c>
      <c r="B47" s="13" t="n">
        <f aca="false">Setup!$C$5+184</f>
        <v>46211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TEXT(Setup!$C$5+184,"dddd")</f>
        <v>Wednesday</v>
      </c>
      <c r="B48" s="13" t="n">
        <f aca="false">Setup!$C$5+184</f>
        <v>46211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TEXT(Setup!$C$5+184,"dddd")</f>
        <v>Wednesday</v>
      </c>
      <c r="B49" s="13" t="n">
        <f aca="false">Setup!$C$5+184</f>
        <v>46211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TEXT(Setup!$C$5+184,"dddd")</f>
        <v>Wednesday</v>
      </c>
      <c r="B50" s="13" t="n">
        <f aca="false">Setup!$C$5+184</f>
        <v>46211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TEXT(Setup!$C$5+184,"dddd")</f>
        <v>Wednesday</v>
      </c>
      <c r="B51" s="13" t="n">
        <f aca="false">Setup!$C$5+184</f>
        <v>46211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TEXT(Setup!$C$5+184,"dddd")</f>
        <v>Wednesday</v>
      </c>
      <c r="B52" s="13" t="n">
        <f aca="false">Setup!$C$5+184</f>
        <v>46211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TEXT(Setup!$C$5+184,"dddd")</f>
        <v>Wednesday</v>
      </c>
      <c r="B53" s="13" t="n">
        <f aca="false">Setup!$C$5+184</f>
        <v>46211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TEXT(Setup!$C$5+184,"dddd")</f>
        <v>Wednesday</v>
      </c>
      <c r="B54" s="13" t="n">
        <f aca="false">Setup!$C$5+184</f>
        <v>46211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TEXT(Setup!$C$5+184,"dddd")</f>
        <v>Wednesday</v>
      </c>
      <c r="B55" s="13" t="n">
        <f aca="false">Setup!$C$5+184</f>
        <v>46211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TEXT(Setup!$C$5+184,"dddd")</f>
        <v>Wednesday</v>
      </c>
      <c r="B56" s="13" t="n">
        <f aca="false">Setup!$C$5+184</f>
        <v>46211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TEXT(Setup!$C$5+184,"dddd")</f>
        <v>Wednesday</v>
      </c>
      <c r="B57" s="13" t="n">
        <f aca="false">Setup!$C$5+184</f>
        <v>46211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TEXT(Setup!$C$5+184,"dddd")</f>
        <v>Wednesday</v>
      </c>
      <c r="B58" s="13" t="n">
        <f aca="false">Setup!$C$5+184</f>
        <v>46211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TEXT(Setup!$C$5+184,"dddd")</f>
        <v>Wednesday</v>
      </c>
      <c r="B59" s="13" t="n">
        <f aca="false">Setup!$C$5+184</f>
        <v>46211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TEXT(Setup!$C$5+184,"dddd")</f>
        <v>Wednesday</v>
      </c>
      <c r="B60" s="13" t="n">
        <f aca="false">Setup!$C$5+184</f>
        <v>46211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TEXT(Setup!$C$5+184,"dddd")</f>
        <v>Wednesday</v>
      </c>
      <c r="B61" s="13" t="n">
        <f aca="false">Setup!$C$5+184</f>
        <v>46211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TEXT(Setup!$C$5+184,"dddd")</f>
        <v>Wednesday</v>
      </c>
      <c r="B62" s="13" t="n">
        <f aca="false">Setup!$C$5+184</f>
        <v>46211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TEXT(Setup!$C$5+184,"dddd")</f>
        <v>Wednesday</v>
      </c>
      <c r="B63" s="13" t="n">
        <f aca="false">Setup!$C$5+184</f>
        <v>46211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TEXT(Setup!$C$5+184,"dddd")</f>
        <v>Wednesday</v>
      </c>
      <c r="B64" s="13" t="n">
        <f aca="false">Setup!$C$5+184</f>
        <v>46211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TEXT(Setup!$C$5+184,"dddd")</f>
        <v>Wednesday</v>
      </c>
      <c r="B65" s="13" t="n">
        <f aca="false">Setup!$C$5+184</f>
        <v>46211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TEXT(Setup!$C$5+184,"dddd")</f>
        <v>Wednesday</v>
      </c>
      <c r="B66" s="13" t="n">
        <f aca="false">Setup!$C$5+184</f>
        <v>46211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TEXT(Setup!$C$5+184,"dddd")</f>
        <v>Wednesday</v>
      </c>
      <c r="B67" s="23" t="n">
        <f aca="false">Setup!$C$5+184</f>
        <v>46211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IFERROR(H67-Wk26!H67,"")</f>
        <v>0</v>
      </c>
      <c r="O67" s="24" t="n">
        <f aca="false">IFERROR(D67-Wk26!D67,"")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TEXT(Setup!$C$5+185,"dddd")</f>
        <v>Thursday</v>
      </c>
      <c r="B68" s="13" t="n">
        <f aca="false">Setup!$C$5+185</f>
        <v>46212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TEXT(Setup!$C$5+185,"dddd")</f>
        <v>Thursday</v>
      </c>
      <c r="B69" s="13" t="n">
        <f aca="false">Setup!$C$5+185</f>
        <v>46212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TEXT(Setup!$C$5+185,"dddd")</f>
        <v>Thursday</v>
      </c>
      <c r="B70" s="13" t="n">
        <f aca="false">Setup!$C$5+185</f>
        <v>46212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TEXT(Setup!$C$5+185,"dddd")</f>
        <v>Thursday</v>
      </c>
      <c r="B71" s="13" t="n">
        <f aca="false">Setup!$C$5+185</f>
        <v>46212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TEXT(Setup!$C$5+185,"dddd")</f>
        <v>Thursday</v>
      </c>
      <c r="B72" s="13" t="n">
        <f aca="false">Setup!$C$5+185</f>
        <v>46212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TEXT(Setup!$C$5+185,"dddd")</f>
        <v>Thursday</v>
      </c>
      <c r="B73" s="13" t="n">
        <f aca="false">Setup!$C$5+185</f>
        <v>46212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TEXT(Setup!$C$5+185,"dddd")</f>
        <v>Thursday</v>
      </c>
      <c r="B74" s="13" t="n">
        <f aca="false">Setup!$C$5+185</f>
        <v>46212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TEXT(Setup!$C$5+185,"dddd")</f>
        <v>Thursday</v>
      </c>
      <c r="B75" s="13" t="n">
        <f aca="false">Setup!$C$5+185</f>
        <v>46212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TEXT(Setup!$C$5+185,"dddd")</f>
        <v>Thursday</v>
      </c>
      <c r="B76" s="13" t="n">
        <f aca="false">Setup!$C$5+185</f>
        <v>46212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TEXT(Setup!$C$5+185,"dddd")</f>
        <v>Thursday</v>
      </c>
      <c r="B77" s="13" t="n">
        <f aca="false">Setup!$C$5+185</f>
        <v>46212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TEXT(Setup!$C$5+185,"dddd")</f>
        <v>Thursday</v>
      </c>
      <c r="B78" s="13" t="n">
        <f aca="false">Setup!$C$5+185</f>
        <v>46212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TEXT(Setup!$C$5+185,"dddd")</f>
        <v>Thursday</v>
      </c>
      <c r="B79" s="13" t="n">
        <f aca="false">Setup!$C$5+185</f>
        <v>46212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TEXT(Setup!$C$5+185,"dddd")</f>
        <v>Thursday</v>
      </c>
      <c r="B80" s="13" t="n">
        <f aca="false">Setup!$C$5+185</f>
        <v>46212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TEXT(Setup!$C$5+185,"dddd")</f>
        <v>Thursday</v>
      </c>
      <c r="B81" s="13" t="n">
        <f aca="false">Setup!$C$5+185</f>
        <v>46212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TEXT(Setup!$C$5+185,"dddd")</f>
        <v>Thursday</v>
      </c>
      <c r="B82" s="13" t="n">
        <f aca="false">Setup!$C$5+185</f>
        <v>46212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TEXT(Setup!$C$5+185,"dddd")</f>
        <v>Thursday</v>
      </c>
      <c r="B83" s="13" t="n">
        <f aca="false">Setup!$C$5+185</f>
        <v>46212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TEXT(Setup!$C$5+185,"dddd")</f>
        <v>Thursday</v>
      </c>
      <c r="B84" s="13" t="n">
        <f aca="false">Setup!$C$5+185</f>
        <v>46212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TEXT(Setup!$C$5+185,"dddd")</f>
        <v>Thursday</v>
      </c>
      <c r="B85" s="13" t="n">
        <f aca="false">Setup!$C$5+185</f>
        <v>46212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TEXT(Setup!$C$5+185,"dddd")</f>
        <v>Thursday</v>
      </c>
      <c r="B86" s="13" t="n">
        <f aca="false">Setup!$C$5+185</f>
        <v>46212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TEXT(Setup!$C$5+185,"dddd")</f>
        <v>Thursday</v>
      </c>
      <c r="B87" s="13" t="n">
        <f aca="false">Setup!$C$5+185</f>
        <v>46212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TEXT(Setup!$C$5+185,"dddd")</f>
        <v>Thursday</v>
      </c>
      <c r="B88" s="13" t="n">
        <f aca="false">Setup!$C$5+185</f>
        <v>46212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TEXT(Setup!$C$5+185,"dddd")</f>
        <v>Thursday</v>
      </c>
      <c r="B89" s="23" t="n">
        <f aca="false">Setup!$C$5+185</f>
        <v>46212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IFERROR(H89-Wk26!H89,"")</f>
        <v>0</v>
      </c>
      <c r="O89" s="24" t="n">
        <f aca="false">IFERROR(D89-Wk26!D89,"")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TEXT(Setup!$C$5+186,"dddd")</f>
        <v>Friday</v>
      </c>
      <c r="B90" s="13" t="n">
        <f aca="false">Setup!$C$5+186</f>
        <v>46213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TEXT(Setup!$C$5+186,"dddd")</f>
        <v>Friday</v>
      </c>
      <c r="B91" s="13" t="n">
        <f aca="false">Setup!$C$5+186</f>
        <v>46213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TEXT(Setup!$C$5+186,"dddd")</f>
        <v>Friday</v>
      </c>
      <c r="B92" s="13" t="n">
        <f aca="false">Setup!$C$5+186</f>
        <v>46213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TEXT(Setup!$C$5+186,"dddd")</f>
        <v>Friday</v>
      </c>
      <c r="B93" s="13" t="n">
        <f aca="false">Setup!$C$5+186</f>
        <v>46213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TEXT(Setup!$C$5+186,"dddd")</f>
        <v>Friday</v>
      </c>
      <c r="B94" s="13" t="n">
        <f aca="false">Setup!$C$5+186</f>
        <v>46213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TEXT(Setup!$C$5+186,"dddd")</f>
        <v>Friday</v>
      </c>
      <c r="B95" s="13" t="n">
        <f aca="false">Setup!$C$5+186</f>
        <v>46213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TEXT(Setup!$C$5+186,"dddd")</f>
        <v>Friday</v>
      </c>
      <c r="B96" s="13" t="n">
        <f aca="false">Setup!$C$5+186</f>
        <v>46213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TEXT(Setup!$C$5+186,"dddd")</f>
        <v>Friday</v>
      </c>
      <c r="B97" s="13" t="n">
        <f aca="false">Setup!$C$5+186</f>
        <v>46213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TEXT(Setup!$C$5+186,"dddd")</f>
        <v>Friday</v>
      </c>
      <c r="B98" s="13" t="n">
        <f aca="false">Setup!$C$5+186</f>
        <v>46213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TEXT(Setup!$C$5+186,"dddd")</f>
        <v>Friday</v>
      </c>
      <c r="B99" s="13" t="n">
        <f aca="false">Setup!$C$5+186</f>
        <v>46213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TEXT(Setup!$C$5+186,"dddd")</f>
        <v>Friday</v>
      </c>
      <c r="B100" s="13" t="n">
        <f aca="false">Setup!$C$5+186</f>
        <v>46213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TEXT(Setup!$C$5+186,"dddd")</f>
        <v>Friday</v>
      </c>
      <c r="B101" s="13" t="n">
        <f aca="false">Setup!$C$5+186</f>
        <v>46213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TEXT(Setup!$C$5+186,"dddd")</f>
        <v>Friday</v>
      </c>
      <c r="B102" s="13" t="n">
        <f aca="false">Setup!$C$5+186</f>
        <v>46213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TEXT(Setup!$C$5+186,"dddd")</f>
        <v>Friday</v>
      </c>
      <c r="B103" s="13" t="n">
        <f aca="false">Setup!$C$5+186</f>
        <v>46213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TEXT(Setup!$C$5+186,"dddd")</f>
        <v>Friday</v>
      </c>
      <c r="B104" s="13" t="n">
        <f aca="false">Setup!$C$5+186</f>
        <v>46213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TEXT(Setup!$C$5+186,"dddd")</f>
        <v>Friday</v>
      </c>
      <c r="B105" s="13" t="n">
        <f aca="false">Setup!$C$5+186</f>
        <v>46213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TEXT(Setup!$C$5+186,"dddd")</f>
        <v>Friday</v>
      </c>
      <c r="B106" s="13" t="n">
        <f aca="false">Setup!$C$5+186</f>
        <v>46213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TEXT(Setup!$C$5+186,"dddd")</f>
        <v>Friday</v>
      </c>
      <c r="B107" s="13" t="n">
        <f aca="false">Setup!$C$5+186</f>
        <v>46213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TEXT(Setup!$C$5+186,"dddd")</f>
        <v>Friday</v>
      </c>
      <c r="B108" s="13" t="n">
        <f aca="false">Setup!$C$5+186</f>
        <v>46213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TEXT(Setup!$C$5+186,"dddd")</f>
        <v>Friday</v>
      </c>
      <c r="B109" s="13" t="n">
        <f aca="false">Setup!$C$5+186</f>
        <v>46213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TEXT(Setup!$C$5+186,"dddd")</f>
        <v>Friday</v>
      </c>
      <c r="B110" s="13" t="n">
        <f aca="false">Setup!$C$5+186</f>
        <v>46213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TEXT(Setup!$C$5+186,"dddd")</f>
        <v>Friday</v>
      </c>
      <c r="B111" s="23" t="n">
        <f aca="false">Setup!$C$5+186</f>
        <v>46213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IFERROR(H111-Wk26!H111,"")</f>
        <v>0</v>
      </c>
      <c r="O111" s="24" t="n">
        <f aca="false">IFERROR(D111-Wk26!D111,"")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TEXT(Setup!$C$5+187,"dddd")</f>
        <v>Saturday</v>
      </c>
      <c r="B112" s="13" t="n">
        <f aca="false">Setup!$C$5+187</f>
        <v>46214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TEXT(Setup!$C$5+187,"dddd")</f>
        <v>Saturday</v>
      </c>
      <c r="B113" s="13" t="n">
        <f aca="false">Setup!$C$5+187</f>
        <v>46214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TEXT(Setup!$C$5+187,"dddd")</f>
        <v>Saturday</v>
      </c>
      <c r="B114" s="13" t="n">
        <f aca="false">Setup!$C$5+187</f>
        <v>46214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TEXT(Setup!$C$5+187,"dddd")</f>
        <v>Saturday</v>
      </c>
      <c r="B115" s="13" t="n">
        <f aca="false">Setup!$C$5+187</f>
        <v>46214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TEXT(Setup!$C$5+187,"dddd")</f>
        <v>Saturday</v>
      </c>
      <c r="B116" s="13" t="n">
        <f aca="false">Setup!$C$5+187</f>
        <v>46214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TEXT(Setup!$C$5+187,"dddd")</f>
        <v>Saturday</v>
      </c>
      <c r="B117" s="13" t="n">
        <f aca="false">Setup!$C$5+187</f>
        <v>46214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TEXT(Setup!$C$5+187,"dddd")</f>
        <v>Saturday</v>
      </c>
      <c r="B118" s="13" t="n">
        <f aca="false">Setup!$C$5+187</f>
        <v>46214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TEXT(Setup!$C$5+187,"dddd")</f>
        <v>Saturday</v>
      </c>
      <c r="B119" s="13" t="n">
        <f aca="false">Setup!$C$5+187</f>
        <v>46214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TEXT(Setup!$C$5+187,"dddd")</f>
        <v>Saturday</v>
      </c>
      <c r="B120" s="13" t="n">
        <f aca="false">Setup!$C$5+187</f>
        <v>46214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TEXT(Setup!$C$5+187,"dddd")</f>
        <v>Saturday</v>
      </c>
      <c r="B121" s="13" t="n">
        <f aca="false">Setup!$C$5+187</f>
        <v>46214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TEXT(Setup!$C$5+187,"dddd")</f>
        <v>Saturday</v>
      </c>
      <c r="B122" s="13" t="n">
        <f aca="false">Setup!$C$5+187</f>
        <v>46214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TEXT(Setup!$C$5+187,"dddd")</f>
        <v>Saturday</v>
      </c>
      <c r="B123" s="13" t="n">
        <f aca="false">Setup!$C$5+187</f>
        <v>46214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TEXT(Setup!$C$5+187,"dddd")</f>
        <v>Saturday</v>
      </c>
      <c r="B124" s="13" t="n">
        <f aca="false">Setup!$C$5+187</f>
        <v>46214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TEXT(Setup!$C$5+187,"dddd")</f>
        <v>Saturday</v>
      </c>
      <c r="B125" s="13" t="n">
        <f aca="false">Setup!$C$5+187</f>
        <v>46214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TEXT(Setup!$C$5+187,"dddd")</f>
        <v>Saturday</v>
      </c>
      <c r="B126" s="13" t="n">
        <f aca="false">Setup!$C$5+187</f>
        <v>46214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TEXT(Setup!$C$5+187,"dddd")</f>
        <v>Saturday</v>
      </c>
      <c r="B127" s="13" t="n">
        <f aca="false">Setup!$C$5+187</f>
        <v>46214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TEXT(Setup!$C$5+187,"dddd")</f>
        <v>Saturday</v>
      </c>
      <c r="B128" s="13" t="n">
        <f aca="false">Setup!$C$5+187</f>
        <v>46214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TEXT(Setup!$C$5+187,"dddd")</f>
        <v>Saturday</v>
      </c>
      <c r="B129" s="13" t="n">
        <f aca="false">Setup!$C$5+187</f>
        <v>46214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TEXT(Setup!$C$5+187,"dddd")</f>
        <v>Saturday</v>
      </c>
      <c r="B130" s="13" t="n">
        <f aca="false">Setup!$C$5+187</f>
        <v>46214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TEXT(Setup!$C$5+187,"dddd")</f>
        <v>Saturday</v>
      </c>
      <c r="B131" s="13" t="n">
        <f aca="false">Setup!$C$5+187</f>
        <v>46214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TEXT(Setup!$C$5+187,"dddd")</f>
        <v>Saturday</v>
      </c>
      <c r="B132" s="13" t="n">
        <f aca="false">Setup!$C$5+187</f>
        <v>46214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TEXT(Setup!$C$5+187,"dddd")</f>
        <v>Saturday</v>
      </c>
      <c r="B133" s="23" t="n">
        <f aca="false">Setup!$C$5+187</f>
        <v>46214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IFERROR(H133-Wk26!H133,"")</f>
        <v>0</v>
      </c>
      <c r="O133" s="24" t="n">
        <f aca="false">IFERROR(D133-Wk26!D133,"")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TEXT(Setup!$C$5+188,"dddd")</f>
        <v>Sunday</v>
      </c>
      <c r="B134" s="13" t="n">
        <f aca="false">Setup!$C$5+188</f>
        <v>46215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TEXT(Setup!$C$5+188,"dddd")</f>
        <v>Sunday</v>
      </c>
      <c r="B135" s="13" t="n">
        <f aca="false">Setup!$C$5+188</f>
        <v>46215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TEXT(Setup!$C$5+188,"dddd")</f>
        <v>Sunday</v>
      </c>
      <c r="B136" s="13" t="n">
        <f aca="false">Setup!$C$5+188</f>
        <v>46215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TEXT(Setup!$C$5+188,"dddd")</f>
        <v>Sunday</v>
      </c>
      <c r="B137" s="13" t="n">
        <f aca="false">Setup!$C$5+188</f>
        <v>46215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TEXT(Setup!$C$5+188,"dddd")</f>
        <v>Sunday</v>
      </c>
      <c r="B138" s="13" t="n">
        <f aca="false">Setup!$C$5+188</f>
        <v>46215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TEXT(Setup!$C$5+188,"dddd")</f>
        <v>Sunday</v>
      </c>
      <c r="B139" s="13" t="n">
        <f aca="false">Setup!$C$5+188</f>
        <v>46215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TEXT(Setup!$C$5+188,"dddd")</f>
        <v>Sunday</v>
      </c>
      <c r="B140" s="13" t="n">
        <f aca="false">Setup!$C$5+188</f>
        <v>46215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TEXT(Setup!$C$5+188,"dddd")</f>
        <v>Sunday</v>
      </c>
      <c r="B141" s="13" t="n">
        <f aca="false">Setup!$C$5+188</f>
        <v>46215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TEXT(Setup!$C$5+188,"dddd")</f>
        <v>Sunday</v>
      </c>
      <c r="B142" s="13" t="n">
        <f aca="false">Setup!$C$5+188</f>
        <v>46215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TEXT(Setup!$C$5+188,"dddd")</f>
        <v>Sunday</v>
      </c>
      <c r="B143" s="13" t="n">
        <f aca="false">Setup!$C$5+188</f>
        <v>46215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TEXT(Setup!$C$5+188,"dddd")</f>
        <v>Sunday</v>
      </c>
      <c r="B144" s="13" t="n">
        <f aca="false">Setup!$C$5+188</f>
        <v>46215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TEXT(Setup!$C$5+188,"dddd")</f>
        <v>Sunday</v>
      </c>
      <c r="B145" s="13" t="n">
        <f aca="false">Setup!$C$5+188</f>
        <v>46215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TEXT(Setup!$C$5+188,"dddd")</f>
        <v>Sunday</v>
      </c>
      <c r="B146" s="13" t="n">
        <f aca="false">Setup!$C$5+188</f>
        <v>46215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TEXT(Setup!$C$5+188,"dddd")</f>
        <v>Sunday</v>
      </c>
      <c r="B147" s="13" t="n">
        <f aca="false">Setup!$C$5+188</f>
        <v>46215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TEXT(Setup!$C$5+188,"dddd")</f>
        <v>Sunday</v>
      </c>
      <c r="B148" s="13" t="n">
        <f aca="false">Setup!$C$5+188</f>
        <v>46215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TEXT(Setup!$C$5+188,"dddd")</f>
        <v>Sunday</v>
      </c>
      <c r="B149" s="13" t="n">
        <f aca="false">Setup!$C$5+188</f>
        <v>46215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TEXT(Setup!$C$5+188,"dddd")</f>
        <v>Sunday</v>
      </c>
      <c r="B150" s="13" t="n">
        <f aca="false">Setup!$C$5+188</f>
        <v>46215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TEXT(Setup!$C$5+188,"dddd")</f>
        <v>Sunday</v>
      </c>
      <c r="B151" s="13" t="n">
        <f aca="false">Setup!$C$5+188</f>
        <v>46215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TEXT(Setup!$C$5+188,"dddd")</f>
        <v>Sunday</v>
      </c>
      <c r="B152" s="13" t="n">
        <f aca="false">Setup!$C$5+188</f>
        <v>46215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TEXT(Setup!$C$5+188,"dddd")</f>
        <v>Sunday</v>
      </c>
      <c r="B153" s="13" t="n">
        <f aca="false">Setup!$C$5+188</f>
        <v>46215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TEXT(Setup!$C$5+188,"dddd")</f>
        <v>Sunday</v>
      </c>
      <c r="B154" s="13" t="n">
        <f aca="false">Setup!$C$5+188</f>
        <v>46215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TEXT(Setup!$C$5+188,"dddd")</f>
        <v>Sunday</v>
      </c>
      <c r="B155" s="23" t="n">
        <f aca="false">Setup!$C$5+188</f>
        <v>46215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IFERROR(H155-Wk26!H155,"")</f>
        <v>0</v>
      </c>
      <c r="O155" s="24" t="n">
        <f aca="false">IFERROR(D155-Wk26!D155,"")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IFERROR(D156-Wk26!D156,"")</f>
        <v>0</v>
      </c>
      <c r="E157" s="34" t="n">
        <f aca="false">IFERROR(E156-Wk26!E156,"")</f>
        <v>0</v>
      </c>
      <c r="H157" s="32" t="n">
        <f aca="false">IFERROR(H156-Wk26!H156,"")</f>
        <v>0</v>
      </c>
      <c r="K157" s="32" t="n">
        <f aca="false">IFERROR(K156-Wk26!K156,"")</f>
        <v>0</v>
      </c>
      <c r="M157" s="32" t="n">
        <f aca="false">IFERROR(M156-Wk26!M156,"")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TEXT(Setup!$C$5+189,"dddd")</f>
        <v>Monday</v>
      </c>
      <c r="B2" s="13" t="n">
        <f aca="false">Setup!$C$5+189</f>
        <v>46216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TEXT(Setup!$C$5+189,"dddd")</f>
        <v>Monday</v>
      </c>
      <c r="B3" s="13" t="n">
        <f aca="false">Setup!$C$5+189</f>
        <v>46216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TEXT(Setup!$C$5+189,"dddd")</f>
        <v>Monday</v>
      </c>
      <c r="B4" s="13" t="n">
        <f aca="false">Setup!$C$5+189</f>
        <v>46216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TEXT(Setup!$C$5+189,"dddd")</f>
        <v>Monday</v>
      </c>
      <c r="B5" s="13" t="n">
        <f aca="false">Setup!$C$5+189</f>
        <v>46216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TEXT(Setup!$C$5+189,"dddd")</f>
        <v>Monday</v>
      </c>
      <c r="B6" s="13" t="n">
        <f aca="false">Setup!$C$5+189</f>
        <v>46216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TEXT(Setup!$C$5+189,"dddd")</f>
        <v>Monday</v>
      </c>
      <c r="B7" s="13" t="n">
        <f aca="false">Setup!$C$5+189</f>
        <v>46216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TEXT(Setup!$C$5+189,"dddd")</f>
        <v>Monday</v>
      </c>
      <c r="B8" s="13" t="n">
        <f aca="false">Setup!$C$5+189</f>
        <v>46216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TEXT(Setup!$C$5+189,"dddd")</f>
        <v>Monday</v>
      </c>
      <c r="B9" s="13" t="n">
        <f aca="false">Setup!$C$5+189</f>
        <v>46216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TEXT(Setup!$C$5+189,"dddd")</f>
        <v>Monday</v>
      </c>
      <c r="B10" s="13" t="n">
        <f aca="false">Setup!$C$5+189</f>
        <v>46216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TEXT(Setup!$C$5+189,"dddd")</f>
        <v>Monday</v>
      </c>
      <c r="B11" s="13" t="n">
        <f aca="false">Setup!$C$5+189</f>
        <v>46216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TEXT(Setup!$C$5+189,"dddd")</f>
        <v>Monday</v>
      </c>
      <c r="B12" s="13" t="n">
        <f aca="false">Setup!$C$5+189</f>
        <v>46216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TEXT(Setup!$C$5+189,"dddd")</f>
        <v>Monday</v>
      </c>
      <c r="B13" s="13" t="n">
        <f aca="false">Setup!$C$5+189</f>
        <v>46216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TEXT(Setup!$C$5+189,"dddd")</f>
        <v>Monday</v>
      </c>
      <c r="B14" s="13" t="n">
        <f aca="false">Setup!$C$5+189</f>
        <v>46216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TEXT(Setup!$C$5+189,"dddd")</f>
        <v>Monday</v>
      </c>
      <c r="B15" s="13" t="n">
        <f aca="false">Setup!$C$5+189</f>
        <v>46216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TEXT(Setup!$C$5+189,"dddd")</f>
        <v>Monday</v>
      </c>
      <c r="B16" s="13" t="n">
        <f aca="false">Setup!$C$5+189</f>
        <v>46216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TEXT(Setup!$C$5+189,"dddd")</f>
        <v>Monday</v>
      </c>
      <c r="B17" s="13" t="n">
        <f aca="false">Setup!$C$5+189</f>
        <v>46216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TEXT(Setup!$C$5+189,"dddd")</f>
        <v>Monday</v>
      </c>
      <c r="B18" s="13" t="n">
        <f aca="false">Setup!$C$5+189</f>
        <v>46216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TEXT(Setup!$C$5+189,"dddd")</f>
        <v>Monday</v>
      </c>
      <c r="B19" s="13" t="n">
        <f aca="false">Setup!$C$5+189</f>
        <v>46216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TEXT(Setup!$C$5+189,"dddd")</f>
        <v>Monday</v>
      </c>
      <c r="B20" s="13" t="n">
        <f aca="false">Setup!$C$5+189</f>
        <v>46216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TEXT(Setup!$C$5+189,"dddd")</f>
        <v>Monday</v>
      </c>
      <c r="B21" s="13" t="n">
        <f aca="false">Setup!$C$5+189</f>
        <v>46216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TEXT(Setup!$C$5+189,"dddd")</f>
        <v>Monday</v>
      </c>
      <c r="B22" s="13" t="n">
        <f aca="false">Setup!$C$5+189</f>
        <v>46216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TEXT(Setup!$C$5+189,"dddd")</f>
        <v>Monday</v>
      </c>
      <c r="B23" s="23" t="n">
        <f aca="false">Setup!$C$5+189</f>
        <v>46216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IFERROR(H23-Wk27!H23,"")</f>
        <v>0</v>
      </c>
      <c r="O23" s="24" t="n">
        <f aca="false">IFERROR(D23-Wk27!D23,"")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TEXT(Setup!$C$5+190,"dddd")</f>
        <v>Tuesday</v>
      </c>
      <c r="B24" s="13" t="n">
        <f aca="false">Setup!$C$5+190</f>
        <v>46217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TEXT(Setup!$C$5+190,"dddd")</f>
        <v>Tuesday</v>
      </c>
      <c r="B25" s="13" t="n">
        <f aca="false">Setup!$C$5+190</f>
        <v>46217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TEXT(Setup!$C$5+190,"dddd")</f>
        <v>Tuesday</v>
      </c>
      <c r="B26" s="13" t="n">
        <f aca="false">Setup!$C$5+190</f>
        <v>46217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TEXT(Setup!$C$5+190,"dddd")</f>
        <v>Tuesday</v>
      </c>
      <c r="B27" s="13" t="n">
        <f aca="false">Setup!$C$5+190</f>
        <v>46217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TEXT(Setup!$C$5+190,"dddd")</f>
        <v>Tuesday</v>
      </c>
      <c r="B28" s="13" t="n">
        <f aca="false">Setup!$C$5+190</f>
        <v>46217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TEXT(Setup!$C$5+190,"dddd")</f>
        <v>Tuesday</v>
      </c>
      <c r="B29" s="13" t="n">
        <f aca="false">Setup!$C$5+190</f>
        <v>46217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TEXT(Setup!$C$5+190,"dddd")</f>
        <v>Tuesday</v>
      </c>
      <c r="B30" s="13" t="n">
        <f aca="false">Setup!$C$5+190</f>
        <v>46217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TEXT(Setup!$C$5+190,"dddd")</f>
        <v>Tuesday</v>
      </c>
      <c r="B31" s="13" t="n">
        <f aca="false">Setup!$C$5+190</f>
        <v>46217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TEXT(Setup!$C$5+190,"dddd")</f>
        <v>Tuesday</v>
      </c>
      <c r="B32" s="13" t="n">
        <f aca="false">Setup!$C$5+190</f>
        <v>46217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TEXT(Setup!$C$5+190,"dddd")</f>
        <v>Tuesday</v>
      </c>
      <c r="B33" s="13" t="n">
        <f aca="false">Setup!$C$5+190</f>
        <v>46217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TEXT(Setup!$C$5+190,"dddd")</f>
        <v>Tuesday</v>
      </c>
      <c r="B34" s="13" t="n">
        <f aca="false">Setup!$C$5+190</f>
        <v>46217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TEXT(Setup!$C$5+190,"dddd")</f>
        <v>Tuesday</v>
      </c>
      <c r="B35" s="13" t="n">
        <f aca="false">Setup!$C$5+190</f>
        <v>46217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TEXT(Setup!$C$5+190,"dddd")</f>
        <v>Tuesday</v>
      </c>
      <c r="B36" s="13" t="n">
        <f aca="false">Setup!$C$5+190</f>
        <v>46217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TEXT(Setup!$C$5+190,"dddd")</f>
        <v>Tuesday</v>
      </c>
      <c r="B37" s="13" t="n">
        <f aca="false">Setup!$C$5+190</f>
        <v>46217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TEXT(Setup!$C$5+190,"dddd")</f>
        <v>Tuesday</v>
      </c>
      <c r="B38" s="13" t="n">
        <f aca="false">Setup!$C$5+190</f>
        <v>46217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TEXT(Setup!$C$5+190,"dddd")</f>
        <v>Tuesday</v>
      </c>
      <c r="B39" s="13" t="n">
        <f aca="false">Setup!$C$5+190</f>
        <v>46217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TEXT(Setup!$C$5+190,"dddd")</f>
        <v>Tuesday</v>
      </c>
      <c r="B40" s="13" t="n">
        <f aca="false">Setup!$C$5+190</f>
        <v>46217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TEXT(Setup!$C$5+190,"dddd")</f>
        <v>Tuesday</v>
      </c>
      <c r="B41" s="13" t="n">
        <f aca="false">Setup!$C$5+190</f>
        <v>46217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TEXT(Setup!$C$5+190,"dddd")</f>
        <v>Tuesday</v>
      </c>
      <c r="B42" s="13" t="n">
        <f aca="false">Setup!$C$5+190</f>
        <v>46217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TEXT(Setup!$C$5+190,"dddd")</f>
        <v>Tuesday</v>
      </c>
      <c r="B43" s="13" t="n">
        <f aca="false">Setup!$C$5+190</f>
        <v>46217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TEXT(Setup!$C$5+190,"dddd")</f>
        <v>Tuesday</v>
      </c>
      <c r="B44" s="13" t="n">
        <f aca="false">Setup!$C$5+190</f>
        <v>46217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TEXT(Setup!$C$5+190,"dddd")</f>
        <v>Tuesday</v>
      </c>
      <c r="B45" s="23" t="n">
        <f aca="false">Setup!$C$5+190</f>
        <v>46217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IFERROR(H45-Wk27!H45,"")</f>
        <v>0</v>
      </c>
      <c r="O45" s="24" t="n">
        <f aca="false">IFERROR(D45-Wk27!D45,"")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TEXT(Setup!$C$5+191,"dddd")</f>
        <v>Wednesday</v>
      </c>
      <c r="B46" s="13" t="n">
        <f aca="false">Setup!$C$5+191</f>
        <v>46218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TEXT(Setup!$C$5+191,"dddd")</f>
        <v>Wednesday</v>
      </c>
      <c r="B47" s="13" t="n">
        <f aca="false">Setup!$C$5+191</f>
        <v>46218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TEXT(Setup!$C$5+191,"dddd")</f>
        <v>Wednesday</v>
      </c>
      <c r="B48" s="13" t="n">
        <f aca="false">Setup!$C$5+191</f>
        <v>46218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TEXT(Setup!$C$5+191,"dddd")</f>
        <v>Wednesday</v>
      </c>
      <c r="B49" s="13" t="n">
        <f aca="false">Setup!$C$5+191</f>
        <v>46218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TEXT(Setup!$C$5+191,"dddd")</f>
        <v>Wednesday</v>
      </c>
      <c r="B50" s="13" t="n">
        <f aca="false">Setup!$C$5+191</f>
        <v>46218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TEXT(Setup!$C$5+191,"dddd")</f>
        <v>Wednesday</v>
      </c>
      <c r="B51" s="13" t="n">
        <f aca="false">Setup!$C$5+191</f>
        <v>46218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TEXT(Setup!$C$5+191,"dddd")</f>
        <v>Wednesday</v>
      </c>
      <c r="B52" s="13" t="n">
        <f aca="false">Setup!$C$5+191</f>
        <v>46218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TEXT(Setup!$C$5+191,"dddd")</f>
        <v>Wednesday</v>
      </c>
      <c r="B53" s="13" t="n">
        <f aca="false">Setup!$C$5+191</f>
        <v>46218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TEXT(Setup!$C$5+191,"dddd")</f>
        <v>Wednesday</v>
      </c>
      <c r="B54" s="13" t="n">
        <f aca="false">Setup!$C$5+191</f>
        <v>46218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TEXT(Setup!$C$5+191,"dddd")</f>
        <v>Wednesday</v>
      </c>
      <c r="B55" s="13" t="n">
        <f aca="false">Setup!$C$5+191</f>
        <v>46218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TEXT(Setup!$C$5+191,"dddd")</f>
        <v>Wednesday</v>
      </c>
      <c r="B56" s="13" t="n">
        <f aca="false">Setup!$C$5+191</f>
        <v>46218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TEXT(Setup!$C$5+191,"dddd")</f>
        <v>Wednesday</v>
      </c>
      <c r="B57" s="13" t="n">
        <f aca="false">Setup!$C$5+191</f>
        <v>46218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TEXT(Setup!$C$5+191,"dddd")</f>
        <v>Wednesday</v>
      </c>
      <c r="B58" s="13" t="n">
        <f aca="false">Setup!$C$5+191</f>
        <v>46218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TEXT(Setup!$C$5+191,"dddd")</f>
        <v>Wednesday</v>
      </c>
      <c r="B59" s="13" t="n">
        <f aca="false">Setup!$C$5+191</f>
        <v>46218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TEXT(Setup!$C$5+191,"dddd")</f>
        <v>Wednesday</v>
      </c>
      <c r="B60" s="13" t="n">
        <f aca="false">Setup!$C$5+191</f>
        <v>46218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TEXT(Setup!$C$5+191,"dddd")</f>
        <v>Wednesday</v>
      </c>
      <c r="B61" s="13" t="n">
        <f aca="false">Setup!$C$5+191</f>
        <v>46218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TEXT(Setup!$C$5+191,"dddd")</f>
        <v>Wednesday</v>
      </c>
      <c r="B62" s="13" t="n">
        <f aca="false">Setup!$C$5+191</f>
        <v>46218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TEXT(Setup!$C$5+191,"dddd")</f>
        <v>Wednesday</v>
      </c>
      <c r="B63" s="13" t="n">
        <f aca="false">Setup!$C$5+191</f>
        <v>46218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TEXT(Setup!$C$5+191,"dddd")</f>
        <v>Wednesday</v>
      </c>
      <c r="B64" s="13" t="n">
        <f aca="false">Setup!$C$5+191</f>
        <v>46218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TEXT(Setup!$C$5+191,"dddd")</f>
        <v>Wednesday</v>
      </c>
      <c r="B65" s="13" t="n">
        <f aca="false">Setup!$C$5+191</f>
        <v>46218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TEXT(Setup!$C$5+191,"dddd")</f>
        <v>Wednesday</v>
      </c>
      <c r="B66" s="13" t="n">
        <f aca="false">Setup!$C$5+191</f>
        <v>46218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TEXT(Setup!$C$5+191,"dddd")</f>
        <v>Wednesday</v>
      </c>
      <c r="B67" s="23" t="n">
        <f aca="false">Setup!$C$5+191</f>
        <v>46218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IFERROR(H67-Wk27!H67,"")</f>
        <v>0</v>
      </c>
      <c r="O67" s="24" t="n">
        <f aca="false">IFERROR(D67-Wk27!D67,"")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TEXT(Setup!$C$5+192,"dddd")</f>
        <v>Thursday</v>
      </c>
      <c r="B68" s="13" t="n">
        <f aca="false">Setup!$C$5+192</f>
        <v>46219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TEXT(Setup!$C$5+192,"dddd")</f>
        <v>Thursday</v>
      </c>
      <c r="B69" s="13" t="n">
        <f aca="false">Setup!$C$5+192</f>
        <v>46219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TEXT(Setup!$C$5+192,"dddd")</f>
        <v>Thursday</v>
      </c>
      <c r="B70" s="13" t="n">
        <f aca="false">Setup!$C$5+192</f>
        <v>46219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TEXT(Setup!$C$5+192,"dddd")</f>
        <v>Thursday</v>
      </c>
      <c r="B71" s="13" t="n">
        <f aca="false">Setup!$C$5+192</f>
        <v>46219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TEXT(Setup!$C$5+192,"dddd")</f>
        <v>Thursday</v>
      </c>
      <c r="B72" s="13" t="n">
        <f aca="false">Setup!$C$5+192</f>
        <v>46219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TEXT(Setup!$C$5+192,"dddd")</f>
        <v>Thursday</v>
      </c>
      <c r="B73" s="13" t="n">
        <f aca="false">Setup!$C$5+192</f>
        <v>46219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TEXT(Setup!$C$5+192,"dddd")</f>
        <v>Thursday</v>
      </c>
      <c r="B74" s="13" t="n">
        <f aca="false">Setup!$C$5+192</f>
        <v>46219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TEXT(Setup!$C$5+192,"dddd")</f>
        <v>Thursday</v>
      </c>
      <c r="B75" s="13" t="n">
        <f aca="false">Setup!$C$5+192</f>
        <v>46219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TEXT(Setup!$C$5+192,"dddd")</f>
        <v>Thursday</v>
      </c>
      <c r="B76" s="13" t="n">
        <f aca="false">Setup!$C$5+192</f>
        <v>46219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TEXT(Setup!$C$5+192,"dddd")</f>
        <v>Thursday</v>
      </c>
      <c r="B77" s="13" t="n">
        <f aca="false">Setup!$C$5+192</f>
        <v>46219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TEXT(Setup!$C$5+192,"dddd")</f>
        <v>Thursday</v>
      </c>
      <c r="B78" s="13" t="n">
        <f aca="false">Setup!$C$5+192</f>
        <v>46219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TEXT(Setup!$C$5+192,"dddd")</f>
        <v>Thursday</v>
      </c>
      <c r="B79" s="13" t="n">
        <f aca="false">Setup!$C$5+192</f>
        <v>46219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TEXT(Setup!$C$5+192,"dddd")</f>
        <v>Thursday</v>
      </c>
      <c r="B80" s="13" t="n">
        <f aca="false">Setup!$C$5+192</f>
        <v>46219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TEXT(Setup!$C$5+192,"dddd")</f>
        <v>Thursday</v>
      </c>
      <c r="B81" s="13" t="n">
        <f aca="false">Setup!$C$5+192</f>
        <v>46219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TEXT(Setup!$C$5+192,"dddd")</f>
        <v>Thursday</v>
      </c>
      <c r="B82" s="13" t="n">
        <f aca="false">Setup!$C$5+192</f>
        <v>46219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TEXT(Setup!$C$5+192,"dddd")</f>
        <v>Thursday</v>
      </c>
      <c r="B83" s="13" t="n">
        <f aca="false">Setup!$C$5+192</f>
        <v>46219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TEXT(Setup!$C$5+192,"dddd")</f>
        <v>Thursday</v>
      </c>
      <c r="B84" s="13" t="n">
        <f aca="false">Setup!$C$5+192</f>
        <v>46219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TEXT(Setup!$C$5+192,"dddd")</f>
        <v>Thursday</v>
      </c>
      <c r="B85" s="13" t="n">
        <f aca="false">Setup!$C$5+192</f>
        <v>46219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TEXT(Setup!$C$5+192,"dddd")</f>
        <v>Thursday</v>
      </c>
      <c r="B86" s="13" t="n">
        <f aca="false">Setup!$C$5+192</f>
        <v>46219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TEXT(Setup!$C$5+192,"dddd")</f>
        <v>Thursday</v>
      </c>
      <c r="B87" s="13" t="n">
        <f aca="false">Setup!$C$5+192</f>
        <v>46219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TEXT(Setup!$C$5+192,"dddd")</f>
        <v>Thursday</v>
      </c>
      <c r="B88" s="13" t="n">
        <f aca="false">Setup!$C$5+192</f>
        <v>46219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TEXT(Setup!$C$5+192,"dddd")</f>
        <v>Thursday</v>
      </c>
      <c r="B89" s="23" t="n">
        <f aca="false">Setup!$C$5+192</f>
        <v>46219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IFERROR(H89-Wk27!H89,"")</f>
        <v>0</v>
      </c>
      <c r="O89" s="24" t="n">
        <f aca="false">IFERROR(D89-Wk27!D89,"")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TEXT(Setup!$C$5+193,"dddd")</f>
        <v>Friday</v>
      </c>
      <c r="B90" s="13" t="n">
        <f aca="false">Setup!$C$5+193</f>
        <v>46220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TEXT(Setup!$C$5+193,"dddd")</f>
        <v>Friday</v>
      </c>
      <c r="B91" s="13" t="n">
        <f aca="false">Setup!$C$5+193</f>
        <v>46220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TEXT(Setup!$C$5+193,"dddd")</f>
        <v>Friday</v>
      </c>
      <c r="B92" s="13" t="n">
        <f aca="false">Setup!$C$5+193</f>
        <v>46220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TEXT(Setup!$C$5+193,"dddd")</f>
        <v>Friday</v>
      </c>
      <c r="B93" s="13" t="n">
        <f aca="false">Setup!$C$5+193</f>
        <v>46220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TEXT(Setup!$C$5+193,"dddd")</f>
        <v>Friday</v>
      </c>
      <c r="B94" s="13" t="n">
        <f aca="false">Setup!$C$5+193</f>
        <v>46220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TEXT(Setup!$C$5+193,"dddd")</f>
        <v>Friday</v>
      </c>
      <c r="B95" s="13" t="n">
        <f aca="false">Setup!$C$5+193</f>
        <v>46220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TEXT(Setup!$C$5+193,"dddd")</f>
        <v>Friday</v>
      </c>
      <c r="B96" s="13" t="n">
        <f aca="false">Setup!$C$5+193</f>
        <v>46220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TEXT(Setup!$C$5+193,"dddd")</f>
        <v>Friday</v>
      </c>
      <c r="B97" s="13" t="n">
        <f aca="false">Setup!$C$5+193</f>
        <v>46220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TEXT(Setup!$C$5+193,"dddd")</f>
        <v>Friday</v>
      </c>
      <c r="B98" s="13" t="n">
        <f aca="false">Setup!$C$5+193</f>
        <v>46220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TEXT(Setup!$C$5+193,"dddd")</f>
        <v>Friday</v>
      </c>
      <c r="B99" s="13" t="n">
        <f aca="false">Setup!$C$5+193</f>
        <v>46220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TEXT(Setup!$C$5+193,"dddd")</f>
        <v>Friday</v>
      </c>
      <c r="B100" s="13" t="n">
        <f aca="false">Setup!$C$5+193</f>
        <v>46220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TEXT(Setup!$C$5+193,"dddd")</f>
        <v>Friday</v>
      </c>
      <c r="B101" s="13" t="n">
        <f aca="false">Setup!$C$5+193</f>
        <v>46220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TEXT(Setup!$C$5+193,"dddd")</f>
        <v>Friday</v>
      </c>
      <c r="B102" s="13" t="n">
        <f aca="false">Setup!$C$5+193</f>
        <v>46220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TEXT(Setup!$C$5+193,"dddd")</f>
        <v>Friday</v>
      </c>
      <c r="B103" s="13" t="n">
        <f aca="false">Setup!$C$5+193</f>
        <v>46220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TEXT(Setup!$C$5+193,"dddd")</f>
        <v>Friday</v>
      </c>
      <c r="B104" s="13" t="n">
        <f aca="false">Setup!$C$5+193</f>
        <v>46220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TEXT(Setup!$C$5+193,"dddd")</f>
        <v>Friday</v>
      </c>
      <c r="B105" s="13" t="n">
        <f aca="false">Setup!$C$5+193</f>
        <v>46220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TEXT(Setup!$C$5+193,"dddd")</f>
        <v>Friday</v>
      </c>
      <c r="B106" s="13" t="n">
        <f aca="false">Setup!$C$5+193</f>
        <v>46220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TEXT(Setup!$C$5+193,"dddd")</f>
        <v>Friday</v>
      </c>
      <c r="B107" s="13" t="n">
        <f aca="false">Setup!$C$5+193</f>
        <v>46220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TEXT(Setup!$C$5+193,"dddd")</f>
        <v>Friday</v>
      </c>
      <c r="B108" s="13" t="n">
        <f aca="false">Setup!$C$5+193</f>
        <v>46220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TEXT(Setup!$C$5+193,"dddd")</f>
        <v>Friday</v>
      </c>
      <c r="B109" s="13" t="n">
        <f aca="false">Setup!$C$5+193</f>
        <v>46220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TEXT(Setup!$C$5+193,"dddd")</f>
        <v>Friday</v>
      </c>
      <c r="B110" s="13" t="n">
        <f aca="false">Setup!$C$5+193</f>
        <v>46220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TEXT(Setup!$C$5+193,"dddd")</f>
        <v>Friday</v>
      </c>
      <c r="B111" s="23" t="n">
        <f aca="false">Setup!$C$5+193</f>
        <v>46220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IFERROR(H111-Wk27!H111,"")</f>
        <v>0</v>
      </c>
      <c r="O111" s="24" t="n">
        <f aca="false">IFERROR(D111-Wk27!D111,"")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TEXT(Setup!$C$5+194,"dddd")</f>
        <v>Saturday</v>
      </c>
      <c r="B112" s="13" t="n">
        <f aca="false">Setup!$C$5+194</f>
        <v>46221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TEXT(Setup!$C$5+194,"dddd")</f>
        <v>Saturday</v>
      </c>
      <c r="B113" s="13" t="n">
        <f aca="false">Setup!$C$5+194</f>
        <v>46221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TEXT(Setup!$C$5+194,"dddd")</f>
        <v>Saturday</v>
      </c>
      <c r="B114" s="13" t="n">
        <f aca="false">Setup!$C$5+194</f>
        <v>46221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TEXT(Setup!$C$5+194,"dddd")</f>
        <v>Saturday</v>
      </c>
      <c r="B115" s="13" t="n">
        <f aca="false">Setup!$C$5+194</f>
        <v>46221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TEXT(Setup!$C$5+194,"dddd")</f>
        <v>Saturday</v>
      </c>
      <c r="B116" s="13" t="n">
        <f aca="false">Setup!$C$5+194</f>
        <v>46221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TEXT(Setup!$C$5+194,"dddd")</f>
        <v>Saturday</v>
      </c>
      <c r="B117" s="13" t="n">
        <f aca="false">Setup!$C$5+194</f>
        <v>46221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TEXT(Setup!$C$5+194,"dddd")</f>
        <v>Saturday</v>
      </c>
      <c r="B118" s="13" t="n">
        <f aca="false">Setup!$C$5+194</f>
        <v>46221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TEXT(Setup!$C$5+194,"dddd")</f>
        <v>Saturday</v>
      </c>
      <c r="B119" s="13" t="n">
        <f aca="false">Setup!$C$5+194</f>
        <v>46221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TEXT(Setup!$C$5+194,"dddd")</f>
        <v>Saturday</v>
      </c>
      <c r="B120" s="13" t="n">
        <f aca="false">Setup!$C$5+194</f>
        <v>46221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TEXT(Setup!$C$5+194,"dddd")</f>
        <v>Saturday</v>
      </c>
      <c r="B121" s="13" t="n">
        <f aca="false">Setup!$C$5+194</f>
        <v>46221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TEXT(Setup!$C$5+194,"dddd")</f>
        <v>Saturday</v>
      </c>
      <c r="B122" s="13" t="n">
        <f aca="false">Setup!$C$5+194</f>
        <v>46221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TEXT(Setup!$C$5+194,"dddd")</f>
        <v>Saturday</v>
      </c>
      <c r="B123" s="13" t="n">
        <f aca="false">Setup!$C$5+194</f>
        <v>46221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TEXT(Setup!$C$5+194,"dddd")</f>
        <v>Saturday</v>
      </c>
      <c r="B124" s="13" t="n">
        <f aca="false">Setup!$C$5+194</f>
        <v>46221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TEXT(Setup!$C$5+194,"dddd")</f>
        <v>Saturday</v>
      </c>
      <c r="B125" s="13" t="n">
        <f aca="false">Setup!$C$5+194</f>
        <v>46221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TEXT(Setup!$C$5+194,"dddd")</f>
        <v>Saturday</v>
      </c>
      <c r="B126" s="13" t="n">
        <f aca="false">Setup!$C$5+194</f>
        <v>46221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TEXT(Setup!$C$5+194,"dddd")</f>
        <v>Saturday</v>
      </c>
      <c r="B127" s="13" t="n">
        <f aca="false">Setup!$C$5+194</f>
        <v>46221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TEXT(Setup!$C$5+194,"dddd")</f>
        <v>Saturday</v>
      </c>
      <c r="B128" s="13" t="n">
        <f aca="false">Setup!$C$5+194</f>
        <v>46221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TEXT(Setup!$C$5+194,"dddd")</f>
        <v>Saturday</v>
      </c>
      <c r="B129" s="13" t="n">
        <f aca="false">Setup!$C$5+194</f>
        <v>46221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TEXT(Setup!$C$5+194,"dddd")</f>
        <v>Saturday</v>
      </c>
      <c r="B130" s="13" t="n">
        <f aca="false">Setup!$C$5+194</f>
        <v>46221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TEXT(Setup!$C$5+194,"dddd")</f>
        <v>Saturday</v>
      </c>
      <c r="B131" s="13" t="n">
        <f aca="false">Setup!$C$5+194</f>
        <v>46221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TEXT(Setup!$C$5+194,"dddd")</f>
        <v>Saturday</v>
      </c>
      <c r="B132" s="13" t="n">
        <f aca="false">Setup!$C$5+194</f>
        <v>46221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TEXT(Setup!$C$5+194,"dddd")</f>
        <v>Saturday</v>
      </c>
      <c r="B133" s="23" t="n">
        <f aca="false">Setup!$C$5+194</f>
        <v>46221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IFERROR(H133-Wk27!H133,"")</f>
        <v>0</v>
      </c>
      <c r="O133" s="24" t="n">
        <f aca="false">IFERROR(D133-Wk27!D133,"")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TEXT(Setup!$C$5+195,"dddd")</f>
        <v>Sunday</v>
      </c>
      <c r="B134" s="13" t="n">
        <f aca="false">Setup!$C$5+195</f>
        <v>46222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TEXT(Setup!$C$5+195,"dddd")</f>
        <v>Sunday</v>
      </c>
      <c r="B135" s="13" t="n">
        <f aca="false">Setup!$C$5+195</f>
        <v>46222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TEXT(Setup!$C$5+195,"dddd")</f>
        <v>Sunday</v>
      </c>
      <c r="B136" s="13" t="n">
        <f aca="false">Setup!$C$5+195</f>
        <v>46222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TEXT(Setup!$C$5+195,"dddd")</f>
        <v>Sunday</v>
      </c>
      <c r="B137" s="13" t="n">
        <f aca="false">Setup!$C$5+195</f>
        <v>46222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TEXT(Setup!$C$5+195,"dddd")</f>
        <v>Sunday</v>
      </c>
      <c r="B138" s="13" t="n">
        <f aca="false">Setup!$C$5+195</f>
        <v>46222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TEXT(Setup!$C$5+195,"dddd")</f>
        <v>Sunday</v>
      </c>
      <c r="B139" s="13" t="n">
        <f aca="false">Setup!$C$5+195</f>
        <v>46222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TEXT(Setup!$C$5+195,"dddd")</f>
        <v>Sunday</v>
      </c>
      <c r="B140" s="13" t="n">
        <f aca="false">Setup!$C$5+195</f>
        <v>46222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TEXT(Setup!$C$5+195,"dddd")</f>
        <v>Sunday</v>
      </c>
      <c r="B141" s="13" t="n">
        <f aca="false">Setup!$C$5+195</f>
        <v>46222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TEXT(Setup!$C$5+195,"dddd")</f>
        <v>Sunday</v>
      </c>
      <c r="B142" s="13" t="n">
        <f aca="false">Setup!$C$5+195</f>
        <v>46222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TEXT(Setup!$C$5+195,"dddd")</f>
        <v>Sunday</v>
      </c>
      <c r="B143" s="13" t="n">
        <f aca="false">Setup!$C$5+195</f>
        <v>46222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TEXT(Setup!$C$5+195,"dddd")</f>
        <v>Sunday</v>
      </c>
      <c r="B144" s="13" t="n">
        <f aca="false">Setup!$C$5+195</f>
        <v>46222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TEXT(Setup!$C$5+195,"dddd")</f>
        <v>Sunday</v>
      </c>
      <c r="B145" s="13" t="n">
        <f aca="false">Setup!$C$5+195</f>
        <v>46222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TEXT(Setup!$C$5+195,"dddd")</f>
        <v>Sunday</v>
      </c>
      <c r="B146" s="13" t="n">
        <f aca="false">Setup!$C$5+195</f>
        <v>46222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TEXT(Setup!$C$5+195,"dddd")</f>
        <v>Sunday</v>
      </c>
      <c r="B147" s="13" t="n">
        <f aca="false">Setup!$C$5+195</f>
        <v>46222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TEXT(Setup!$C$5+195,"dddd")</f>
        <v>Sunday</v>
      </c>
      <c r="B148" s="13" t="n">
        <f aca="false">Setup!$C$5+195</f>
        <v>46222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TEXT(Setup!$C$5+195,"dddd")</f>
        <v>Sunday</v>
      </c>
      <c r="B149" s="13" t="n">
        <f aca="false">Setup!$C$5+195</f>
        <v>46222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TEXT(Setup!$C$5+195,"dddd")</f>
        <v>Sunday</v>
      </c>
      <c r="B150" s="13" t="n">
        <f aca="false">Setup!$C$5+195</f>
        <v>46222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TEXT(Setup!$C$5+195,"dddd")</f>
        <v>Sunday</v>
      </c>
      <c r="B151" s="13" t="n">
        <f aca="false">Setup!$C$5+195</f>
        <v>46222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TEXT(Setup!$C$5+195,"dddd")</f>
        <v>Sunday</v>
      </c>
      <c r="B152" s="13" t="n">
        <f aca="false">Setup!$C$5+195</f>
        <v>46222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TEXT(Setup!$C$5+195,"dddd")</f>
        <v>Sunday</v>
      </c>
      <c r="B153" s="13" t="n">
        <f aca="false">Setup!$C$5+195</f>
        <v>46222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TEXT(Setup!$C$5+195,"dddd")</f>
        <v>Sunday</v>
      </c>
      <c r="B154" s="13" t="n">
        <f aca="false">Setup!$C$5+195</f>
        <v>46222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TEXT(Setup!$C$5+195,"dddd")</f>
        <v>Sunday</v>
      </c>
      <c r="B155" s="23" t="n">
        <f aca="false">Setup!$C$5+195</f>
        <v>46222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IFERROR(H155-Wk27!H155,"")</f>
        <v>0</v>
      </c>
      <c r="O155" s="24" t="n">
        <f aca="false">IFERROR(D155-Wk27!D155,"")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IFERROR(D156-Wk27!D156,"")</f>
        <v>0</v>
      </c>
      <c r="E157" s="34" t="n">
        <f aca="false">IFERROR(E156-Wk27!E156,"")</f>
        <v>0</v>
      </c>
      <c r="H157" s="32" t="n">
        <f aca="false">IFERROR(H156-Wk27!H156,"")</f>
        <v>0</v>
      </c>
      <c r="K157" s="32" t="n">
        <f aca="false">IFERROR(K156-Wk27!K156,"")</f>
        <v>0</v>
      </c>
      <c r="M157" s="32" t="n">
        <f aca="false">IFERROR(M156-Wk27!M156,"")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TEXT(Setup!$C$5+196,"dddd")</f>
        <v>Monday</v>
      </c>
      <c r="B2" s="13" t="n">
        <f aca="false">Setup!$C$5+196</f>
        <v>46223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TEXT(Setup!$C$5+196,"dddd")</f>
        <v>Monday</v>
      </c>
      <c r="B3" s="13" t="n">
        <f aca="false">Setup!$C$5+196</f>
        <v>46223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TEXT(Setup!$C$5+196,"dddd")</f>
        <v>Monday</v>
      </c>
      <c r="B4" s="13" t="n">
        <f aca="false">Setup!$C$5+196</f>
        <v>46223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TEXT(Setup!$C$5+196,"dddd")</f>
        <v>Monday</v>
      </c>
      <c r="B5" s="13" t="n">
        <f aca="false">Setup!$C$5+196</f>
        <v>46223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TEXT(Setup!$C$5+196,"dddd")</f>
        <v>Monday</v>
      </c>
      <c r="B6" s="13" t="n">
        <f aca="false">Setup!$C$5+196</f>
        <v>46223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TEXT(Setup!$C$5+196,"dddd")</f>
        <v>Monday</v>
      </c>
      <c r="B7" s="13" t="n">
        <f aca="false">Setup!$C$5+196</f>
        <v>46223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TEXT(Setup!$C$5+196,"dddd")</f>
        <v>Monday</v>
      </c>
      <c r="B8" s="13" t="n">
        <f aca="false">Setup!$C$5+196</f>
        <v>46223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TEXT(Setup!$C$5+196,"dddd")</f>
        <v>Monday</v>
      </c>
      <c r="B9" s="13" t="n">
        <f aca="false">Setup!$C$5+196</f>
        <v>46223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TEXT(Setup!$C$5+196,"dddd")</f>
        <v>Monday</v>
      </c>
      <c r="B10" s="13" t="n">
        <f aca="false">Setup!$C$5+196</f>
        <v>46223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TEXT(Setup!$C$5+196,"dddd")</f>
        <v>Monday</v>
      </c>
      <c r="B11" s="13" t="n">
        <f aca="false">Setup!$C$5+196</f>
        <v>46223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TEXT(Setup!$C$5+196,"dddd")</f>
        <v>Monday</v>
      </c>
      <c r="B12" s="13" t="n">
        <f aca="false">Setup!$C$5+196</f>
        <v>46223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TEXT(Setup!$C$5+196,"dddd")</f>
        <v>Monday</v>
      </c>
      <c r="B13" s="13" t="n">
        <f aca="false">Setup!$C$5+196</f>
        <v>46223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TEXT(Setup!$C$5+196,"dddd")</f>
        <v>Monday</v>
      </c>
      <c r="B14" s="13" t="n">
        <f aca="false">Setup!$C$5+196</f>
        <v>46223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TEXT(Setup!$C$5+196,"dddd")</f>
        <v>Monday</v>
      </c>
      <c r="B15" s="13" t="n">
        <f aca="false">Setup!$C$5+196</f>
        <v>46223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TEXT(Setup!$C$5+196,"dddd")</f>
        <v>Monday</v>
      </c>
      <c r="B16" s="13" t="n">
        <f aca="false">Setup!$C$5+196</f>
        <v>46223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TEXT(Setup!$C$5+196,"dddd")</f>
        <v>Monday</v>
      </c>
      <c r="B17" s="13" t="n">
        <f aca="false">Setup!$C$5+196</f>
        <v>46223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TEXT(Setup!$C$5+196,"dddd")</f>
        <v>Monday</v>
      </c>
      <c r="B18" s="13" t="n">
        <f aca="false">Setup!$C$5+196</f>
        <v>46223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TEXT(Setup!$C$5+196,"dddd")</f>
        <v>Monday</v>
      </c>
      <c r="B19" s="13" t="n">
        <f aca="false">Setup!$C$5+196</f>
        <v>46223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TEXT(Setup!$C$5+196,"dddd")</f>
        <v>Monday</v>
      </c>
      <c r="B20" s="13" t="n">
        <f aca="false">Setup!$C$5+196</f>
        <v>46223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TEXT(Setup!$C$5+196,"dddd")</f>
        <v>Monday</v>
      </c>
      <c r="B21" s="13" t="n">
        <f aca="false">Setup!$C$5+196</f>
        <v>46223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TEXT(Setup!$C$5+196,"dddd")</f>
        <v>Monday</v>
      </c>
      <c r="B22" s="13" t="n">
        <f aca="false">Setup!$C$5+196</f>
        <v>46223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TEXT(Setup!$C$5+196,"dddd")</f>
        <v>Monday</v>
      </c>
      <c r="B23" s="23" t="n">
        <f aca="false">Setup!$C$5+196</f>
        <v>46223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IFERROR(H23-Wk28!H23,"")</f>
        <v>0</v>
      </c>
      <c r="O23" s="24" t="n">
        <f aca="false">IFERROR(D23-Wk28!D23,"")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TEXT(Setup!$C$5+197,"dddd")</f>
        <v>Tuesday</v>
      </c>
      <c r="B24" s="13" t="n">
        <f aca="false">Setup!$C$5+197</f>
        <v>46224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TEXT(Setup!$C$5+197,"dddd")</f>
        <v>Tuesday</v>
      </c>
      <c r="B25" s="13" t="n">
        <f aca="false">Setup!$C$5+197</f>
        <v>46224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TEXT(Setup!$C$5+197,"dddd")</f>
        <v>Tuesday</v>
      </c>
      <c r="B26" s="13" t="n">
        <f aca="false">Setup!$C$5+197</f>
        <v>46224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TEXT(Setup!$C$5+197,"dddd")</f>
        <v>Tuesday</v>
      </c>
      <c r="B27" s="13" t="n">
        <f aca="false">Setup!$C$5+197</f>
        <v>46224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TEXT(Setup!$C$5+197,"dddd")</f>
        <v>Tuesday</v>
      </c>
      <c r="B28" s="13" t="n">
        <f aca="false">Setup!$C$5+197</f>
        <v>46224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TEXT(Setup!$C$5+197,"dddd")</f>
        <v>Tuesday</v>
      </c>
      <c r="B29" s="13" t="n">
        <f aca="false">Setup!$C$5+197</f>
        <v>46224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TEXT(Setup!$C$5+197,"dddd")</f>
        <v>Tuesday</v>
      </c>
      <c r="B30" s="13" t="n">
        <f aca="false">Setup!$C$5+197</f>
        <v>46224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TEXT(Setup!$C$5+197,"dddd")</f>
        <v>Tuesday</v>
      </c>
      <c r="B31" s="13" t="n">
        <f aca="false">Setup!$C$5+197</f>
        <v>46224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TEXT(Setup!$C$5+197,"dddd")</f>
        <v>Tuesday</v>
      </c>
      <c r="B32" s="13" t="n">
        <f aca="false">Setup!$C$5+197</f>
        <v>46224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TEXT(Setup!$C$5+197,"dddd")</f>
        <v>Tuesday</v>
      </c>
      <c r="B33" s="13" t="n">
        <f aca="false">Setup!$C$5+197</f>
        <v>46224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TEXT(Setup!$C$5+197,"dddd")</f>
        <v>Tuesday</v>
      </c>
      <c r="B34" s="13" t="n">
        <f aca="false">Setup!$C$5+197</f>
        <v>46224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TEXT(Setup!$C$5+197,"dddd")</f>
        <v>Tuesday</v>
      </c>
      <c r="B35" s="13" t="n">
        <f aca="false">Setup!$C$5+197</f>
        <v>46224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TEXT(Setup!$C$5+197,"dddd")</f>
        <v>Tuesday</v>
      </c>
      <c r="B36" s="13" t="n">
        <f aca="false">Setup!$C$5+197</f>
        <v>46224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TEXT(Setup!$C$5+197,"dddd")</f>
        <v>Tuesday</v>
      </c>
      <c r="B37" s="13" t="n">
        <f aca="false">Setup!$C$5+197</f>
        <v>46224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TEXT(Setup!$C$5+197,"dddd")</f>
        <v>Tuesday</v>
      </c>
      <c r="B38" s="13" t="n">
        <f aca="false">Setup!$C$5+197</f>
        <v>46224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TEXT(Setup!$C$5+197,"dddd")</f>
        <v>Tuesday</v>
      </c>
      <c r="B39" s="13" t="n">
        <f aca="false">Setup!$C$5+197</f>
        <v>46224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TEXT(Setup!$C$5+197,"dddd")</f>
        <v>Tuesday</v>
      </c>
      <c r="B40" s="13" t="n">
        <f aca="false">Setup!$C$5+197</f>
        <v>46224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TEXT(Setup!$C$5+197,"dddd")</f>
        <v>Tuesday</v>
      </c>
      <c r="B41" s="13" t="n">
        <f aca="false">Setup!$C$5+197</f>
        <v>46224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TEXT(Setup!$C$5+197,"dddd")</f>
        <v>Tuesday</v>
      </c>
      <c r="B42" s="13" t="n">
        <f aca="false">Setup!$C$5+197</f>
        <v>46224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TEXT(Setup!$C$5+197,"dddd")</f>
        <v>Tuesday</v>
      </c>
      <c r="B43" s="13" t="n">
        <f aca="false">Setup!$C$5+197</f>
        <v>46224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TEXT(Setup!$C$5+197,"dddd")</f>
        <v>Tuesday</v>
      </c>
      <c r="B44" s="13" t="n">
        <f aca="false">Setup!$C$5+197</f>
        <v>46224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TEXT(Setup!$C$5+197,"dddd")</f>
        <v>Tuesday</v>
      </c>
      <c r="B45" s="23" t="n">
        <f aca="false">Setup!$C$5+197</f>
        <v>46224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IFERROR(H45-Wk28!H45,"")</f>
        <v>0</v>
      </c>
      <c r="O45" s="24" t="n">
        <f aca="false">IFERROR(D45-Wk28!D45,"")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TEXT(Setup!$C$5+198,"dddd")</f>
        <v>Wednesday</v>
      </c>
      <c r="B46" s="13" t="n">
        <f aca="false">Setup!$C$5+198</f>
        <v>46225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TEXT(Setup!$C$5+198,"dddd")</f>
        <v>Wednesday</v>
      </c>
      <c r="B47" s="13" t="n">
        <f aca="false">Setup!$C$5+198</f>
        <v>46225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TEXT(Setup!$C$5+198,"dddd")</f>
        <v>Wednesday</v>
      </c>
      <c r="B48" s="13" t="n">
        <f aca="false">Setup!$C$5+198</f>
        <v>46225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TEXT(Setup!$C$5+198,"dddd")</f>
        <v>Wednesday</v>
      </c>
      <c r="B49" s="13" t="n">
        <f aca="false">Setup!$C$5+198</f>
        <v>46225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TEXT(Setup!$C$5+198,"dddd")</f>
        <v>Wednesday</v>
      </c>
      <c r="B50" s="13" t="n">
        <f aca="false">Setup!$C$5+198</f>
        <v>46225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TEXT(Setup!$C$5+198,"dddd")</f>
        <v>Wednesday</v>
      </c>
      <c r="B51" s="13" t="n">
        <f aca="false">Setup!$C$5+198</f>
        <v>46225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TEXT(Setup!$C$5+198,"dddd")</f>
        <v>Wednesday</v>
      </c>
      <c r="B52" s="13" t="n">
        <f aca="false">Setup!$C$5+198</f>
        <v>46225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TEXT(Setup!$C$5+198,"dddd")</f>
        <v>Wednesday</v>
      </c>
      <c r="B53" s="13" t="n">
        <f aca="false">Setup!$C$5+198</f>
        <v>46225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TEXT(Setup!$C$5+198,"dddd")</f>
        <v>Wednesday</v>
      </c>
      <c r="B54" s="13" t="n">
        <f aca="false">Setup!$C$5+198</f>
        <v>46225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TEXT(Setup!$C$5+198,"dddd")</f>
        <v>Wednesday</v>
      </c>
      <c r="B55" s="13" t="n">
        <f aca="false">Setup!$C$5+198</f>
        <v>46225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TEXT(Setup!$C$5+198,"dddd")</f>
        <v>Wednesday</v>
      </c>
      <c r="B56" s="13" t="n">
        <f aca="false">Setup!$C$5+198</f>
        <v>46225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TEXT(Setup!$C$5+198,"dddd")</f>
        <v>Wednesday</v>
      </c>
      <c r="B57" s="13" t="n">
        <f aca="false">Setup!$C$5+198</f>
        <v>46225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TEXT(Setup!$C$5+198,"dddd")</f>
        <v>Wednesday</v>
      </c>
      <c r="B58" s="13" t="n">
        <f aca="false">Setup!$C$5+198</f>
        <v>46225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TEXT(Setup!$C$5+198,"dddd")</f>
        <v>Wednesday</v>
      </c>
      <c r="B59" s="13" t="n">
        <f aca="false">Setup!$C$5+198</f>
        <v>46225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TEXT(Setup!$C$5+198,"dddd")</f>
        <v>Wednesday</v>
      </c>
      <c r="B60" s="13" t="n">
        <f aca="false">Setup!$C$5+198</f>
        <v>46225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TEXT(Setup!$C$5+198,"dddd")</f>
        <v>Wednesday</v>
      </c>
      <c r="B61" s="13" t="n">
        <f aca="false">Setup!$C$5+198</f>
        <v>46225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TEXT(Setup!$C$5+198,"dddd")</f>
        <v>Wednesday</v>
      </c>
      <c r="B62" s="13" t="n">
        <f aca="false">Setup!$C$5+198</f>
        <v>46225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TEXT(Setup!$C$5+198,"dddd")</f>
        <v>Wednesday</v>
      </c>
      <c r="B63" s="13" t="n">
        <f aca="false">Setup!$C$5+198</f>
        <v>46225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TEXT(Setup!$C$5+198,"dddd")</f>
        <v>Wednesday</v>
      </c>
      <c r="B64" s="13" t="n">
        <f aca="false">Setup!$C$5+198</f>
        <v>46225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TEXT(Setup!$C$5+198,"dddd")</f>
        <v>Wednesday</v>
      </c>
      <c r="B65" s="13" t="n">
        <f aca="false">Setup!$C$5+198</f>
        <v>46225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TEXT(Setup!$C$5+198,"dddd")</f>
        <v>Wednesday</v>
      </c>
      <c r="B66" s="13" t="n">
        <f aca="false">Setup!$C$5+198</f>
        <v>46225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TEXT(Setup!$C$5+198,"dddd")</f>
        <v>Wednesday</v>
      </c>
      <c r="B67" s="23" t="n">
        <f aca="false">Setup!$C$5+198</f>
        <v>46225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IFERROR(H67-Wk28!H67,"")</f>
        <v>0</v>
      </c>
      <c r="O67" s="24" t="n">
        <f aca="false">IFERROR(D67-Wk28!D67,"")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TEXT(Setup!$C$5+199,"dddd")</f>
        <v>Thursday</v>
      </c>
      <c r="B68" s="13" t="n">
        <f aca="false">Setup!$C$5+199</f>
        <v>46226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TEXT(Setup!$C$5+199,"dddd")</f>
        <v>Thursday</v>
      </c>
      <c r="B69" s="13" t="n">
        <f aca="false">Setup!$C$5+199</f>
        <v>46226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TEXT(Setup!$C$5+199,"dddd")</f>
        <v>Thursday</v>
      </c>
      <c r="B70" s="13" t="n">
        <f aca="false">Setup!$C$5+199</f>
        <v>46226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TEXT(Setup!$C$5+199,"dddd")</f>
        <v>Thursday</v>
      </c>
      <c r="B71" s="13" t="n">
        <f aca="false">Setup!$C$5+199</f>
        <v>46226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TEXT(Setup!$C$5+199,"dddd")</f>
        <v>Thursday</v>
      </c>
      <c r="B72" s="13" t="n">
        <f aca="false">Setup!$C$5+199</f>
        <v>46226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TEXT(Setup!$C$5+199,"dddd")</f>
        <v>Thursday</v>
      </c>
      <c r="B73" s="13" t="n">
        <f aca="false">Setup!$C$5+199</f>
        <v>46226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TEXT(Setup!$C$5+199,"dddd")</f>
        <v>Thursday</v>
      </c>
      <c r="B74" s="13" t="n">
        <f aca="false">Setup!$C$5+199</f>
        <v>46226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TEXT(Setup!$C$5+199,"dddd")</f>
        <v>Thursday</v>
      </c>
      <c r="B75" s="13" t="n">
        <f aca="false">Setup!$C$5+199</f>
        <v>46226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TEXT(Setup!$C$5+199,"dddd")</f>
        <v>Thursday</v>
      </c>
      <c r="B76" s="13" t="n">
        <f aca="false">Setup!$C$5+199</f>
        <v>46226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TEXT(Setup!$C$5+199,"dddd")</f>
        <v>Thursday</v>
      </c>
      <c r="B77" s="13" t="n">
        <f aca="false">Setup!$C$5+199</f>
        <v>46226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TEXT(Setup!$C$5+199,"dddd")</f>
        <v>Thursday</v>
      </c>
      <c r="B78" s="13" t="n">
        <f aca="false">Setup!$C$5+199</f>
        <v>46226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TEXT(Setup!$C$5+199,"dddd")</f>
        <v>Thursday</v>
      </c>
      <c r="B79" s="13" t="n">
        <f aca="false">Setup!$C$5+199</f>
        <v>46226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TEXT(Setup!$C$5+199,"dddd")</f>
        <v>Thursday</v>
      </c>
      <c r="B80" s="13" t="n">
        <f aca="false">Setup!$C$5+199</f>
        <v>46226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TEXT(Setup!$C$5+199,"dddd")</f>
        <v>Thursday</v>
      </c>
      <c r="B81" s="13" t="n">
        <f aca="false">Setup!$C$5+199</f>
        <v>46226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TEXT(Setup!$C$5+199,"dddd")</f>
        <v>Thursday</v>
      </c>
      <c r="B82" s="13" t="n">
        <f aca="false">Setup!$C$5+199</f>
        <v>46226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TEXT(Setup!$C$5+199,"dddd")</f>
        <v>Thursday</v>
      </c>
      <c r="B83" s="13" t="n">
        <f aca="false">Setup!$C$5+199</f>
        <v>46226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TEXT(Setup!$C$5+199,"dddd")</f>
        <v>Thursday</v>
      </c>
      <c r="B84" s="13" t="n">
        <f aca="false">Setup!$C$5+199</f>
        <v>46226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TEXT(Setup!$C$5+199,"dddd")</f>
        <v>Thursday</v>
      </c>
      <c r="B85" s="13" t="n">
        <f aca="false">Setup!$C$5+199</f>
        <v>46226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TEXT(Setup!$C$5+199,"dddd")</f>
        <v>Thursday</v>
      </c>
      <c r="B86" s="13" t="n">
        <f aca="false">Setup!$C$5+199</f>
        <v>46226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TEXT(Setup!$C$5+199,"dddd")</f>
        <v>Thursday</v>
      </c>
      <c r="B87" s="13" t="n">
        <f aca="false">Setup!$C$5+199</f>
        <v>46226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TEXT(Setup!$C$5+199,"dddd")</f>
        <v>Thursday</v>
      </c>
      <c r="B88" s="13" t="n">
        <f aca="false">Setup!$C$5+199</f>
        <v>46226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TEXT(Setup!$C$5+199,"dddd")</f>
        <v>Thursday</v>
      </c>
      <c r="B89" s="23" t="n">
        <f aca="false">Setup!$C$5+199</f>
        <v>46226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IFERROR(H89-Wk28!H89,"")</f>
        <v>0</v>
      </c>
      <c r="O89" s="24" t="n">
        <f aca="false">IFERROR(D89-Wk28!D89,"")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TEXT(Setup!$C$5+200,"dddd")</f>
        <v>Friday</v>
      </c>
      <c r="B90" s="13" t="n">
        <f aca="false">Setup!$C$5+200</f>
        <v>46227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TEXT(Setup!$C$5+200,"dddd")</f>
        <v>Friday</v>
      </c>
      <c r="B91" s="13" t="n">
        <f aca="false">Setup!$C$5+200</f>
        <v>46227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TEXT(Setup!$C$5+200,"dddd")</f>
        <v>Friday</v>
      </c>
      <c r="B92" s="13" t="n">
        <f aca="false">Setup!$C$5+200</f>
        <v>46227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TEXT(Setup!$C$5+200,"dddd")</f>
        <v>Friday</v>
      </c>
      <c r="B93" s="13" t="n">
        <f aca="false">Setup!$C$5+200</f>
        <v>46227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TEXT(Setup!$C$5+200,"dddd")</f>
        <v>Friday</v>
      </c>
      <c r="B94" s="13" t="n">
        <f aca="false">Setup!$C$5+200</f>
        <v>46227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TEXT(Setup!$C$5+200,"dddd")</f>
        <v>Friday</v>
      </c>
      <c r="B95" s="13" t="n">
        <f aca="false">Setup!$C$5+200</f>
        <v>46227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TEXT(Setup!$C$5+200,"dddd")</f>
        <v>Friday</v>
      </c>
      <c r="B96" s="13" t="n">
        <f aca="false">Setup!$C$5+200</f>
        <v>46227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TEXT(Setup!$C$5+200,"dddd")</f>
        <v>Friday</v>
      </c>
      <c r="B97" s="13" t="n">
        <f aca="false">Setup!$C$5+200</f>
        <v>46227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TEXT(Setup!$C$5+200,"dddd")</f>
        <v>Friday</v>
      </c>
      <c r="B98" s="13" t="n">
        <f aca="false">Setup!$C$5+200</f>
        <v>46227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TEXT(Setup!$C$5+200,"dddd")</f>
        <v>Friday</v>
      </c>
      <c r="B99" s="13" t="n">
        <f aca="false">Setup!$C$5+200</f>
        <v>46227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TEXT(Setup!$C$5+200,"dddd")</f>
        <v>Friday</v>
      </c>
      <c r="B100" s="13" t="n">
        <f aca="false">Setup!$C$5+200</f>
        <v>46227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TEXT(Setup!$C$5+200,"dddd")</f>
        <v>Friday</v>
      </c>
      <c r="B101" s="13" t="n">
        <f aca="false">Setup!$C$5+200</f>
        <v>46227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TEXT(Setup!$C$5+200,"dddd")</f>
        <v>Friday</v>
      </c>
      <c r="B102" s="13" t="n">
        <f aca="false">Setup!$C$5+200</f>
        <v>46227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TEXT(Setup!$C$5+200,"dddd")</f>
        <v>Friday</v>
      </c>
      <c r="B103" s="13" t="n">
        <f aca="false">Setup!$C$5+200</f>
        <v>46227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TEXT(Setup!$C$5+200,"dddd")</f>
        <v>Friday</v>
      </c>
      <c r="B104" s="13" t="n">
        <f aca="false">Setup!$C$5+200</f>
        <v>46227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TEXT(Setup!$C$5+200,"dddd")</f>
        <v>Friday</v>
      </c>
      <c r="B105" s="13" t="n">
        <f aca="false">Setup!$C$5+200</f>
        <v>46227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TEXT(Setup!$C$5+200,"dddd")</f>
        <v>Friday</v>
      </c>
      <c r="B106" s="13" t="n">
        <f aca="false">Setup!$C$5+200</f>
        <v>46227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TEXT(Setup!$C$5+200,"dddd")</f>
        <v>Friday</v>
      </c>
      <c r="B107" s="13" t="n">
        <f aca="false">Setup!$C$5+200</f>
        <v>46227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TEXT(Setup!$C$5+200,"dddd")</f>
        <v>Friday</v>
      </c>
      <c r="B108" s="13" t="n">
        <f aca="false">Setup!$C$5+200</f>
        <v>46227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TEXT(Setup!$C$5+200,"dddd")</f>
        <v>Friday</v>
      </c>
      <c r="B109" s="13" t="n">
        <f aca="false">Setup!$C$5+200</f>
        <v>46227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TEXT(Setup!$C$5+200,"dddd")</f>
        <v>Friday</v>
      </c>
      <c r="B110" s="13" t="n">
        <f aca="false">Setup!$C$5+200</f>
        <v>46227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TEXT(Setup!$C$5+200,"dddd")</f>
        <v>Friday</v>
      </c>
      <c r="B111" s="23" t="n">
        <f aca="false">Setup!$C$5+200</f>
        <v>46227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IFERROR(H111-Wk28!H111,"")</f>
        <v>0</v>
      </c>
      <c r="O111" s="24" t="n">
        <f aca="false">IFERROR(D111-Wk28!D111,"")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TEXT(Setup!$C$5+201,"dddd")</f>
        <v>Saturday</v>
      </c>
      <c r="B112" s="13" t="n">
        <f aca="false">Setup!$C$5+201</f>
        <v>46228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TEXT(Setup!$C$5+201,"dddd")</f>
        <v>Saturday</v>
      </c>
      <c r="B113" s="13" t="n">
        <f aca="false">Setup!$C$5+201</f>
        <v>46228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TEXT(Setup!$C$5+201,"dddd")</f>
        <v>Saturday</v>
      </c>
      <c r="B114" s="13" t="n">
        <f aca="false">Setup!$C$5+201</f>
        <v>46228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TEXT(Setup!$C$5+201,"dddd")</f>
        <v>Saturday</v>
      </c>
      <c r="B115" s="13" t="n">
        <f aca="false">Setup!$C$5+201</f>
        <v>46228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TEXT(Setup!$C$5+201,"dddd")</f>
        <v>Saturday</v>
      </c>
      <c r="B116" s="13" t="n">
        <f aca="false">Setup!$C$5+201</f>
        <v>46228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TEXT(Setup!$C$5+201,"dddd")</f>
        <v>Saturday</v>
      </c>
      <c r="B117" s="13" t="n">
        <f aca="false">Setup!$C$5+201</f>
        <v>46228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TEXT(Setup!$C$5+201,"dddd")</f>
        <v>Saturday</v>
      </c>
      <c r="B118" s="13" t="n">
        <f aca="false">Setup!$C$5+201</f>
        <v>46228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TEXT(Setup!$C$5+201,"dddd")</f>
        <v>Saturday</v>
      </c>
      <c r="B119" s="13" t="n">
        <f aca="false">Setup!$C$5+201</f>
        <v>46228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TEXT(Setup!$C$5+201,"dddd")</f>
        <v>Saturday</v>
      </c>
      <c r="B120" s="13" t="n">
        <f aca="false">Setup!$C$5+201</f>
        <v>46228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TEXT(Setup!$C$5+201,"dddd")</f>
        <v>Saturday</v>
      </c>
      <c r="B121" s="13" t="n">
        <f aca="false">Setup!$C$5+201</f>
        <v>46228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TEXT(Setup!$C$5+201,"dddd")</f>
        <v>Saturday</v>
      </c>
      <c r="B122" s="13" t="n">
        <f aca="false">Setup!$C$5+201</f>
        <v>46228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TEXT(Setup!$C$5+201,"dddd")</f>
        <v>Saturday</v>
      </c>
      <c r="B123" s="13" t="n">
        <f aca="false">Setup!$C$5+201</f>
        <v>46228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TEXT(Setup!$C$5+201,"dddd")</f>
        <v>Saturday</v>
      </c>
      <c r="B124" s="13" t="n">
        <f aca="false">Setup!$C$5+201</f>
        <v>46228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TEXT(Setup!$C$5+201,"dddd")</f>
        <v>Saturday</v>
      </c>
      <c r="B125" s="13" t="n">
        <f aca="false">Setup!$C$5+201</f>
        <v>46228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TEXT(Setup!$C$5+201,"dddd")</f>
        <v>Saturday</v>
      </c>
      <c r="B126" s="13" t="n">
        <f aca="false">Setup!$C$5+201</f>
        <v>46228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TEXT(Setup!$C$5+201,"dddd")</f>
        <v>Saturday</v>
      </c>
      <c r="B127" s="13" t="n">
        <f aca="false">Setup!$C$5+201</f>
        <v>46228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TEXT(Setup!$C$5+201,"dddd")</f>
        <v>Saturday</v>
      </c>
      <c r="B128" s="13" t="n">
        <f aca="false">Setup!$C$5+201</f>
        <v>46228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TEXT(Setup!$C$5+201,"dddd")</f>
        <v>Saturday</v>
      </c>
      <c r="B129" s="13" t="n">
        <f aca="false">Setup!$C$5+201</f>
        <v>46228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TEXT(Setup!$C$5+201,"dddd")</f>
        <v>Saturday</v>
      </c>
      <c r="B130" s="13" t="n">
        <f aca="false">Setup!$C$5+201</f>
        <v>46228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TEXT(Setup!$C$5+201,"dddd")</f>
        <v>Saturday</v>
      </c>
      <c r="B131" s="13" t="n">
        <f aca="false">Setup!$C$5+201</f>
        <v>46228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TEXT(Setup!$C$5+201,"dddd")</f>
        <v>Saturday</v>
      </c>
      <c r="B132" s="13" t="n">
        <f aca="false">Setup!$C$5+201</f>
        <v>46228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TEXT(Setup!$C$5+201,"dddd")</f>
        <v>Saturday</v>
      </c>
      <c r="B133" s="23" t="n">
        <f aca="false">Setup!$C$5+201</f>
        <v>46228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IFERROR(H133-Wk28!H133,"")</f>
        <v>0</v>
      </c>
      <c r="O133" s="24" t="n">
        <f aca="false">IFERROR(D133-Wk28!D133,"")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TEXT(Setup!$C$5+202,"dddd")</f>
        <v>Sunday</v>
      </c>
      <c r="B134" s="13" t="n">
        <f aca="false">Setup!$C$5+202</f>
        <v>46229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TEXT(Setup!$C$5+202,"dddd")</f>
        <v>Sunday</v>
      </c>
      <c r="B135" s="13" t="n">
        <f aca="false">Setup!$C$5+202</f>
        <v>46229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TEXT(Setup!$C$5+202,"dddd")</f>
        <v>Sunday</v>
      </c>
      <c r="B136" s="13" t="n">
        <f aca="false">Setup!$C$5+202</f>
        <v>46229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TEXT(Setup!$C$5+202,"dddd")</f>
        <v>Sunday</v>
      </c>
      <c r="B137" s="13" t="n">
        <f aca="false">Setup!$C$5+202</f>
        <v>46229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TEXT(Setup!$C$5+202,"dddd")</f>
        <v>Sunday</v>
      </c>
      <c r="B138" s="13" t="n">
        <f aca="false">Setup!$C$5+202</f>
        <v>46229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TEXT(Setup!$C$5+202,"dddd")</f>
        <v>Sunday</v>
      </c>
      <c r="B139" s="13" t="n">
        <f aca="false">Setup!$C$5+202</f>
        <v>46229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TEXT(Setup!$C$5+202,"dddd")</f>
        <v>Sunday</v>
      </c>
      <c r="B140" s="13" t="n">
        <f aca="false">Setup!$C$5+202</f>
        <v>46229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TEXT(Setup!$C$5+202,"dddd")</f>
        <v>Sunday</v>
      </c>
      <c r="B141" s="13" t="n">
        <f aca="false">Setup!$C$5+202</f>
        <v>46229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TEXT(Setup!$C$5+202,"dddd")</f>
        <v>Sunday</v>
      </c>
      <c r="B142" s="13" t="n">
        <f aca="false">Setup!$C$5+202</f>
        <v>46229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TEXT(Setup!$C$5+202,"dddd")</f>
        <v>Sunday</v>
      </c>
      <c r="B143" s="13" t="n">
        <f aca="false">Setup!$C$5+202</f>
        <v>46229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TEXT(Setup!$C$5+202,"dddd")</f>
        <v>Sunday</v>
      </c>
      <c r="B144" s="13" t="n">
        <f aca="false">Setup!$C$5+202</f>
        <v>46229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TEXT(Setup!$C$5+202,"dddd")</f>
        <v>Sunday</v>
      </c>
      <c r="B145" s="13" t="n">
        <f aca="false">Setup!$C$5+202</f>
        <v>46229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TEXT(Setup!$C$5+202,"dddd")</f>
        <v>Sunday</v>
      </c>
      <c r="B146" s="13" t="n">
        <f aca="false">Setup!$C$5+202</f>
        <v>46229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TEXT(Setup!$C$5+202,"dddd")</f>
        <v>Sunday</v>
      </c>
      <c r="B147" s="13" t="n">
        <f aca="false">Setup!$C$5+202</f>
        <v>46229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TEXT(Setup!$C$5+202,"dddd")</f>
        <v>Sunday</v>
      </c>
      <c r="B148" s="13" t="n">
        <f aca="false">Setup!$C$5+202</f>
        <v>46229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TEXT(Setup!$C$5+202,"dddd")</f>
        <v>Sunday</v>
      </c>
      <c r="B149" s="13" t="n">
        <f aca="false">Setup!$C$5+202</f>
        <v>46229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TEXT(Setup!$C$5+202,"dddd")</f>
        <v>Sunday</v>
      </c>
      <c r="B150" s="13" t="n">
        <f aca="false">Setup!$C$5+202</f>
        <v>46229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TEXT(Setup!$C$5+202,"dddd")</f>
        <v>Sunday</v>
      </c>
      <c r="B151" s="13" t="n">
        <f aca="false">Setup!$C$5+202</f>
        <v>46229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TEXT(Setup!$C$5+202,"dddd")</f>
        <v>Sunday</v>
      </c>
      <c r="B152" s="13" t="n">
        <f aca="false">Setup!$C$5+202</f>
        <v>46229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TEXT(Setup!$C$5+202,"dddd")</f>
        <v>Sunday</v>
      </c>
      <c r="B153" s="13" t="n">
        <f aca="false">Setup!$C$5+202</f>
        <v>46229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TEXT(Setup!$C$5+202,"dddd")</f>
        <v>Sunday</v>
      </c>
      <c r="B154" s="13" t="n">
        <f aca="false">Setup!$C$5+202</f>
        <v>46229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TEXT(Setup!$C$5+202,"dddd")</f>
        <v>Sunday</v>
      </c>
      <c r="B155" s="23" t="n">
        <f aca="false">Setup!$C$5+202</f>
        <v>46229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IFERROR(H155-Wk28!H155,"")</f>
        <v>0</v>
      </c>
      <c r="O155" s="24" t="n">
        <f aca="false">IFERROR(D155-Wk28!D155,"")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IFERROR(D156-Wk28!D156,"")</f>
        <v>0</v>
      </c>
      <c r="E157" s="34" t="n">
        <f aca="false">IFERROR(E156-Wk28!E156,"")</f>
        <v>0</v>
      </c>
      <c r="H157" s="32" t="n">
        <f aca="false">IFERROR(H156-Wk28!H156,"")</f>
        <v>0</v>
      </c>
      <c r="K157" s="32" t="n">
        <f aca="false">IFERROR(K156-Wk28!K156,"")</f>
        <v>0</v>
      </c>
      <c r="M157" s="32" t="n">
        <f aca="false">IFERROR(M156-Wk28!M156,"")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TEXT(Setup!$C$5+203,"dddd")</f>
        <v>Monday</v>
      </c>
      <c r="B2" s="13" t="n">
        <f aca="false">Setup!$C$5+203</f>
        <v>46230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TEXT(Setup!$C$5+203,"dddd")</f>
        <v>Monday</v>
      </c>
      <c r="B3" s="13" t="n">
        <f aca="false">Setup!$C$5+203</f>
        <v>46230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TEXT(Setup!$C$5+203,"dddd")</f>
        <v>Monday</v>
      </c>
      <c r="B4" s="13" t="n">
        <f aca="false">Setup!$C$5+203</f>
        <v>46230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TEXT(Setup!$C$5+203,"dddd")</f>
        <v>Monday</v>
      </c>
      <c r="B5" s="13" t="n">
        <f aca="false">Setup!$C$5+203</f>
        <v>46230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TEXT(Setup!$C$5+203,"dddd")</f>
        <v>Monday</v>
      </c>
      <c r="B6" s="13" t="n">
        <f aca="false">Setup!$C$5+203</f>
        <v>46230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TEXT(Setup!$C$5+203,"dddd")</f>
        <v>Monday</v>
      </c>
      <c r="B7" s="13" t="n">
        <f aca="false">Setup!$C$5+203</f>
        <v>46230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TEXT(Setup!$C$5+203,"dddd")</f>
        <v>Monday</v>
      </c>
      <c r="B8" s="13" t="n">
        <f aca="false">Setup!$C$5+203</f>
        <v>46230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TEXT(Setup!$C$5+203,"dddd")</f>
        <v>Monday</v>
      </c>
      <c r="B9" s="13" t="n">
        <f aca="false">Setup!$C$5+203</f>
        <v>46230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TEXT(Setup!$C$5+203,"dddd")</f>
        <v>Monday</v>
      </c>
      <c r="B10" s="13" t="n">
        <f aca="false">Setup!$C$5+203</f>
        <v>46230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TEXT(Setup!$C$5+203,"dddd")</f>
        <v>Monday</v>
      </c>
      <c r="B11" s="13" t="n">
        <f aca="false">Setup!$C$5+203</f>
        <v>46230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TEXT(Setup!$C$5+203,"dddd")</f>
        <v>Monday</v>
      </c>
      <c r="B12" s="13" t="n">
        <f aca="false">Setup!$C$5+203</f>
        <v>46230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TEXT(Setup!$C$5+203,"dddd")</f>
        <v>Monday</v>
      </c>
      <c r="B13" s="13" t="n">
        <f aca="false">Setup!$C$5+203</f>
        <v>46230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TEXT(Setup!$C$5+203,"dddd")</f>
        <v>Monday</v>
      </c>
      <c r="B14" s="13" t="n">
        <f aca="false">Setup!$C$5+203</f>
        <v>46230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TEXT(Setup!$C$5+203,"dddd")</f>
        <v>Monday</v>
      </c>
      <c r="B15" s="13" t="n">
        <f aca="false">Setup!$C$5+203</f>
        <v>46230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TEXT(Setup!$C$5+203,"dddd")</f>
        <v>Monday</v>
      </c>
      <c r="B16" s="13" t="n">
        <f aca="false">Setup!$C$5+203</f>
        <v>46230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TEXT(Setup!$C$5+203,"dddd")</f>
        <v>Monday</v>
      </c>
      <c r="B17" s="13" t="n">
        <f aca="false">Setup!$C$5+203</f>
        <v>46230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TEXT(Setup!$C$5+203,"dddd")</f>
        <v>Monday</v>
      </c>
      <c r="B18" s="13" t="n">
        <f aca="false">Setup!$C$5+203</f>
        <v>46230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TEXT(Setup!$C$5+203,"dddd")</f>
        <v>Monday</v>
      </c>
      <c r="B19" s="13" t="n">
        <f aca="false">Setup!$C$5+203</f>
        <v>46230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TEXT(Setup!$C$5+203,"dddd")</f>
        <v>Monday</v>
      </c>
      <c r="B20" s="13" t="n">
        <f aca="false">Setup!$C$5+203</f>
        <v>46230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TEXT(Setup!$C$5+203,"dddd")</f>
        <v>Monday</v>
      </c>
      <c r="B21" s="13" t="n">
        <f aca="false">Setup!$C$5+203</f>
        <v>46230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TEXT(Setup!$C$5+203,"dddd")</f>
        <v>Monday</v>
      </c>
      <c r="B22" s="13" t="n">
        <f aca="false">Setup!$C$5+203</f>
        <v>46230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TEXT(Setup!$C$5+203,"dddd")</f>
        <v>Monday</v>
      </c>
      <c r="B23" s="23" t="n">
        <f aca="false">Setup!$C$5+203</f>
        <v>46230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IFERROR(H23-Wk29!H23,"")</f>
        <v>0</v>
      </c>
      <c r="O23" s="24" t="n">
        <f aca="false">IFERROR(D23-Wk29!D23,"")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TEXT(Setup!$C$5+204,"dddd")</f>
        <v>Tuesday</v>
      </c>
      <c r="B24" s="13" t="n">
        <f aca="false">Setup!$C$5+204</f>
        <v>46231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TEXT(Setup!$C$5+204,"dddd")</f>
        <v>Tuesday</v>
      </c>
      <c r="B25" s="13" t="n">
        <f aca="false">Setup!$C$5+204</f>
        <v>46231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TEXT(Setup!$C$5+204,"dddd")</f>
        <v>Tuesday</v>
      </c>
      <c r="B26" s="13" t="n">
        <f aca="false">Setup!$C$5+204</f>
        <v>46231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TEXT(Setup!$C$5+204,"dddd")</f>
        <v>Tuesday</v>
      </c>
      <c r="B27" s="13" t="n">
        <f aca="false">Setup!$C$5+204</f>
        <v>46231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TEXT(Setup!$C$5+204,"dddd")</f>
        <v>Tuesday</v>
      </c>
      <c r="B28" s="13" t="n">
        <f aca="false">Setup!$C$5+204</f>
        <v>46231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TEXT(Setup!$C$5+204,"dddd")</f>
        <v>Tuesday</v>
      </c>
      <c r="B29" s="13" t="n">
        <f aca="false">Setup!$C$5+204</f>
        <v>46231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TEXT(Setup!$C$5+204,"dddd")</f>
        <v>Tuesday</v>
      </c>
      <c r="B30" s="13" t="n">
        <f aca="false">Setup!$C$5+204</f>
        <v>46231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TEXT(Setup!$C$5+204,"dddd")</f>
        <v>Tuesday</v>
      </c>
      <c r="B31" s="13" t="n">
        <f aca="false">Setup!$C$5+204</f>
        <v>46231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TEXT(Setup!$C$5+204,"dddd")</f>
        <v>Tuesday</v>
      </c>
      <c r="B32" s="13" t="n">
        <f aca="false">Setup!$C$5+204</f>
        <v>46231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TEXT(Setup!$C$5+204,"dddd")</f>
        <v>Tuesday</v>
      </c>
      <c r="B33" s="13" t="n">
        <f aca="false">Setup!$C$5+204</f>
        <v>46231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TEXT(Setup!$C$5+204,"dddd")</f>
        <v>Tuesday</v>
      </c>
      <c r="B34" s="13" t="n">
        <f aca="false">Setup!$C$5+204</f>
        <v>46231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TEXT(Setup!$C$5+204,"dddd")</f>
        <v>Tuesday</v>
      </c>
      <c r="B35" s="13" t="n">
        <f aca="false">Setup!$C$5+204</f>
        <v>46231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TEXT(Setup!$C$5+204,"dddd")</f>
        <v>Tuesday</v>
      </c>
      <c r="B36" s="13" t="n">
        <f aca="false">Setup!$C$5+204</f>
        <v>46231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TEXT(Setup!$C$5+204,"dddd")</f>
        <v>Tuesday</v>
      </c>
      <c r="B37" s="13" t="n">
        <f aca="false">Setup!$C$5+204</f>
        <v>46231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TEXT(Setup!$C$5+204,"dddd")</f>
        <v>Tuesday</v>
      </c>
      <c r="B38" s="13" t="n">
        <f aca="false">Setup!$C$5+204</f>
        <v>46231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TEXT(Setup!$C$5+204,"dddd")</f>
        <v>Tuesday</v>
      </c>
      <c r="B39" s="13" t="n">
        <f aca="false">Setup!$C$5+204</f>
        <v>46231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TEXT(Setup!$C$5+204,"dddd")</f>
        <v>Tuesday</v>
      </c>
      <c r="B40" s="13" t="n">
        <f aca="false">Setup!$C$5+204</f>
        <v>46231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TEXT(Setup!$C$5+204,"dddd")</f>
        <v>Tuesday</v>
      </c>
      <c r="B41" s="13" t="n">
        <f aca="false">Setup!$C$5+204</f>
        <v>46231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TEXT(Setup!$C$5+204,"dddd")</f>
        <v>Tuesday</v>
      </c>
      <c r="B42" s="13" t="n">
        <f aca="false">Setup!$C$5+204</f>
        <v>46231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TEXT(Setup!$C$5+204,"dddd")</f>
        <v>Tuesday</v>
      </c>
      <c r="B43" s="13" t="n">
        <f aca="false">Setup!$C$5+204</f>
        <v>46231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TEXT(Setup!$C$5+204,"dddd")</f>
        <v>Tuesday</v>
      </c>
      <c r="B44" s="13" t="n">
        <f aca="false">Setup!$C$5+204</f>
        <v>46231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TEXT(Setup!$C$5+204,"dddd")</f>
        <v>Tuesday</v>
      </c>
      <c r="B45" s="23" t="n">
        <f aca="false">Setup!$C$5+204</f>
        <v>46231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IFERROR(H45-Wk29!H45,"")</f>
        <v>0</v>
      </c>
      <c r="O45" s="24" t="n">
        <f aca="false">IFERROR(D45-Wk29!D45,"")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TEXT(Setup!$C$5+205,"dddd")</f>
        <v>Wednesday</v>
      </c>
      <c r="B46" s="13" t="n">
        <f aca="false">Setup!$C$5+205</f>
        <v>46232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TEXT(Setup!$C$5+205,"dddd")</f>
        <v>Wednesday</v>
      </c>
      <c r="B47" s="13" t="n">
        <f aca="false">Setup!$C$5+205</f>
        <v>46232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TEXT(Setup!$C$5+205,"dddd")</f>
        <v>Wednesday</v>
      </c>
      <c r="B48" s="13" t="n">
        <f aca="false">Setup!$C$5+205</f>
        <v>46232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TEXT(Setup!$C$5+205,"dddd")</f>
        <v>Wednesday</v>
      </c>
      <c r="B49" s="13" t="n">
        <f aca="false">Setup!$C$5+205</f>
        <v>46232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TEXT(Setup!$C$5+205,"dddd")</f>
        <v>Wednesday</v>
      </c>
      <c r="B50" s="13" t="n">
        <f aca="false">Setup!$C$5+205</f>
        <v>46232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TEXT(Setup!$C$5+205,"dddd")</f>
        <v>Wednesday</v>
      </c>
      <c r="B51" s="13" t="n">
        <f aca="false">Setup!$C$5+205</f>
        <v>46232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TEXT(Setup!$C$5+205,"dddd")</f>
        <v>Wednesday</v>
      </c>
      <c r="B52" s="13" t="n">
        <f aca="false">Setup!$C$5+205</f>
        <v>46232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TEXT(Setup!$C$5+205,"dddd")</f>
        <v>Wednesday</v>
      </c>
      <c r="B53" s="13" t="n">
        <f aca="false">Setup!$C$5+205</f>
        <v>46232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TEXT(Setup!$C$5+205,"dddd")</f>
        <v>Wednesday</v>
      </c>
      <c r="B54" s="13" t="n">
        <f aca="false">Setup!$C$5+205</f>
        <v>46232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TEXT(Setup!$C$5+205,"dddd")</f>
        <v>Wednesday</v>
      </c>
      <c r="B55" s="13" t="n">
        <f aca="false">Setup!$C$5+205</f>
        <v>46232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TEXT(Setup!$C$5+205,"dddd")</f>
        <v>Wednesday</v>
      </c>
      <c r="B56" s="13" t="n">
        <f aca="false">Setup!$C$5+205</f>
        <v>46232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TEXT(Setup!$C$5+205,"dddd")</f>
        <v>Wednesday</v>
      </c>
      <c r="B57" s="13" t="n">
        <f aca="false">Setup!$C$5+205</f>
        <v>46232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TEXT(Setup!$C$5+205,"dddd")</f>
        <v>Wednesday</v>
      </c>
      <c r="B58" s="13" t="n">
        <f aca="false">Setup!$C$5+205</f>
        <v>46232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TEXT(Setup!$C$5+205,"dddd")</f>
        <v>Wednesday</v>
      </c>
      <c r="B59" s="13" t="n">
        <f aca="false">Setup!$C$5+205</f>
        <v>46232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TEXT(Setup!$C$5+205,"dddd")</f>
        <v>Wednesday</v>
      </c>
      <c r="B60" s="13" t="n">
        <f aca="false">Setup!$C$5+205</f>
        <v>46232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TEXT(Setup!$C$5+205,"dddd")</f>
        <v>Wednesday</v>
      </c>
      <c r="B61" s="13" t="n">
        <f aca="false">Setup!$C$5+205</f>
        <v>46232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TEXT(Setup!$C$5+205,"dddd")</f>
        <v>Wednesday</v>
      </c>
      <c r="B62" s="13" t="n">
        <f aca="false">Setup!$C$5+205</f>
        <v>46232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TEXT(Setup!$C$5+205,"dddd")</f>
        <v>Wednesday</v>
      </c>
      <c r="B63" s="13" t="n">
        <f aca="false">Setup!$C$5+205</f>
        <v>46232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TEXT(Setup!$C$5+205,"dddd")</f>
        <v>Wednesday</v>
      </c>
      <c r="B64" s="13" t="n">
        <f aca="false">Setup!$C$5+205</f>
        <v>46232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TEXT(Setup!$C$5+205,"dddd")</f>
        <v>Wednesday</v>
      </c>
      <c r="B65" s="13" t="n">
        <f aca="false">Setup!$C$5+205</f>
        <v>46232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TEXT(Setup!$C$5+205,"dddd")</f>
        <v>Wednesday</v>
      </c>
      <c r="B66" s="13" t="n">
        <f aca="false">Setup!$C$5+205</f>
        <v>46232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TEXT(Setup!$C$5+205,"dddd")</f>
        <v>Wednesday</v>
      </c>
      <c r="B67" s="23" t="n">
        <f aca="false">Setup!$C$5+205</f>
        <v>46232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IFERROR(H67-Wk29!H67,"")</f>
        <v>0</v>
      </c>
      <c r="O67" s="24" t="n">
        <f aca="false">IFERROR(D67-Wk29!D67,"")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TEXT(Setup!$C$5+206,"dddd")</f>
        <v>Thursday</v>
      </c>
      <c r="B68" s="13" t="n">
        <f aca="false">Setup!$C$5+206</f>
        <v>46233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TEXT(Setup!$C$5+206,"dddd")</f>
        <v>Thursday</v>
      </c>
      <c r="B69" s="13" t="n">
        <f aca="false">Setup!$C$5+206</f>
        <v>46233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TEXT(Setup!$C$5+206,"dddd")</f>
        <v>Thursday</v>
      </c>
      <c r="B70" s="13" t="n">
        <f aca="false">Setup!$C$5+206</f>
        <v>46233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TEXT(Setup!$C$5+206,"dddd")</f>
        <v>Thursday</v>
      </c>
      <c r="B71" s="13" t="n">
        <f aca="false">Setup!$C$5+206</f>
        <v>46233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TEXT(Setup!$C$5+206,"dddd")</f>
        <v>Thursday</v>
      </c>
      <c r="B72" s="13" t="n">
        <f aca="false">Setup!$C$5+206</f>
        <v>46233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TEXT(Setup!$C$5+206,"dddd")</f>
        <v>Thursday</v>
      </c>
      <c r="B73" s="13" t="n">
        <f aca="false">Setup!$C$5+206</f>
        <v>46233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TEXT(Setup!$C$5+206,"dddd")</f>
        <v>Thursday</v>
      </c>
      <c r="B74" s="13" t="n">
        <f aca="false">Setup!$C$5+206</f>
        <v>46233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TEXT(Setup!$C$5+206,"dddd")</f>
        <v>Thursday</v>
      </c>
      <c r="B75" s="13" t="n">
        <f aca="false">Setup!$C$5+206</f>
        <v>46233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TEXT(Setup!$C$5+206,"dddd")</f>
        <v>Thursday</v>
      </c>
      <c r="B76" s="13" t="n">
        <f aca="false">Setup!$C$5+206</f>
        <v>46233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TEXT(Setup!$C$5+206,"dddd")</f>
        <v>Thursday</v>
      </c>
      <c r="B77" s="13" t="n">
        <f aca="false">Setup!$C$5+206</f>
        <v>46233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TEXT(Setup!$C$5+206,"dddd")</f>
        <v>Thursday</v>
      </c>
      <c r="B78" s="13" t="n">
        <f aca="false">Setup!$C$5+206</f>
        <v>46233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TEXT(Setup!$C$5+206,"dddd")</f>
        <v>Thursday</v>
      </c>
      <c r="B79" s="13" t="n">
        <f aca="false">Setup!$C$5+206</f>
        <v>46233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TEXT(Setup!$C$5+206,"dddd")</f>
        <v>Thursday</v>
      </c>
      <c r="B80" s="13" t="n">
        <f aca="false">Setup!$C$5+206</f>
        <v>46233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TEXT(Setup!$C$5+206,"dddd")</f>
        <v>Thursday</v>
      </c>
      <c r="B81" s="13" t="n">
        <f aca="false">Setup!$C$5+206</f>
        <v>46233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TEXT(Setup!$C$5+206,"dddd")</f>
        <v>Thursday</v>
      </c>
      <c r="B82" s="13" t="n">
        <f aca="false">Setup!$C$5+206</f>
        <v>46233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TEXT(Setup!$C$5+206,"dddd")</f>
        <v>Thursday</v>
      </c>
      <c r="B83" s="13" t="n">
        <f aca="false">Setup!$C$5+206</f>
        <v>46233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TEXT(Setup!$C$5+206,"dddd")</f>
        <v>Thursday</v>
      </c>
      <c r="B84" s="13" t="n">
        <f aca="false">Setup!$C$5+206</f>
        <v>46233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TEXT(Setup!$C$5+206,"dddd")</f>
        <v>Thursday</v>
      </c>
      <c r="B85" s="13" t="n">
        <f aca="false">Setup!$C$5+206</f>
        <v>46233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TEXT(Setup!$C$5+206,"dddd")</f>
        <v>Thursday</v>
      </c>
      <c r="B86" s="13" t="n">
        <f aca="false">Setup!$C$5+206</f>
        <v>46233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TEXT(Setup!$C$5+206,"dddd")</f>
        <v>Thursday</v>
      </c>
      <c r="B87" s="13" t="n">
        <f aca="false">Setup!$C$5+206</f>
        <v>46233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TEXT(Setup!$C$5+206,"dddd")</f>
        <v>Thursday</v>
      </c>
      <c r="B88" s="13" t="n">
        <f aca="false">Setup!$C$5+206</f>
        <v>46233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TEXT(Setup!$C$5+206,"dddd")</f>
        <v>Thursday</v>
      </c>
      <c r="B89" s="23" t="n">
        <f aca="false">Setup!$C$5+206</f>
        <v>46233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IFERROR(H89-Wk29!H89,"")</f>
        <v>0</v>
      </c>
      <c r="O89" s="24" t="n">
        <f aca="false">IFERROR(D89-Wk29!D89,"")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TEXT(Setup!$C$5+207,"dddd")</f>
        <v>Friday</v>
      </c>
      <c r="B90" s="13" t="n">
        <f aca="false">Setup!$C$5+207</f>
        <v>46234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TEXT(Setup!$C$5+207,"dddd")</f>
        <v>Friday</v>
      </c>
      <c r="B91" s="13" t="n">
        <f aca="false">Setup!$C$5+207</f>
        <v>46234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TEXT(Setup!$C$5+207,"dddd")</f>
        <v>Friday</v>
      </c>
      <c r="B92" s="13" t="n">
        <f aca="false">Setup!$C$5+207</f>
        <v>46234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TEXT(Setup!$C$5+207,"dddd")</f>
        <v>Friday</v>
      </c>
      <c r="B93" s="13" t="n">
        <f aca="false">Setup!$C$5+207</f>
        <v>46234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TEXT(Setup!$C$5+207,"dddd")</f>
        <v>Friday</v>
      </c>
      <c r="B94" s="13" t="n">
        <f aca="false">Setup!$C$5+207</f>
        <v>46234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TEXT(Setup!$C$5+207,"dddd")</f>
        <v>Friday</v>
      </c>
      <c r="B95" s="13" t="n">
        <f aca="false">Setup!$C$5+207</f>
        <v>46234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TEXT(Setup!$C$5+207,"dddd")</f>
        <v>Friday</v>
      </c>
      <c r="B96" s="13" t="n">
        <f aca="false">Setup!$C$5+207</f>
        <v>46234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TEXT(Setup!$C$5+207,"dddd")</f>
        <v>Friday</v>
      </c>
      <c r="B97" s="13" t="n">
        <f aca="false">Setup!$C$5+207</f>
        <v>46234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TEXT(Setup!$C$5+207,"dddd")</f>
        <v>Friday</v>
      </c>
      <c r="B98" s="13" t="n">
        <f aca="false">Setup!$C$5+207</f>
        <v>46234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TEXT(Setup!$C$5+207,"dddd")</f>
        <v>Friday</v>
      </c>
      <c r="B99" s="13" t="n">
        <f aca="false">Setup!$C$5+207</f>
        <v>46234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TEXT(Setup!$C$5+207,"dddd")</f>
        <v>Friday</v>
      </c>
      <c r="B100" s="13" t="n">
        <f aca="false">Setup!$C$5+207</f>
        <v>46234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TEXT(Setup!$C$5+207,"dddd")</f>
        <v>Friday</v>
      </c>
      <c r="B101" s="13" t="n">
        <f aca="false">Setup!$C$5+207</f>
        <v>46234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TEXT(Setup!$C$5+207,"dddd")</f>
        <v>Friday</v>
      </c>
      <c r="B102" s="13" t="n">
        <f aca="false">Setup!$C$5+207</f>
        <v>46234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TEXT(Setup!$C$5+207,"dddd")</f>
        <v>Friday</v>
      </c>
      <c r="B103" s="13" t="n">
        <f aca="false">Setup!$C$5+207</f>
        <v>46234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TEXT(Setup!$C$5+207,"dddd")</f>
        <v>Friday</v>
      </c>
      <c r="B104" s="13" t="n">
        <f aca="false">Setup!$C$5+207</f>
        <v>46234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TEXT(Setup!$C$5+207,"dddd")</f>
        <v>Friday</v>
      </c>
      <c r="B105" s="13" t="n">
        <f aca="false">Setup!$C$5+207</f>
        <v>46234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TEXT(Setup!$C$5+207,"dddd")</f>
        <v>Friday</v>
      </c>
      <c r="B106" s="13" t="n">
        <f aca="false">Setup!$C$5+207</f>
        <v>46234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TEXT(Setup!$C$5+207,"dddd")</f>
        <v>Friday</v>
      </c>
      <c r="B107" s="13" t="n">
        <f aca="false">Setup!$C$5+207</f>
        <v>46234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TEXT(Setup!$C$5+207,"dddd")</f>
        <v>Friday</v>
      </c>
      <c r="B108" s="13" t="n">
        <f aca="false">Setup!$C$5+207</f>
        <v>46234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TEXT(Setup!$C$5+207,"dddd")</f>
        <v>Friday</v>
      </c>
      <c r="B109" s="13" t="n">
        <f aca="false">Setup!$C$5+207</f>
        <v>46234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TEXT(Setup!$C$5+207,"dddd")</f>
        <v>Friday</v>
      </c>
      <c r="B110" s="13" t="n">
        <f aca="false">Setup!$C$5+207</f>
        <v>46234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TEXT(Setup!$C$5+207,"dddd")</f>
        <v>Friday</v>
      </c>
      <c r="B111" s="23" t="n">
        <f aca="false">Setup!$C$5+207</f>
        <v>46234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IFERROR(H111-Wk29!H111,"")</f>
        <v>0</v>
      </c>
      <c r="O111" s="24" t="n">
        <f aca="false">IFERROR(D111-Wk29!D111,"")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TEXT(Setup!$C$5+208,"dddd")</f>
        <v>Saturday</v>
      </c>
      <c r="B112" s="13" t="n">
        <f aca="false">Setup!$C$5+208</f>
        <v>46235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TEXT(Setup!$C$5+208,"dddd")</f>
        <v>Saturday</v>
      </c>
      <c r="B113" s="13" t="n">
        <f aca="false">Setup!$C$5+208</f>
        <v>46235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TEXT(Setup!$C$5+208,"dddd")</f>
        <v>Saturday</v>
      </c>
      <c r="B114" s="13" t="n">
        <f aca="false">Setup!$C$5+208</f>
        <v>46235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TEXT(Setup!$C$5+208,"dddd")</f>
        <v>Saturday</v>
      </c>
      <c r="B115" s="13" t="n">
        <f aca="false">Setup!$C$5+208</f>
        <v>46235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TEXT(Setup!$C$5+208,"dddd")</f>
        <v>Saturday</v>
      </c>
      <c r="B116" s="13" t="n">
        <f aca="false">Setup!$C$5+208</f>
        <v>46235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TEXT(Setup!$C$5+208,"dddd")</f>
        <v>Saturday</v>
      </c>
      <c r="B117" s="13" t="n">
        <f aca="false">Setup!$C$5+208</f>
        <v>46235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TEXT(Setup!$C$5+208,"dddd")</f>
        <v>Saturday</v>
      </c>
      <c r="B118" s="13" t="n">
        <f aca="false">Setup!$C$5+208</f>
        <v>46235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TEXT(Setup!$C$5+208,"dddd")</f>
        <v>Saturday</v>
      </c>
      <c r="B119" s="13" t="n">
        <f aca="false">Setup!$C$5+208</f>
        <v>46235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TEXT(Setup!$C$5+208,"dddd")</f>
        <v>Saturday</v>
      </c>
      <c r="B120" s="13" t="n">
        <f aca="false">Setup!$C$5+208</f>
        <v>46235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TEXT(Setup!$C$5+208,"dddd")</f>
        <v>Saturday</v>
      </c>
      <c r="B121" s="13" t="n">
        <f aca="false">Setup!$C$5+208</f>
        <v>46235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TEXT(Setup!$C$5+208,"dddd")</f>
        <v>Saturday</v>
      </c>
      <c r="B122" s="13" t="n">
        <f aca="false">Setup!$C$5+208</f>
        <v>46235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TEXT(Setup!$C$5+208,"dddd")</f>
        <v>Saturday</v>
      </c>
      <c r="B123" s="13" t="n">
        <f aca="false">Setup!$C$5+208</f>
        <v>46235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TEXT(Setup!$C$5+208,"dddd")</f>
        <v>Saturday</v>
      </c>
      <c r="B124" s="13" t="n">
        <f aca="false">Setup!$C$5+208</f>
        <v>46235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TEXT(Setup!$C$5+208,"dddd")</f>
        <v>Saturday</v>
      </c>
      <c r="B125" s="13" t="n">
        <f aca="false">Setup!$C$5+208</f>
        <v>46235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TEXT(Setup!$C$5+208,"dddd")</f>
        <v>Saturday</v>
      </c>
      <c r="B126" s="13" t="n">
        <f aca="false">Setup!$C$5+208</f>
        <v>46235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TEXT(Setup!$C$5+208,"dddd")</f>
        <v>Saturday</v>
      </c>
      <c r="B127" s="13" t="n">
        <f aca="false">Setup!$C$5+208</f>
        <v>46235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TEXT(Setup!$C$5+208,"dddd")</f>
        <v>Saturday</v>
      </c>
      <c r="B128" s="13" t="n">
        <f aca="false">Setup!$C$5+208</f>
        <v>46235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TEXT(Setup!$C$5+208,"dddd")</f>
        <v>Saturday</v>
      </c>
      <c r="B129" s="13" t="n">
        <f aca="false">Setup!$C$5+208</f>
        <v>46235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TEXT(Setup!$C$5+208,"dddd")</f>
        <v>Saturday</v>
      </c>
      <c r="B130" s="13" t="n">
        <f aca="false">Setup!$C$5+208</f>
        <v>46235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TEXT(Setup!$C$5+208,"dddd")</f>
        <v>Saturday</v>
      </c>
      <c r="B131" s="13" t="n">
        <f aca="false">Setup!$C$5+208</f>
        <v>46235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TEXT(Setup!$C$5+208,"dddd")</f>
        <v>Saturday</v>
      </c>
      <c r="B132" s="13" t="n">
        <f aca="false">Setup!$C$5+208</f>
        <v>46235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TEXT(Setup!$C$5+208,"dddd")</f>
        <v>Saturday</v>
      </c>
      <c r="B133" s="23" t="n">
        <f aca="false">Setup!$C$5+208</f>
        <v>46235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IFERROR(H133-Wk29!H133,"")</f>
        <v>0</v>
      </c>
      <c r="O133" s="24" t="n">
        <f aca="false">IFERROR(D133-Wk29!D133,"")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TEXT(Setup!$C$5+209,"dddd")</f>
        <v>Sunday</v>
      </c>
      <c r="B134" s="13" t="n">
        <f aca="false">Setup!$C$5+209</f>
        <v>46236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TEXT(Setup!$C$5+209,"dddd")</f>
        <v>Sunday</v>
      </c>
      <c r="B135" s="13" t="n">
        <f aca="false">Setup!$C$5+209</f>
        <v>46236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TEXT(Setup!$C$5+209,"dddd")</f>
        <v>Sunday</v>
      </c>
      <c r="B136" s="13" t="n">
        <f aca="false">Setup!$C$5+209</f>
        <v>46236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TEXT(Setup!$C$5+209,"dddd")</f>
        <v>Sunday</v>
      </c>
      <c r="B137" s="13" t="n">
        <f aca="false">Setup!$C$5+209</f>
        <v>46236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TEXT(Setup!$C$5+209,"dddd")</f>
        <v>Sunday</v>
      </c>
      <c r="B138" s="13" t="n">
        <f aca="false">Setup!$C$5+209</f>
        <v>46236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TEXT(Setup!$C$5+209,"dddd")</f>
        <v>Sunday</v>
      </c>
      <c r="B139" s="13" t="n">
        <f aca="false">Setup!$C$5+209</f>
        <v>46236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TEXT(Setup!$C$5+209,"dddd")</f>
        <v>Sunday</v>
      </c>
      <c r="B140" s="13" t="n">
        <f aca="false">Setup!$C$5+209</f>
        <v>46236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TEXT(Setup!$C$5+209,"dddd")</f>
        <v>Sunday</v>
      </c>
      <c r="B141" s="13" t="n">
        <f aca="false">Setup!$C$5+209</f>
        <v>46236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TEXT(Setup!$C$5+209,"dddd")</f>
        <v>Sunday</v>
      </c>
      <c r="B142" s="13" t="n">
        <f aca="false">Setup!$C$5+209</f>
        <v>46236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TEXT(Setup!$C$5+209,"dddd")</f>
        <v>Sunday</v>
      </c>
      <c r="B143" s="13" t="n">
        <f aca="false">Setup!$C$5+209</f>
        <v>46236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TEXT(Setup!$C$5+209,"dddd")</f>
        <v>Sunday</v>
      </c>
      <c r="B144" s="13" t="n">
        <f aca="false">Setup!$C$5+209</f>
        <v>46236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TEXT(Setup!$C$5+209,"dddd")</f>
        <v>Sunday</v>
      </c>
      <c r="B145" s="13" t="n">
        <f aca="false">Setup!$C$5+209</f>
        <v>46236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TEXT(Setup!$C$5+209,"dddd")</f>
        <v>Sunday</v>
      </c>
      <c r="B146" s="13" t="n">
        <f aca="false">Setup!$C$5+209</f>
        <v>46236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TEXT(Setup!$C$5+209,"dddd")</f>
        <v>Sunday</v>
      </c>
      <c r="B147" s="13" t="n">
        <f aca="false">Setup!$C$5+209</f>
        <v>46236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TEXT(Setup!$C$5+209,"dddd")</f>
        <v>Sunday</v>
      </c>
      <c r="B148" s="13" t="n">
        <f aca="false">Setup!$C$5+209</f>
        <v>46236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TEXT(Setup!$C$5+209,"dddd")</f>
        <v>Sunday</v>
      </c>
      <c r="B149" s="13" t="n">
        <f aca="false">Setup!$C$5+209</f>
        <v>46236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TEXT(Setup!$C$5+209,"dddd")</f>
        <v>Sunday</v>
      </c>
      <c r="B150" s="13" t="n">
        <f aca="false">Setup!$C$5+209</f>
        <v>46236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TEXT(Setup!$C$5+209,"dddd")</f>
        <v>Sunday</v>
      </c>
      <c r="B151" s="13" t="n">
        <f aca="false">Setup!$C$5+209</f>
        <v>46236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TEXT(Setup!$C$5+209,"dddd")</f>
        <v>Sunday</v>
      </c>
      <c r="B152" s="13" t="n">
        <f aca="false">Setup!$C$5+209</f>
        <v>46236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TEXT(Setup!$C$5+209,"dddd")</f>
        <v>Sunday</v>
      </c>
      <c r="B153" s="13" t="n">
        <f aca="false">Setup!$C$5+209</f>
        <v>46236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TEXT(Setup!$C$5+209,"dddd")</f>
        <v>Sunday</v>
      </c>
      <c r="B154" s="13" t="n">
        <f aca="false">Setup!$C$5+209</f>
        <v>46236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TEXT(Setup!$C$5+209,"dddd")</f>
        <v>Sunday</v>
      </c>
      <c r="B155" s="23" t="n">
        <f aca="false">Setup!$C$5+209</f>
        <v>46236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IFERROR(H155-Wk29!H155,"")</f>
        <v>0</v>
      </c>
      <c r="O155" s="24" t="n">
        <f aca="false">IFERROR(D155-Wk29!D155,"")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IFERROR(D156-Wk29!D156,"")</f>
        <v>0</v>
      </c>
      <c r="E157" s="34" t="n">
        <f aca="false">IFERROR(E156-Wk29!E156,"")</f>
        <v>0</v>
      </c>
      <c r="H157" s="32" t="n">
        <f aca="false">IFERROR(H156-Wk29!H156,"")</f>
        <v>0</v>
      </c>
      <c r="K157" s="32" t="n">
        <f aca="false">IFERROR(K156-Wk29!K156,"")</f>
        <v>0</v>
      </c>
      <c r="M157" s="32" t="n">
        <f aca="false">IFERROR(M156-Wk29!M156,"")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TEXT(Setup!$C$5+210,"dddd")</f>
        <v>Monday</v>
      </c>
      <c r="B2" s="13" t="n">
        <f aca="false">Setup!$C$5+210</f>
        <v>46237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TEXT(Setup!$C$5+210,"dddd")</f>
        <v>Monday</v>
      </c>
      <c r="B3" s="13" t="n">
        <f aca="false">Setup!$C$5+210</f>
        <v>46237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TEXT(Setup!$C$5+210,"dddd")</f>
        <v>Monday</v>
      </c>
      <c r="B4" s="13" t="n">
        <f aca="false">Setup!$C$5+210</f>
        <v>46237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TEXT(Setup!$C$5+210,"dddd")</f>
        <v>Monday</v>
      </c>
      <c r="B5" s="13" t="n">
        <f aca="false">Setup!$C$5+210</f>
        <v>46237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TEXT(Setup!$C$5+210,"dddd")</f>
        <v>Monday</v>
      </c>
      <c r="B6" s="13" t="n">
        <f aca="false">Setup!$C$5+210</f>
        <v>46237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TEXT(Setup!$C$5+210,"dddd")</f>
        <v>Monday</v>
      </c>
      <c r="B7" s="13" t="n">
        <f aca="false">Setup!$C$5+210</f>
        <v>46237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TEXT(Setup!$C$5+210,"dddd")</f>
        <v>Monday</v>
      </c>
      <c r="B8" s="13" t="n">
        <f aca="false">Setup!$C$5+210</f>
        <v>46237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TEXT(Setup!$C$5+210,"dddd")</f>
        <v>Monday</v>
      </c>
      <c r="B9" s="13" t="n">
        <f aca="false">Setup!$C$5+210</f>
        <v>46237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TEXT(Setup!$C$5+210,"dddd")</f>
        <v>Monday</v>
      </c>
      <c r="B10" s="13" t="n">
        <f aca="false">Setup!$C$5+210</f>
        <v>46237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TEXT(Setup!$C$5+210,"dddd")</f>
        <v>Monday</v>
      </c>
      <c r="B11" s="13" t="n">
        <f aca="false">Setup!$C$5+210</f>
        <v>46237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TEXT(Setup!$C$5+210,"dddd")</f>
        <v>Monday</v>
      </c>
      <c r="B12" s="13" t="n">
        <f aca="false">Setup!$C$5+210</f>
        <v>46237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TEXT(Setup!$C$5+210,"dddd")</f>
        <v>Monday</v>
      </c>
      <c r="B13" s="13" t="n">
        <f aca="false">Setup!$C$5+210</f>
        <v>46237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TEXT(Setup!$C$5+210,"dddd")</f>
        <v>Monday</v>
      </c>
      <c r="B14" s="13" t="n">
        <f aca="false">Setup!$C$5+210</f>
        <v>46237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TEXT(Setup!$C$5+210,"dddd")</f>
        <v>Monday</v>
      </c>
      <c r="B15" s="13" t="n">
        <f aca="false">Setup!$C$5+210</f>
        <v>46237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TEXT(Setup!$C$5+210,"dddd")</f>
        <v>Monday</v>
      </c>
      <c r="B16" s="13" t="n">
        <f aca="false">Setup!$C$5+210</f>
        <v>46237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TEXT(Setup!$C$5+210,"dddd")</f>
        <v>Monday</v>
      </c>
      <c r="B17" s="13" t="n">
        <f aca="false">Setup!$C$5+210</f>
        <v>46237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TEXT(Setup!$C$5+210,"dddd")</f>
        <v>Monday</v>
      </c>
      <c r="B18" s="13" t="n">
        <f aca="false">Setup!$C$5+210</f>
        <v>46237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TEXT(Setup!$C$5+210,"dddd")</f>
        <v>Monday</v>
      </c>
      <c r="B19" s="13" t="n">
        <f aca="false">Setup!$C$5+210</f>
        <v>46237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TEXT(Setup!$C$5+210,"dddd")</f>
        <v>Monday</v>
      </c>
      <c r="B20" s="13" t="n">
        <f aca="false">Setup!$C$5+210</f>
        <v>46237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TEXT(Setup!$C$5+210,"dddd")</f>
        <v>Monday</v>
      </c>
      <c r="B21" s="13" t="n">
        <f aca="false">Setup!$C$5+210</f>
        <v>46237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TEXT(Setup!$C$5+210,"dddd")</f>
        <v>Monday</v>
      </c>
      <c r="B22" s="13" t="n">
        <f aca="false">Setup!$C$5+210</f>
        <v>46237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TEXT(Setup!$C$5+210,"dddd")</f>
        <v>Monday</v>
      </c>
      <c r="B23" s="23" t="n">
        <f aca="false">Setup!$C$5+210</f>
        <v>46237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IFERROR(H23-Wk30!H23,"")</f>
        <v>0</v>
      </c>
      <c r="O23" s="24" t="n">
        <f aca="false">IFERROR(D23-Wk30!D23,"")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TEXT(Setup!$C$5+211,"dddd")</f>
        <v>Tuesday</v>
      </c>
      <c r="B24" s="13" t="n">
        <f aca="false">Setup!$C$5+211</f>
        <v>46238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TEXT(Setup!$C$5+211,"dddd")</f>
        <v>Tuesday</v>
      </c>
      <c r="B25" s="13" t="n">
        <f aca="false">Setup!$C$5+211</f>
        <v>46238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TEXT(Setup!$C$5+211,"dddd")</f>
        <v>Tuesday</v>
      </c>
      <c r="B26" s="13" t="n">
        <f aca="false">Setup!$C$5+211</f>
        <v>46238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TEXT(Setup!$C$5+211,"dddd")</f>
        <v>Tuesday</v>
      </c>
      <c r="B27" s="13" t="n">
        <f aca="false">Setup!$C$5+211</f>
        <v>46238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TEXT(Setup!$C$5+211,"dddd")</f>
        <v>Tuesday</v>
      </c>
      <c r="B28" s="13" t="n">
        <f aca="false">Setup!$C$5+211</f>
        <v>46238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TEXT(Setup!$C$5+211,"dddd")</f>
        <v>Tuesday</v>
      </c>
      <c r="B29" s="13" t="n">
        <f aca="false">Setup!$C$5+211</f>
        <v>46238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TEXT(Setup!$C$5+211,"dddd")</f>
        <v>Tuesday</v>
      </c>
      <c r="B30" s="13" t="n">
        <f aca="false">Setup!$C$5+211</f>
        <v>46238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TEXT(Setup!$C$5+211,"dddd")</f>
        <v>Tuesday</v>
      </c>
      <c r="B31" s="13" t="n">
        <f aca="false">Setup!$C$5+211</f>
        <v>46238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TEXT(Setup!$C$5+211,"dddd")</f>
        <v>Tuesday</v>
      </c>
      <c r="B32" s="13" t="n">
        <f aca="false">Setup!$C$5+211</f>
        <v>46238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TEXT(Setup!$C$5+211,"dddd")</f>
        <v>Tuesday</v>
      </c>
      <c r="B33" s="13" t="n">
        <f aca="false">Setup!$C$5+211</f>
        <v>46238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TEXT(Setup!$C$5+211,"dddd")</f>
        <v>Tuesday</v>
      </c>
      <c r="B34" s="13" t="n">
        <f aca="false">Setup!$C$5+211</f>
        <v>46238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TEXT(Setup!$C$5+211,"dddd")</f>
        <v>Tuesday</v>
      </c>
      <c r="B35" s="13" t="n">
        <f aca="false">Setup!$C$5+211</f>
        <v>46238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TEXT(Setup!$C$5+211,"dddd")</f>
        <v>Tuesday</v>
      </c>
      <c r="B36" s="13" t="n">
        <f aca="false">Setup!$C$5+211</f>
        <v>46238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TEXT(Setup!$C$5+211,"dddd")</f>
        <v>Tuesday</v>
      </c>
      <c r="B37" s="13" t="n">
        <f aca="false">Setup!$C$5+211</f>
        <v>46238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TEXT(Setup!$C$5+211,"dddd")</f>
        <v>Tuesday</v>
      </c>
      <c r="B38" s="13" t="n">
        <f aca="false">Setup!$C$5+211</f>
        <v>46238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TEXT(Setup!$C$5+211,"dddd")</f>
        <v>Tuesday</v>
      </c>
      <c r="B39" s="13" t="n">
        <f aca="false">Setup!$C$5+211</f>
        <v>46238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TEXT(Setup!$C$5+211,"dddd")</f>
        <v>Tuesday</v>
      </c>
      <c r="B40" s="13" t="n">
        <f aca="false">Setup!$C$5+211</f>
        <v>46238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TEXT(Setup!$C$5+211,"dddd")</f>
        <v>Tuesday</v>
      </c>
      <c r="B41" s="13" t="n">
        <f aca="false">Setup!$C$5+211</f>
        <v>46238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TEXT(Setup!$C$5+211,"dddd")</f>
        <v>Tuesday</v>
      </c>
      <c r="B42" s="13" t="n">
        <f aca="false">Setup!$C$5+211</f>
        <v>46238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TEXT(Setup!$C$5+211,"dddd")</f>
        <v>Tuesday</v>
      </c>
      <c r="B43" s="13" t="n">
        <f aca="false">Setup!$C$5+211</f>
        <v>46238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TEXT(Setup!$C$5+211,"dddd")</f>
        <v>Tuesday</v>
      </c>
      <c r="B44" s="13" t="n">
        <f aca="false">Setup!$C$5+211</f>
        <v>46238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TEXT(Setup!$C$5+211,"dddd")</f>
        <v>Tuesday</v>
      </c>
      <c r="B45" s="23" t="n">
        <f aca="false">Setup!$C$5+211</f>
        <v>46238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IFERROR(H45-Wk30!H45,"")</f>
        <v>0</v>
      </c>
      <c r="O45" s="24" t="n">
        <f aca="false">IFERROR(D45-Wk30!D45,"")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TEXT(Setup!$C$5+212,"dddd")</f>
        <v>Wednesday</v>
      </c>
      <c r="B46" s="13" t="n">
        <f aca="false">Setup!$C$5+212</f>
        <v>46239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TEXT(Setup!$C$5+212,"dddd")</f>
        <v>Wednesday</v>
      </c>
      <c r="B47" s="13" t="n">
        <f aca="false">Setup!$C$5+212</f>
        <v>46239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TEXT(Setup!$C$5+212,"dddd")</f>
        <v>Wednesday</v>
      </c>
      <c r="B48" s="13" t="n">
        <f aca="false">Setup!$C$5+212</f>
        <v>46239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TEXT(Setup!$C$5+212,"dddd")</f>
        <v>Wednesday</v>
      </c>
      <c r="B49" s="13" t="n">
        <f aca="false">Setup!$C$5+212</f>
        <v>46239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TEXT(Setup!$C$5+212,"dddd")</f>
        <v>Wednesday</v>
      </c>
      <c r="B50" s="13" t="n">
        <f aca="false">Setup!$C$5+212</f>
        <v>46239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TEXT(Setup!$C$5+212,"dddd")</f>
        <v>Wednesday</v>
      </c>
      <c r="B51" s="13" t="n">
        <f aca="false">Setup!$C$5+212</f>
        <v>46239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TEXT(Setup!$C$5+212,"dddd")</f>
        <v>Wednesday</v>
      </c>
      <c r="B52" s="13" t="n">
        <f aca="false">Setup!$C$5+212</f>
        <v>46239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TEXT(Setup!$C$5+212,"dddd")</f>
        <v>Wednesday</v>
      </c>
      <c r="B53" s="13" t="n">
        <f aca="false">Setup!$C$5+212</f>
        <v>46239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TEXT(Setup!$C$5+212,"dddd")</f>
        <v>Wednesday</v>
      </c>
      <c r="B54" s="13" t="n">
        <f aca="false">Setup!$C$5+212</f>
        <v>46239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TEXT(Setup!$C$5+212,"dddd")</f>
        <v>Wednesday</v>
      </c>
      <c r="B55" s="13" t="n">
        <f aca="false">Setup!$C$5+212</f>
        <v>46239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TEXT(Setup!$C$5+212,"dddd")</f>
        <v>Wednesday</v>
      </c>
      <c r="B56" s="13" t="n">
        <f aca="false">Setup!$C$5+212</f>
        <v>46239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TEXT(Setup!$C$5+212,"dddd")</f>
        <v>Wednesday</v>
      </c>
      <c r="B57" s="13" t="n">
        <f aca="false">Setup!$C$5+212</f>
        <v>46239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TEXT(Setup!$C$5+212,"dddd")</f>
        <v>Wednesday</v>
      </c>
      <c r="B58" s="13" t="n">
        <f aca="false">Setup!$C$5+212</f>
        <v>46239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TEXT(Setup!$C$5+212,"dddd")</f>
        <v>Wednesday</v>
      </c>
      <c r="B59" s="13" t="n">
        <f aca="false">Setup!$C$5+212</f>
        <v>46239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TEXT(Setup!$C$5+212,"dddd")</f>
        <v>Wednesday</v>
      </c>
      <c r="B60" s="13" t="n">
        <f aca="false">Setup!$C$5+212</f>
        <v>46239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TEXT(Setup!$C$5+212,"dddd")</f>
        <v>Wednesday</v>
      </c>
      <c r="B61" s="13" t="n">
        <f aca="false">Setup!$C$5+212</f>
        <v>46239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TEXT(Setup!$C$5+212,"dddd")</f>
        <v>Wednesday</v>
      </c>
      <c r="B62" s="13" t="n">
        <f aca="false">Setup!$C$5+212</f>
        <v>46239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TEXT(Setup!$C$5+212,"dddd")</f>
        <v>Wednesday</v>
      </c>
      <c r="B63" s="13" t="n">
        <f aca="false">Setup!$C$5+212</f>
        <v>46239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TEXT(Setup!$C$5+212,"dddd")</f>
        <v>Wednesday</v>
      </c>
      <c r="B64" s="13" t="n">
        <f aca="false">Setup!$C$5+212</f>
        <v>46239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TEXT(Setup!$C$5+212,"dddd")</f>
        <v>Wednesday</v>
      </c>
      <c r="B65" s="13" t="n">
        <f aca="false">Setup!$C$5+212</f>
        <v>46239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TEXT(Setup!$C$5+212,"dddd")</f>
        <v>Wednesday</v>
      </c>
      <c r="B66" s="13" t="n">
        <f aca="false">Setup!$C$5+212</f>
        <v>46239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TEXT(Setup!$C$5+212,"dddd")</f>
        <v>Wednesday</v>
      </c>
      <c r="B67" s="23" t="n">
        <f aca="false">Setup!$C$5+212</f>
        <v>46239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IFERROR(H67-Wk30!H67,"")</f>
        <v>0</v>
      </c>
      <c r="O67" s="24" t="n">
        <f aca="false">IFERROR(D67-Wk30!D67,"")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TEXT(Setup!$C$5+213,"dddd")</f>
        <v>Thursday</v>
      </c>
      <c r="B68" s="13" t="n">
        <f aca="false">Setup!$C$5+213</f>
        <v>46240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TEXT(Setup!$C$5+213,"dddd")</f>
        <v>Thursday</v>
      </c>
      <c r="B69" s="13" t="n">
        <f aca="false">Setup!$C$5+213</f>
        <v>46240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TEXT(Setup!$C$5+213,"dddd")</f>
        <v>Thursday</v>
      </c>
      <c r="B70" s="13" t="n">
        <f aca="false">Setup!$C$5+213</f>
        <v>46240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TEXT(Setup!$C$5+213,"dddd")</f>
        <v>Thursday</v>
      </c>
      <c r="B71" s="13" t="n">
        <f aca="false">Setup!$C$5+213</f>
        <v>46240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TEXT(Setup!$C$5+213,"dddd")</f>
        <v>Thursday</v>
      </c>
      <c r="B72" s="13" t="n">
        <f aca="false">Setup!$C$5+213</f>
        <v>46240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TEXT(Setup!$C$5+213,"dddd")</f>
        <v>Thursday</v>
      </c>
      <c r="B73" s="13" t="n">
        <f aca="false">Setup!$C$5+213</f>
        <v>46240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TEXT(Setup!$C$5+213,"dddd")</f>
        <v>Thursday</v>
      </c>
      <c r="B74" s="13" t="n">
        <f aca="false">Setup!$C$5+213</f>
        <v>46240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TEXT(Setup!$C$5+213,"dddd")</f>
        <v>Thursday</v>
      </c>
      <c r="B75" s="13" t="n">
        <f aca="false">Setup!$C$5+213</f>
        <v>46240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TEXT(Setup!$C$5+213,"dddd")</f>
        <v>Thursday</v>
      </c>
      <c r="B76" s="13" t="n">
        <f aca="false">Setup!$C$5+213</f>
        <v>46240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TEXT(Setup!$C$5+213,"dddd")</f>
        <v>Thursday</v>
      </c>
      <c r="B77" s="13" t="n">
        <f aca="false">Setup!$C$5+213</f>
        <v>46240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TEXT(Setup!$C$5+213,"dddd")</f>
        <v>Thursday</v>
      </c>
      <c r="B78" s="13" t="n">
        <f aca="false">Setup!$C$5+213</f>
        <v>46240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TEXT(Setup!$C$5+213,"dddd")</f>
        <v>Thursday</v>
      </c>
      <c r="B79" s="13" t="n">
        <f aca="false">Setup!$C$5+213</f>
        <v>46240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TEXT(Setup!$C$5+213,"dddd")</f>
        <v>Thursday</v>
      </c>
      <c r="B80" s="13" t="n">
        <f aca="false">Setup!$C$5+213</f>
        <v>46240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TEXT(Setup!$C$5+213,"dddd")</f>
        <v>Thursday</v>
      </c>
      <c r="B81" s="13" t="n">
        <f aca="false">Setup!$C$5+213</f>
        <v>46240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TEXT(Setup!$C$5+213,"dddd")</f>
        <v>Thursday</v>
      </c>
      <c r="B82" s="13" t="n">
        <f aca="false">Setup!$C$5+213</f>
        <v>46240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TEXT(Setup!$C$5+213,"dddd")</f>
        <v>Thursday</v>
      </c>
      <c r="B83" s="13" t="n">
        <f aca="false">Setup!$C$5+213</f>
        <v>46240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TEXT(Setup!$C$5+213,"dddd")</f>
        <v>Thursday</v>
      </c>
      <c r="B84" s="13" t="n">
        <f aca="false">Setup!$C$5+213</f>
        <v>46240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TEXT(Setup!$C$5+213,"dddd")</f>
        <v>Thursday</v>
      </c>
      <c r="B85" s="13" t="n">
        <f aca="false">Setup!$C$5+213</f>
        <v>46240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TEXT(Setup!$C$5+213,"dddd")</f>
        <v>Thursday</v>
      </c>
      <c r="B86" s="13" t="n">
        <f aca="false">Setup!$C$5+213</f>
        <v>46240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TEXT(Setup!$C$5+213,"dddd")</f>
        <v>Thursday</v>
      </c>
      <c r="B87" s="13" t="n">
        <f aca="false">Setup!$C$5+213</f>
        <v>46240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TEXT(Setup!$C$5+213,"dddd")</f>
        <v>Thursday</v>
      </c>
      <c r="B88" s="13" t="n">
        <f aca="false">Setup!$C$5+213</f>
        <v>46240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TEXT(Setup!$C$5+213,"dddd")</f>
        <v>Thursday</v>
      </c>
      <c r="B89" s="23" t="n">
        <f aca="false">Setup!$C$5+213</f>
        <v>46240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IFERROR(H89-Wk30!H89,"")</f>
        <v>0</v>
      </c>
      <c r="O89" s="24" t="n">
        <f aca="false">IFERROR(D89-Wk30!D89,"")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TEXT(Setup!$C$5+214,"dddd")</f>
        <v>Friday</v>
      </c>
      <c r="B90" s="13" t="n">
        <f aca="false">Setup!$C$5+214</f>
        <v>46241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TEXT(Setup!$C$5+214,"dddd")</f>
        <v>Friday</v>
      </c>
      <c r="B91" s="13" t="n">
        <f aca="false">Setup!$C$5+214</f>
        <v>46241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TEXT(Setup!$C$5+214,"dddd")</f>
        <v>Friday</v>
      </c>
      <c r="B92" s="13" t="n">
        <f aca="false">Setup!$C$5+214</f>
        <v>46241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TEXT(Setup!$C$5+214,"dddd")</f>
        <v>Friday</v>
      </c>
      <c r="B93" s="13" t="n">
        <f aca="false">Setup!$C$5+214</f>
        <v>46241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TEXT(Setup!$C$5+214,"dddd")</f>
        <v>Friday</v>
      </c>
      <c r="B94" s="13" t="n">
        <f aca="false">Setup!$C$5+214</f>
        <v>46241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TEXT(Setup!$C$5+214,"dddd")</f>
        <v>Friday</v>
      </c>
      <c r="B95" s="13" t="n">
        <f aca="false">Setup!$C$5+214</f>
        <v>46241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TEXT(Setup!$C$5+214,"dddd")</f>
        <v>Friday</v>
      </c>
      <c r="B96" s="13" t="n">
        <f aca="false">Setup!$C$5+214</f>
        <v>46241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TEXT(Setup!$C$5+214,"dddd")</f>
        <v>Friday</v>
      </c>
      <c r="B97" s="13" t="n">
        <f aca="false">Setup!$C$5+214</f>
        <v>46241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TEXT(Setup!$C$5+214,"dddd")</f>
        <v>Friday</v>
      </c>
      <c r="B98" s="13" t="n">
        <f aca="false">Setup!$C$5+214</f>
        <v>46241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TEXT(Setup!$C$5+214,"dddd")</f>
        <v>Friday</v>
      </c>
      <c r="B99" s="13" t="n">
        <f aca="false">Setup!$C$5+214</f>
        <v>46241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TEXT(Setup!$C$5+214,"dddd")</f>
        <v>Friday</v>
      </c>
      <c r="B100" s="13" t="n">
        <f aca="false">Setup!$C$5+214</f>
        <v>46241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TEXT(Setup!$C$5+214,"dddd")</f>
        <v>Friday</v>
      </c>
      <c r="B101" s="13" t="n">
        <f aca="false">Setup!$C$5+214</f>
        <v>46241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TEXT(Setup!$C$5+214,"dddd")</f>
        <v>Friday</v>
      </c>
      <c r="B102" s="13" t="n">
        <f aca="false">Setup!$C$5+214</f>
        <v>46241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TEXT(Setup!$C$5+214,"dddd")</f>
        <v>Friday</v>
      </c>
      <c r="B103" s="13" t="n">
        <f aca="false">Setup!$C$5+214</f>
        <v>46241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TEXT(Setup!$C$5+214,"dddd")</f>
        <v>Friday</v>
      </c>
      <c r="B104" s="13" t="n">
        <f aca="false">Setup!$C$5+214</f>
        <v>46241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TEXT(Setup!$C$5+214,"dddd")</f>
        <v>Friday</v>
      </c>
      <c r="B105" s="13" t="n">
        <f aca="false">Setup!$C$5+214</f>
        <v>46241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TEXT(Setup!$C$5+214,"dddd")</f>
        <v>Friday</v>
      </c>
      <c r="B106" s="13" t="n">
        <f aca="false">Setup!$C$5+214</f>
        <v>46241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TEXT(Setup!$C$5+214,"dddd")</f>
        <v>Friday</v>
      </c>
      <c r="B107" s="13" t="n">
        <f aca="false">Setup!$C$5+214</f>
        <v>46241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TEXT(Setup!$C$5+214,"dddd")</f>
        <v>Friday</v>
      </c>
      <c r="B108" s="13" t="n">
        <f aca="false">Setup!$C$5+214</f>
        <v>46241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TEXT(Setup!$C$5+214,"dddd")</f>
        <v>Friday</v>
      </c>
      <c r="B109" s="13" t="n">
        <f aca="false">Setup!$C$5+214</f>
        <v>46241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TEXT(Setup!$C$5+214,"dddd")</f>
        <v>Friday</v>
      </c>
      <c r="B110" s="13" t="n">
        <f aca="false">Setup!$C$5+214</f>
        <v>46241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TEXT(Setup!$C$5+214,"dddd")</f>
        <v>Friday</v>
      </c>
      <c r="B111" s="23" t="n">
        <f aca="false">Setup!$C$5+214</f>
        <v>46241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IFERROR(H111-Wk30!H111,"")</f>
        <v>0</v>
      </c>
      <c r="O111" s="24" t="n">
        <f aca="false">IFERROR(D111-Wk30!D111,"")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TEXT(Setup!$C$5+215,"dddd")</f>
        <v>Saturday</v>
      </c>
      <c r="B112" s="13" t="n">
        <f aca="false">Setup!$C$5+215</f>
        <v>46242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TEXT(Setup!$C$5+215,"dddd")</f>
        <v>Saturday</v>
      </c>
      <c r="B113" s="13" t="n">
        <f aca="false">Setup!$C$5+215</f>
        <v>46242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TEXT(Setup!$C$5+215,"dddd")</f>
        <v>Saturday</v>
      </c>
      <c r="B114" s="13" t="n">
        <f aca="false">Setup!$C$5+215</f>
        <v>46242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TEXT(Setup!$C$5+215,"dddd")</f>
        <v>Saturday</v>
      </c>
      <c r="B115" s="13" t="n">
        <f aca="false">Setup!$C$5+215</f>
        <v>46242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TEXT(Setup!$C$5+215,"dddd")</f>
        <v>Saturday</v>
      </c>
      <c r="B116" s="13" t="n">
        <f aca="false">Setup!$C$5+215</f>
        <v>46242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TEXT(Setup!$C$5+215,"dddd")</f>
        <v>Saturday</v>
      </c>
      <c r="B117" s="13" t="n">
        <f aca="false">Setup!$C$5+215</f>
        <v>46242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TEXT(Setup!$C$5+215,"dddd")</f>
        <v>Saturday</v>
      </c>
      <c r="B118" s="13" t="n">
        <f aca="false">Setup!$C$5+215</f>
        <v>46242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TEXT(Setup!$C$5+215,"dddd")</f>
        <v>Saturday</v>
      </c>
      <c r="B119" s="13" t="n">
        <f aca="false">Setup!$C$5+215</f>
        <v>46242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TEXT(Setup!$C$5+215,"dddd")</f>
        <v>Saturday</v>
      </c>
      <c r="B120" s="13" t="n">
        <f aca="false">Setup!$C$5+215</f>
        <v>46242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TEXT(Setup!$C$5+215,"dddd")</f>
        <v>Saturday</v>
      </c>
      <c r="B121" s="13" t="n">
        <f aca="false">Setup!$C$5+215</f>
        <v>46242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TEXT(Setup!$C$5+215,"dddd")</f>
        <v>Saturday</v>
      </c>
      <c r="B122" s="13" t="n">
        <f aca="false">Setup!$C$5+215</f>
        <v>46242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TEXT(Setup!$C$5+215,"dddd")</f>
        <v>Saturday</v>
      </c>
      <c r="B123" s="13" t="n">
        <f aca="false">Setup!$C$5+215</f>
        <v>46242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TEXT(Setup!$C$5+215,"dddd")</f>
        <v>Saturday</v>
      </c>
      <c r="B124" s="13" t="n">
        <f aca="false">Setup!$C$5+215</f>
        <v>46242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TEXT(Setup!$C$5+215,"dddd")</f>
        <v>Saturday</v>
      </c>
      <c r="B125" s="13" t="n">
        <f aca="false">Setup!$C$5+215</f>
        <v>46242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TEXT(Setup!$C$5+215,"dddd")</f>
        <v>Saturday</v>
      </c>
      <c r="B126" s="13" t="n">
        <f aca="false">Setup!$C$5+215</f>
        <v>46242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TEXT(Setup!$C$5+215,"dddd")</f>
        <v>Saturday</v>
      </c>
      <c r="B127" s="13" t="n">
        <f aca="false">Setup!$C$5+215</f>
        <v>46242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TEXT(Setup!$C$5+215,"dddd")</f>
        <v>Saturday</v>
      </c>
      <c r="B128" s="13" t="n">
        <f aca="false">Setup!$C$5+215</f>
        <v>46242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TEXT(Setup!$C$5+215,"dddd")</f>
        <v>Saturday</v>
      </c>
      <c r="B129" s="13" t="n">
        <f aca="false">Setup!$C$5+215</f>
        <v>46242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TEXT(Setup!$C$5+215,"dddd")</f>
        <v>Saturday</v>
      </c>
      <c r="B130" s="13" t="n">
        <f aca="false">Setup!$C$5+215</f>
        <v>46242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TEXT(Setup!$C$5+215,"dddd")</f>
        <v>Saturday</v>
      </c>
      <c r="B131" s="13" t="n">
        <f aca="false">Setup!$C$5+215</f>
        <v>46242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TEXT(Setup!$C$5+215,"dddd")</f>
        <v>Saturday</v>
      </c>
      <c r="B132" s="13" t="n">
        <f aca="false">Setup!$C$5+215</f>
        <v>46242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TEXT(Setup!$C$5+215,"dddd")</f>
        <v>Saturday</v>
      </c>
      <c r="B133" s="23" t="n">
        <f aca="false">Setup!$C$5+215</f>
        <v>46242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IFERROR(H133-Wk30!H133,"")</f>
        <v>0</v>
      </c>
      <c r="O133" s="24" t="n">
        <f aca="false">IFERROR(D133-Wk30!D133,"")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TEXT(Setup!$C$5+216,"dddd")</f>
        <v>Sunday</v>
      </c>
      <c r="B134" s="13" t="n">
        <f aca="false">Setup!$C$5+216</f>
        <v>46243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TEXT(Setup!$C$5+216,"dddd")</f>
        <v>Sunday</v>
      </c>
      <c r="B135" s="13" t="n">
        <f aca="false">Setup!$C$5+216</f>
        <v>46243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TEXT(Setup!$C$5+216,"dddd")</f>
        <v>Sunday</v>
      </c>
      <c r="B136" s="13" t="n">
        <f aca="false">Setup!$C$5+216</f>
        <v>46243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TEXT(Setup!$C$5+216,"dddd")</f>
        <v>Sunday</v>
      </c>
      <c r="B137" s="13" t="n">
        <f aca="false">Setup!$C$5+216</f>
        <v>46243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TEXT(Setup!$C$5+216,"dddd")</f>
        <v>Sunday</v>
      </c>
      <c r="B138" s="13" t="n">
        <f aca="false">Setup!$C$5+216</f>
        <v>46243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TEXT(Setup!$C$5+216,"dddd")</f>
        <v>Sunday</v>
      </c>
      <c r="B139" s="13" t="n">
        <f aca="false">Setup!$C$5+216</f>
        <v>46243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TEXT(Setup!$C$5+216,"dddd")</f>
        <v>Sunday</v>
      </c>
      <c r="B140" s="13" t="n">
        <f aca="false">Setup!$C$5+216</f>
        <v>46243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TEXT(Setup!$C$5+216,"dddd")</f>
        <v>Sunday</v>
      </c>
      <c r="B141" s="13" t="n">
        <f aca="false">Setup!$C$5+216</f>
        <v>46243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TEXT(Setup!$C$5+216,"dddd")</f>
        <v>Sunday</v>
      </c>
      <c r="B142" s="13" t="n">
        <f aca="false">Setup!$C$5+216</f>
        <v>46243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TEXT(Setup!$C$5+216,"dddd")</f>
        <v>Sunday</v>
      </c>
      <c r="B143" s="13" t="n">
        <f aca="false">Setup!$C$5+216</f>
        <v>46243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TEXT(Setup!$C$5+216,"dddd")</f>
        <v>Sunday</v>
      </c>
      <c r="B144" s="13" t="n">
        <f aca="false">Setup!$C$5+216</f>
        <v>46243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TEXT(Setup!$C$5+216,"dddd")</f>
        <v>Sunday</v>
      </c>
      <c r="B145" s="13" t="n">
        <f aca="false">Setup!$C$5+216</f>
        <v>46243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TEXT(Setup!$C$5+216,"dddd")</f>
        <v>Sunday</v>
      </c>
      <c r="B146" s="13" t="n">
        <f aca="false">Setup!$C$5+216</f>
        <v>46243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TEXT(Setup!$C$5+216,"dddd")</f>
        <v>Sunday</v>
      </c>
      <c r="B147" s="13" t="n">
        <f aca="false">Setup!$C$5+216</f>
        <v>46243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TEXT(Setup!$C$5+216,"dddd")</f>
        <v>Sunday</v>
      </c>
      <c r="B148" s="13" t="n">
        <f aca="false">Setup!$C$5+216</f>
        <v>46243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TEXT(Setup!$C$5+216,"dddd")</f>
        <v>Sunday</v>
      </c>
      <c r="B149" s="13" t="n">
        <f aca="false">Setup!$C$5+216</f>
        <v>46243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TEXT(Setup!$C$5+216,"dddd")</f>
        <v>Sunday</v>
      </c>
      <c r="B150" s="13" t="n">
        <f aca="false">Setup!$C$5+216</f>
        <v>46243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TEXT(Setup!$C$5+216,"dddd")</f>
        <v>Sunday</v>
      </c>
      <c r="B151" s="13" t="n">
        <f aca="false">Setup!$C$5+216</f>
        <v>46243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TEXT(Setup!$C$5+216,"dddd")</f>
        <v>Sunday</v>
      </c>
      <c r="B152" s="13" t="n">
        <f aca="false">Setup!$C$5+216</f>
        <v>46243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TEXT(Setup!$C$5+216,"dddd")</f>
        <v>Sunday</v>
      </c>
      <c r="B153" s="13" t="n">
        <f aca="false">Setup!$C$5+216</f>
        <v>46243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TEXT(Setup!$C$5+216,"dddd")</f>
        <v>Sunday</v>
      </c>
      <c r="B154" s="13" t="n">
        <f aca="false">Setup!$C$5+216</f>
        <v>46243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TEXT(Setup!$C$5+216,"dddd")</f>
        <v>Sunday</v>
      </c>
      <c r="B155" s="23" t="n">
        <f aca="false">Setup!$C$5+216</f>
        <v>46243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IFERROR(H155-Wk30!H155,"")</f>
        <v>0</v>
      </c>
      <c r="O155" s="24" t="n">
        <f aca="false">IFERROR(D155-Wk30!D155,"")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IFERROR(D156-Wk30!D156,"")</f>
        <v>0</v>
      </c>
      <c r="E157" s="34" t="n">
        <f aca="false">IFERROR(E156-Wk30!E156,"")</f>
        <v>0</v>
      </c>
      <c r="H157" s="32" t="n">
        <f aca="false">IFERROR(H156-Wk30!H156,"")</f>
        <v>0</v>
      </c>
      <c r="K157" s="32" t="n">
        <f aca="false">IFERROR(K156-Wk30!K156,"")</f>
        <v>0</v>
      </c>
      <c r="M157" s="32" t="n">
        <f aca="false">IFERROR(M156-Wk30!M156,"")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TEXT(Setup!$C$5+217,"dddd")</f>
        <v>Monday</v>
      </c>
      <c r="B2" s="13" t="n">
        <f aca="false">Setup!$C$5+217</f>
        <v>46244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TEXT(Setup!$C$5+217,"dddd")</f>
        <v>Monday</v>
      </c>
      <c r="B3" s="13" t="n">
        <f aca="false">Setup!$C$5+217</f>
        <v>46244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TEXT(Setup!$C$5+217,"dddd")</f>
        <v>Monday</v>
      </c>
      <c r="B4" s="13" t="n">
        <f aca="false">Setup!$C$5+217</f>
        <v>46244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TEXT(Setup!$C$5+217,"dddd")</f>
        <v>Monday</v>
      </c>
      <c r="B5" s="13" t="n">
        <f aca="false">Setup!$C$5+217</f>
        <v>46244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TEXT(Setup!$C$5+217,"dddd")</f>
        <v>Monday</v>
      </c>
      <c r="B6" s="13" t="n">
        <f aca="false">Setup!$C$5+217</f>
        <v>46244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TEXT(Setup!$C$5+217,"dddd")</f>
        <v>Monday</v>
      </c>
      <c r="B7" s="13" t="n">
        <f aca="false">Setup!$C$5+217</f>
        <v>46244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TEXT(Setup!$C$5+217,"dddd")</f>
        <v>Monday</v>
      </c>
      <c r="B8" s="13" t="n">
        <f aca="false">Setup!$C$5+217</f>
        <v>46244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TEXT(Setup!$C$5+217,"dddd")</f>
        <v>Monday</v>
      </c>
      <c r="B9" s="13" t="n">
        <f aca="false">Setup!$C$5+217</f>
        <v>46244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TEXT(Setup!$C$5+217,"dddd")</f>
        <v>Monday</v>
      </c>
      <c r="B10" s="13" t="n">
        <f aca="false">Setup!$C$5+217</f>
        <v>46244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TEXT(Setup!$C$5+217,"dddd")</f>
        <v>Monday</v>
      </c>
      <c r="B11" s="13" t="n">
        <f aca="false">Setup!$C$5+217</f>
        <v>46244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TEXT(Setup!$C$5+217,"dddd")</f>
        <v>Monday</v>
      </c>
      <c r="B12" s="13" t="n">
        <f aca="false">Setup!$C$5+217</f>
        <v>46244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TEXT(Setup!$C$5+217,"dddd")</f>
        <v>Monday</v>
      </c>
      <c r="B13" s="13" t="n">
        <f aca="false">Setup!$C$5+217</f>
        <v>46244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TEXT(Setup!$C$5+217,"dddd")</f>
        <v>Monday</v>
      </c>
      <c r="B14" s="13" t="n">
        <f aca="false">Setup!$C$5+217</f>
        <v>46244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TEXT(Setup!$C$5+217,"dddd")</f>
        <v>Monday</v>
      </c>
      <c r="B15" s="13" t="n">
        <f aca="false">Setup!$C$5+217</f>
        <v>46244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TEXT(Setup!$C$5+217,"dddd")</f>
        <v>Monday</v>
      </c>
      <c r="B16" s="13" t="n">
        <f aca="false">Setup!$C$5+217</f>
        <v>46244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TEXT(Setup!$C$5+217,"dddd")</f>
        <v>Monday</v>
      </c>
      <c r="B17" s="13" t="n">
        <f aca="false">Setup!$C$5+217</f>
        <v>46244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TEXT(Setup!$C$5+217,"dddd")</f>
        <v>Monday</v>
      </c>
      <c r="B18" s="13" t="n">
        <f aca="false">Setup!$C$5+217</f>
        <v>46244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TEXT(Setup!$C$5+217,"dddd")</f>
        <v>Monday</v>
      </c>
      <c r="B19" s="13" t="n">
        <f aca="false">Setup!$C$5+217</f>
        <v>46244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TEXT(Setup!$C$5+217,"dddd")</f>
        <v>Monday</v>
      </c>
      <c r="B20" s="13" t="n">
        <f aca="false">Setup!$C$5+217</f>
        <v>46244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TEXT(Setup!$C$5+217,"dddd")</f>
        <v>Monday</v>
      </c>
      <c r="B21" s="13" t="n">
        <f aca="false">Setup!$C$5+217</f>
        <v>46244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TEXT(Setup!$C$5+217,"dddd")</f>
        <v>Monday</v>
      </c>
      <c r="B22" s="13" t="n">
        <f aca="false">Setup!$C$5+217</f>
        <v>46244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TEXT(Setup!$C$5+217,"dddd")</f>
        <v>Monday</v>
      </c>
      <c r="B23" s="23" t="n">
        <f aca="false">Setup!$C$5+217</f>
        <v>46244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IFERROR(H23-Wk31!H23,"")</f>
        <v>0</v>
      </c>
      <c r="O23" s="24" t="n">
        <f aca="false">IFERROR(D23-Wk31!D23,"")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TEXT(Setup!$C$5+218,"dddd")</f>
        <v>Tuesday</v>
      </c>
      <c r="B24" s="13" t="n">
        <f aca="false">Setup!$C$5+218</f>
        <v>46245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TEXT(Setup!$C$5+218,"dddd")</f>
        <v>Tuesday</v>
      </c>
      <c r="B25" s="13" t="n">
        <f aca="false">Setup!$C$5+218</f>
        <v>46245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TEXT(Setup!$C$5+218,"dddd")</f>
        <v>Tuesday</v>
      </c>
      <c r="B26" s="13" t="n">
        <f aca="false">Setup!$C$5+218</f>
        <v>46245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TEXT(Setup!$C$5+218,"dddd")</f>
        <v>Tuesday</v>
      </c>
      <c r="B27" s="13" t="n">
        <f aca="false">Setup!$C$5+218</f>
        <v>46245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TEXT(Setup!$C$5+218,"dddd")</f>
        <v>Tuesday</v>
      </c>
      <c r="B28" s="13" t="n">
        <f aca="false">Setup!$C$5+218</f>
        <v>46245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TEXT(Setup!$C$5+218,"dddd")</f>
        <v>Tuesday</v>
      </c>
      <c r="B29" s="13" t="n">
        <f aca="false">Setup!$C$5+218</f>
        <v>46245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TEXT(Setup!$C$5+218,"dddd")</f>
        <v>Tuesday</v>
      </c>
      <c r="B30" s="13" t="n">
        <f aca="false">Setup!$C$5+218</f>
        <v>46245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TEXT(Setup!$C$5+218,"dddd")</f>
        <v>Tuesday</v>
      </c>
      <c r="B31" s="13" t="n">
        <f aca="false">Setup!$C$5+218</f>
        <v>46245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TEXT(Setup!$C$5+218,"dddd")</f>
        <v>Tuesday</v>
      </c>
      <c r="B32" s="13" t="n">
        <f aca="false">Setup!$C$5+218</f>
        <v>46245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TEXT(Setup!$C$5+218,"dddd")</f>
        <v>Tuesday</v>
      </c>
      <c r="B33" s="13" t="n">
        <f aca="false">Setup!$C$5+218</f>
        <v>46245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TEXT(Setup!$C$5+218,"dddd")</f>
        <v>Tuesday</v>
      </c>
      <c r="B34" s="13" t="n">
        <f aca="false">Setup!$C$5+218</f>
        <v>46245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TEXT(Setup!$C$5+218,"dddd")</f>
        <v>Tuesday</v>
      </c>
      <c r="B35" s="13" t="n">
        <f aca="false">Setup!$C$5+218</f>
        <v>46245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TEXT(Setup!$C$5+218,"dddd")</f>
        <v>Tuesday</v>
      </c>
      <c r="B36" s="13" t="n">
        <f aca="false">Setup!$C$5+218</f>
        <v>46245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TEXT(Setup!$C$5+218,"dddd")</f>
        <v>Tuesday</v>
      </c>
      <c r="B37" s="13" t="n">
        <f aca="false">Setup!$C$5+218</f>
        <v>46245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TEXT(Setup!$C$5+218,"dddd")</f>
        <v>Tuesday</v>
      </c>
      <c r="B38" s="13" t="n">
        <f aca="false">Setup!$C$5+218</f>
        <v>46245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TEXT(Setup!$C$5+218,"dddd")</f>
        <v>Tuesday</v>
      </c>
      <c r="B39" s="13" t="n">
        <f aca="false">Setup!$C$5+218</f>
        <v>46245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TEXT(Setup!$C$5+218,"dddd")</f>
        <v>Tuesday</v>
      </c>
      <c r="B40" s="13" t="n">
        <f aca="false">Setup!$C$5+218</f>
        <v>46245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TEXT(Setup!$C$5+218,"dddd")</f>
        <v>Tuesday</v>
      </c>
      <c r="B41" s="13" t="n">
        <f aca="false">Setup!$C$5+218</f>
        <v>46245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TEXT(Setup!$C$5+218,"dddd")</f>
        <v>Tuesday</v>
      </c>
      <c r="B42" s="13" t="n">
        <f aca="false">Setup!$C$5+218</f>
        <v>46245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TEXT(Setup!$C$5+218,"dddd")</f>
        <v>Tuesday</v>
      </c>
      <c r="B43" s="13" t="n">
        <f aca="false">Setup!$C$5+218</f>
        <v>46245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TEXT(Setup!$C$5+218,"dddd")</f>
        <v>Tuesday</v>
      </c>
      <c r="B44" s="13" t="n">
        <f aca="false">Setup!$C$5+218</f>
        <v>46245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TEXT(Setup!$C$5+218,"dddd")</f>
        <v>Tuesday</v>
      </c>
      <c r="B45" s="23" t="n">
        <f aca="false">Setup!$C$5+218</f>
        <v>46245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IFERROR(H45-Wk31!H45,"")</f>
        <v>0</v>
      </c>
      <c r="O45" s="24" t="n">
        <f aca="false">IFERROR(D45-Wk31!D45,"")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TEXT(Setup!$C$5+219,"dddd")</f>
        <v>Wednesday</v>
      </c>
      <c r="B46" s="13" t="n">
        <f aca="false">Setup!$C$5+219</f>
        <v>46246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TEXT(Setup!$C$5+219,"dddd")</f>
        <v>Wednesday</v>
      </c>
      <c r="B47" s="13" t="n">
        <f aca="false">Setup!$C$5+219</f>
        <v>46246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TEXT(Setup!$C$5+219,"dddd")</f>
        <v>Wednesday</v>
      </c>
      <c r="B48" s="13" t="n">
        <f aca="false">Setup!$C$5+219</f>
        <v>46246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TEXT(Setup!$C$5+219,"dddd")</f>
        <v>Wednesday</v>
      </c>
      <c r="B49" s="13" t="n">
        <f aca="false">Setup!$C$5+219</f>
        <v>46246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TEXT(Setup!$C$5+219,"dddd")</f>
        <v>Wednesday</v>
      </c>
      <c r="B50" s="13" t="n">
        <f aca="false">Setup!$C$5+219</f>
        <v>46246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TEXT(Setup!$C$5+219,"dddd")</f>
        <v>Wednesday</v>
      </c>
      <c r="B51" s="13" t="n">
        <f aca="false">Setup!$C$5+219</f>
        <v>46246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TEXT(Setup!$C$5+219,"dddd")</f>
        <v>Wednesday</v>
      </c>
      <c r="B52" s="13" t="n">
        <f aca="false">Setup!$C$5+219</f>
        <v>46246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TEXT(Setup!$C$5+219,"dddd")</f>
        <v>Wednesday</v>
      </c>
      <c r="B53" s="13" t="n">
        <f aca="false">Setup!$C$5+219</f>
        <v>46246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TEXT(Setup!$C$5+219,"dddd")</f>
        <v>Wednesday</v>
      </c>
      <c r="B54" s="13" t="n">
        <f aca="false">Setup!$C$5+219</f>
        <v>46246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TEXT(Setup!$C$5+219,"dddd")</f>
        <v>Wednesday</v>
      </c>
      <c r="B55" s="13" t="n">
        <f aca="false">Setup!$C$5+219</f>
        <v>46246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TEXT(Setup!$C$5+219,"dddd")</f>
        <v>Wednesday</v>
      </c>
      <c r="B56" s="13" t="n">
        <f aca="false">Setup!$C$5+219</f>
        <v>46246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TEXT(Setup!$C$5+219,"dddd")</f>
        <v>Wednesday</v>
      </c>
      <c r="B57" s="13" t="n">
        <f aca="false">Setup!$C$5+219</f>
        <v>46246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TEXT(Setup!$C$5+219,"dddd")</f>
        <v>Wednesday</v>
      </c>
      <c r="B58" s="13" t="n">
        <f aca="false">Setup!$C$5+219</f>
        <v>46246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TEXT(Setup!$C$5+219,"dddd")</f>
        <v>Wednesday</v>
      </c>
      <c r="B59" s="13" t="n">
        <f aca="false">Setup!$C$5+219</f>
        <v>46246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TEXT(Setup!$C$5+219,"dddd")</f>
        <v>Wednesday</v>
      </c>
      <c r="B60" s="13" t="n">
        <f aca="false">Setup!$C$5+219</f>
        <v>46246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TEXT(Setup!$C$5+219,"dddd")</f>
        <v>Wednesday</v>
      </c>
      <c r="B61" s="13" t="n">
        <f aca="false">Setup!$C$5+219</f>
        <v>46246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TEXT(Setup!$C$5+219,"dddd")</f>
        <v>Wednesday</v>
      </c>
      <c r="B62" s="13" t="n">
        <f aca="false">Setup!$C$5+219</f>
        <v>46246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TEXT(Setup!$C$5+219,"dddd")</f>
        <v>Wednesday</v>
      </c>
      <c r="B63" s="13" t="n">
        <f aca="false">Setup!$C$5+219</f>
        <v>46246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TEXT(Setup!$C$5+219,"dddd")</f>
        <v>Wednesday</v>
      </c>
      <c r="B64" s="13" t="n">
        <f aca="false">Setup!$C$5+219</f>
        <v>46246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TEXT(Setup!$C$5+219,"dddd")</f>
        <v>Wednesday</v>
      </c>
      <c r="B65" s="13" t="n">
        <f aca="false">Setup!$C$5+219</f>
        <v>46246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TEXT(Setup!$C$5+219,"dddd")</f>
        <v>Wednesday</v>
      </c>
      <c r="B66" s="13" t="n">
        <f aca="false">Setup!$C$5+219</f>
        <v>46246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TEXT(Setup!$C$5+219,"dddd")</f>
        <v>Wednesday</v>
      </c>
      <c r="B67" s="23" t="n">
        <f aca="false">Setup!$C$5+219</f>
        <v>46246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IFERROR(H67-Wk31!H67,"")</f>
        <v>0</v>
      </c>
      <c r="O67" s="24" t="n">
        <f aca="false">IFERROR(D67-Wk31!D67,"")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TEXT(Setup!$C$5+220,"dddd")</f>
        <v>Thursday</v>
      </c>
      <c r="B68" s="13" t="n">
        <f aca="false">Setup!$C$5+220</f>
        <v>46247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TEXT(Setup!$C$5+220,"dddd")</f>
        <v>Thursday</v>
      </c>
      <c r="B69" s="13" t="n">
        <f aca="false">Setup!$C$5+220</f>
        <v>46247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TEXT(Setup!$C$5+220,"dddd")</f>
        <v>Thursday</v>
      </c>
      <c r="B70" s="13" t="n">
        <f aca="false">Setup!$C$5+220</f>
        <v>46247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TEXT(Setup!$C$5+220,"dddd")</f>
        <v>Thursday</v>
      </c>
      <c r="B71" s="13" t="n">
        <f aca="false">Setup!$C$5+220</f>
        <v>46247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TEXT(Setup!$C$5+220,"dddd")</f>
        <v>Thursday</v>
      </c>
      <c r="B72" s="13" t="n">
        <f aca="false">Setup!$C$5+220</f>
        <v>46247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TEXT(Setup!$C$5+220,"dddd")</f>
        <v>Thursday</v>
      </c>
      <c r="B73" s="13" t="n">
        <f aca="false">Setup!$C$5+220</f>
        <v>46247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TEXT(Setup!$C$5+220,"dddd")</f>
        <v>Thursday</v>
      </c>
      <c r="B74" s="13" t="n">
        <f aca="false">Setup!$C$5+220</f>
        <v>46247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TEXT(Setup!$C$5+220,"dddd")</f>
        <v>Thursday</v>
      </c>
      <c r="B75" s="13" t="n">
        <f aca="false">Setup!$C$5+220</f>
        <v>46247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TEXT(Setup!$C$5+220,"dddd")</f>
        <v>Thursday</v>
      </c>
      <c r="B76" s="13" t="n">
        <f aca="false">Setup!$C$5+220</f>
        <v>46247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TEXT(Setup!$C$5+220,"dddd")</f>
        <v>Thursday</v>
      </c>
      <c r="B77" s="13" t="n">
        <f aca="false">Setup!$C$5+220</f>
        <v>46247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TEXT(Setup!$C$5+220,"dddd")</f>
        <v>Thursday</v>
      </c>
      <c r="B78" s="13" t="n">
        <f aca="false">Setup!$C$5+220</f>
        <v>46247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TEXT(Setup!$C$5+220,"dddd")</f>
        <v>Thursday</v>
      </c>
      <c r="B79" s="13" t="n">
        <f aca="false">Setup!$C$5+220</f>
        <v>46247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TEXT(Setup!$C$5+220,"dddd")</f>
        <v>Thursday</v>
      </c>
      <c r="B80" s="13" t="n">
        <f aca="false">Setup!$C$5+220</f>
        <v>46247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TEXT(Setup!$C$5+220,"dddd")</f>
        <v>Thursday</v>
      </c>
      <c r="B81" s="13" t="n">
        <f aca="false">Setup!$C$5+220</f>
        <v>46247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TEXT(Setup!$C$5+220,"dddd")</f>
        <v>Thursday</v>
      </c>
      <c r="B82" s="13" t="n">
        <f aca="false">Setup!$C$5+220</f>
        <v>46247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TEXT(Setup!$C$5+220,"dddd")</f>
        <v>Thursday</v>
      </c>
      <c r="B83" s="13" t="n">
        <f aca="false">Setup!$C$5+220</f>
        <v>46247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TEXT(Setup!$C$5+220,"dddd")</f>
        <v>Thursday</v>
      </c>
      <c r="B84" s="13" t="n">
        <f aca="false">Setup!$C$5+220</f>
        <v>46247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TEXT(Setup!$C$5+220,"dddd")</f>
        <v>Thursday</v>
      </c>
      <c r="B85" s="13" t="n">
        <f aca="false">Setup!$C$5+220</f>
        <v>46247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TEXT(Setup!$C$5+220,"dddd")</f>
        <v>Thursday</v>
      </c>
      <c r="B86" s="13" t="n">
        <f aca="false">Setup!$C$5+220</f>
        <v>46247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TEXT(Setup!$C$5+220,"dddd")</f>
        <v>Thursday</v>
      </c>
      <c r="B87" s="13" t="n">
        <f aca="false">Setup!$C$5+220</f>
        <v>46247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TEXT(Setup!$C$5+220,"dddd")</f>
        <v>Thursday</v>
      </c>
      <c r="B88" s="13" t="n">
        <f aca="false">Setup!$C$5+220</f>
        <v>46247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TEXT(Setup!$C$5+220,"dddd")</f>
        <v>Thursday</v>
      </c>
      <c r="B89" s="23" t="n">
        <f aca="false">Setup!$C$5+220</f>
        <v>46247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IFERROR(H89-Wk31!H89,"")</f>
        <v>0</v>
      </c>
      <c r="O89" s="24" t="n">
        <f aca="false">IFERROR(D89-Wk31!D89,"")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TEXT(Setup!$C$5+221,"dddd")</f>
        <v>Friday</v>
      </c>
      <c r="B90" s="13" t="n">
        <f aca="false">Setup!$C$5+221</f>
        <v>46248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TEXT(Setup!$C$5+221,"dddd")</f>
        <v>Friday</v>
      </c>
      <c r="B91" s="13" t="n">
        <f aca="false">Setup!$C$5+221</f>
        <v>46248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TEXT(Setup!$C$5+221,"dddd")</f>
        <v>Friday</v>
      </c>
      <c r="B92" s="13" t="n">
        <f aca="false">Setup!$C$5+221</f>
        <v>46248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TEXT(Setup!$C$5+221,"dddd")</f>
        <v>Friday</v>
      </c>
      <c r="B93" s="13" t="n">
        <f aca="false">Setup!$C$5+221</f>
        <v>46248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TEXT(Setup!$C$5+221,"dddd")</f>
        <v>Friday</v>
      </c>
      <c r="B94" s="13" t="n">
        <f aca="false">Setup!$C$5+221</f>
        <v>46248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TEXT(Setup!$C$5+221,"dddd")</f>
        <v>Friday</v>
      </c>
      <c r="B95" s="13" t="n">
        <f aca="false">Setup!$C$5+221</f>
        <v>46248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TEXT(Setup!$C$5+221,"dddd")</f>
        <v>Friday</v>
      </c>
      <c r="B96" s="13" t="n">
        <f aca="false">Setup!$C$5+221</f>
        <v>46248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TEXT(Setup!$C$5+221,"dddd")</f>
        <v>Friday</v>
      </c>
      <c r="B97" s="13" t="n">
        <f aca="false">Setup!$C$5+221</f>
        <v>46248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TEXT(Setup!$C$5+221,"dddd")</f>
        <v>Friday</v>
      </c>
      <c r="B98" s="13" t="n">
        <f aca="false">Setup!$C$5+221</f>
        <v>46248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TEXT(Setup!$C$5+221,"dddd")</f>
        <v>Friday</v>
      </c>
      <c r="B99" s="13" t="n">
        <f aca="false">Setup!$C$5+221</f>
        <v>46248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TEXT(Setup!$C$5+221,"dddd")</f>
        <v>Friday</v>
      </c>
      <c r="B100" s="13" t="n">
        <f aca="false">Setup!$C$5+221</f>
        <v>46248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TEXT(Setup!$C$5+221,"dddd")</f>
        <v>Friday</v>
      </c>
      <c r="B101" s="13" t="n">
        <f aca="false">Setup!$C$5+221</f>
        <v>46248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TEXT(Setup!$C$5+221,"dddd")</f>
        <v>Friday</v>
      </c>
      <c r="B102" s="13" t="n">
        <f aca="false">Setup!$C$5+221</f>
        <v>46248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TEXT(Setup!$C$5+221,"dddd")</f>
        <v>Friday</v>
      </c>
      <c r="B103" s="13" t="n">
        <f aca="false">Setup!$C$5+221</f>
        <v>46248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TEXT(Setup!$C$5+221,"dddd")</f>
        <v>Friday</v>
      </c>
      <c r="B104" s="13" t="n">
        <f aca="false">Setup!$C$5+221</f>
        <v>46248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TEXT(Setup!$C$5+221,"dddd")</f>
        <v>Friday</v>
      </c>
      <c r="B105" s="13" t="n">
        <f aca="false">Setup!$C$5+221</f>
        <v>46248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TEXT(Setup!$C$5+221,"dddd")</f>
        <v>Friday</v>
      </c>
      <c r="B106" s="13" t="n">
        <f aca="false">Setup!$C$5+221</f>
        <v>46248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TEXT(Setup!$C$5+221,"dddd")</f>
        <v>Friday</v>
      </c>
      <c r="B107" s="13" t="n">
        <f aca="false">Setup!$C$5+221</f>
        <v>46248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TEXT(Setup!$C$5+221,"dddd")</f>
        <v>Friday</v>
      </c>
      <c r="B108" s="13" t="n">
        <f aca="false">Setup!$C$5+221</f>
        <v>46248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TEXT(Setup!$C$5+221,"dddd")</f>
        <v>Friday</v>
      </c>
      <c r="B109" s="13" t="n">
        <f aca="false">Setup!$C$5+221</f>
        <v>46248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TEXT(Setup!$C$5+221,"dddd")</f>
        <v>Friday</v>
      </c>
      <c r="B110" s="13" t="n">
        <f aca="false">Setup!$C$5+221</f>
        <v>46248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TEXT(Setup!$C$5+221,"dddd")</f>
        <v>Friday</v>
      </c>
      <c r="B111" s="23" t="n">
        <f aca="false">Setup!$C$5+221</f>
        <v>46248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IFERROR(H111-Wk31!H111,"")</f>
        <v>0</v>
      </c>
      <c r="O111" s="24" t="n">
        <f aca="false">IFERROR(D111-Wk31!D111,"")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TEXT(Setup!$C$5+222,"dddd")</f>
        <v>Saturday</v>
      </c>
      <c r="B112" s="13" t="n">
        <f aca="false">Setup!$C$5+222</f>
        <v>46249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TEXT(Setup!$C$5+222,"dddd")</f>
        <v>Saturday</v>
      </c>
      <c r="B113" s="13" t="n">
        <f aca="false">Setup!$C$5+222</f>
        <v>46249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TEXT(Setup!$C$5+222,"dddd")</f>
        <v>Saturday</v>
      </c>
      <c r="B114" s="13" t="n">
        <f aca="false">Setup!$C$5+222</f>
        <v>46249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TEXT(Setup!$C$5+222,"dddd")</f>
        <v>Saturday</v>
      </c>
      <c r="B115" s="13" t="n">
        <f aca="false">Setup!$C$5+222</f>
        <v>46249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TEXT(Setup!$C$5+222,"dddd")</f>
        <v>Saturday</v>
      </c>
      <c r="B116" s="13" t="n">
        <f aca="false">Setup!$C$5+222</f>
        <v>46249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TEXT(Setup!$C$5+222,"dddd")</f>
        <v>Saturday</v>
      </c>
      <c r="B117" s="13" t="n">
        <f aca="false">Setup!$C$5+222</f>
        <v>46249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TEXT(Setup!$C$5+222,"dddd")</f>
        <v>Saturday</v>
      </c>
      <c r="B118" s="13" t="n">
        <f aca="false">Setup!$C$5+222</f>
        <v>46249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TEXT(Setup!$C$5+222,"dddd")</f>
        <v>Saturday</v>
      </c>
      <c r="B119" s="13" t="n">
        <f aca="false">Setup!$C$5+222</f>
        <v>46249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TEXT(Setup!$C$5+222,"dddd")</f>
        <v>Saturday</v>
      </c>
      <c r="B120" s="13" t="n">
        <f aca="false">Setup!$C$5+222</f>
        <v>46249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TEXT(Setup!$C$5+222,"dddd")</f>
        <v>Saturday</v>
      </c>
      <c r="B121" s="13" t="n">
        <f aca="false">Setup!$C$5+222</f>
        <v>46249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TEXT(Setup!$C$5+222,"dddd")</f>
        <v>Saturday</v>
      </c>
      <c r="B122" s="13" t="n">
        <f aca="false">Setup!$C$5+222</f>
        <v>46249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TEXT(Setup!$C$5+222,"dddd")</f>
        <v>Saturday</v>
      </c>
      <c r="B123" s="13" t="n">
        <f aca="false">Setup!$C$5+222</f>
        <v>46249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TEXT(Setup!$C$5+222,"dddd")</f>
        <v>Saturday</v>
      </c>
      <c r="B124" s="13" t="n">
        <f aca="false">Setup!$C$5+222</f>
        <v>46249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TEXT(Setup!$C$5+222,"dddd")</f>
        <v>Saturday</v>
      </c>
      <c r="B125" s="13" t="n">
        <f aca="false">Setup!$C$5+222</f>
        <v>46249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TEXT(Setup!$C$5+222,"dddd")</f>
        <v>Saturday</v>
      </c>
      <c r="B126" s="13" t="n">
        <f aca="false">Setup!$C$5+222</f>
        <v>46249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TEXT(Setup!$C$5+222,"dddd")</f>
        <v>Saturday</v>
      </c>
      <c r="B127" s="13" t="n">
        <f aca="false">Setup!$C$5+222</f>
        <v>46249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TEXT(Setup!$C$5+222,"dddd")</f>
        <v>Saturday</v>
      </c>
      <c r="B128" s="13" t="n">
        <f aca="false">Setup!$C$5+222</f>
        <v>46249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TEXT(Setup!$C$5+222,"dddd")</f>
        <v>Saturday</v>
      </c>
      <c r="B129" s="13" t="n">
        <f aca="false">Setup!$C$5+222</f>
        <v>46249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TEXT(Setup!$C$5+222,"dddd")</f>
        <v>Saturday</v>
      </c>
      <c r="B130" s="13" t="n">
        <f aca="false">Setup!$C$5+222</f>
        <v>46249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TEXT(Setup!$C$5+222,"dddd")</f>
        <v>Saturday</v>
      </c>
      <c r="B131" s="13" t="n">
        <f aca="false">Setup!$C$5+222</f>
        <v>46249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TEXT(Setup!$C$5+222,"dddd")</f>
        <v>Saturday</v>
      </c>
      <c r="B132" s="13" t="n">
        <f aca="false">Setup!$C$5+222</f>
        <v>46249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TEXT(Setup!$C$5+222,"dddd")</f>
        <v>Saturday</v>
      </c>
      <c r="B133" s="23" t="n">
        <f aca="false">Setup!$C$5+222</f>
        <v>46249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IFERROR(H133-Wk31!H133,"")</f>
        <v>0</v>
      </c>
      <c r="O133" s="24" t="n">
        <f aca="false">IFERROR(D133-Wk31!D133,"")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TEXT(Setup!$C$5+223,"dddd")</f>
        <v>Sunday</v>
      </c>
      <c r="B134" s="13" t="n">
        <f aca="false">Setup!$C$5+223</f>
        <v>46250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TEXT(Setup!$C$5+223,"dddd")</f>
        <v>Sunday</v>
      </c>
      <c r="B135" s="13" t="n">
        <f aca="false">Setup!$C$5+223</f>
        <v>46250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TEXT(Setup!$C$5+223,"dddd")</f>
        <v>Sunday</v>
      </c>
      <c r="B136" s="13" t="n">
        <f aca="false">Setup!$C$5+223</f>
        <v>46250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TEXT(Setup!$C$5+223,"dddd")</f>
        <v>Sunday</v>
      </c>
      <c r="B137" s="13" t="n">
        <f aca="false">Setup!$C$5+223</f>
        <v>46250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TEXT(Setup!$C$5+223,"dddd")</f>
        <v>Sunday</v>
      </c>
      <c r="B138" s="13" t="n">
        <f aca="false">Setup!$C$5+223</f>
        <v>46250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TEXT(Setup!$C$5+223,"dddd")</f>
        <v>Sunday</v>
      </c>
      <c r="B139" s="13" t="n">
        <f aca="false">Setup!$C$5+223</f>
        <v>46250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TEXT(Setup!$C$5+223,"dddd")</f>
        <v>Sunday</v>
      </c>
      <c r="B140" s="13" t="n">
        <f aca="false">Setup!$C$5+223</f>
        <v>46250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TEXT(Setup!$C$5+223,"dddd")</f>
        <v>Sunday</v>
      </c>
      <c r="B141" s="13" t="n">
        <f aca="false">Setup!$C$5+223</f>
        <v>46250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TEXT(Setup!$C$5+223,"dddd")</f>
        <v>Sunday</v>
      </c>
      <c r="B142" s="13" t="n">
        <f aca="false">Setup!$C$5+223</f>
        <v>46250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TEXT(Setup!$C$5+223,"dddd")</f>
        <v>Sunday</v>
      </c>
      <c r="B143" s="13" t="n">
        <f aca="false">Setup!$C$5+223</f>
        <v>46250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TEXT(Setup!$C$5+223,"dddd")</f>
        <v>Sunday</v>
      </c>
      <c r="B144" s="13" t="n">
        <f aca="false">Setup!$C$5+223</f>
        <v>46250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TEXT(Setup!$C$5+223,"dddd")</f>
        <v>Sunday</v>
      </c>
      <c r="B145" s="13" t="n">
        <f aca="false">Setup!$C$5+223</f>
        <v>46250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TEXT(Setup!$C$5+223,"dddd")</f>
        <v>Sunday</v>
      </c>
      <c r="B146" s="13" t="n">
        <f aca="false">Setup!$C$5+223</f>
        <v>46250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TEXT(Setup!$C$5+223,"dddd")</f>
        <v>Sunday</v>
      </c>
      <c r="B147" s="13" t="n">
        <f aca="false">Setup!$C$5+223</f>
        <v>46250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TEXT(Setup!$C$5+223,"dddd")</f>
        <v>Sunday</v>
      </c>
      <c r="B148" s="13" t="n">
        <f aca="false">Setup!$C$5+223</f>
        <v>46250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TEXT(Setup!$C$5+223,"dddd")</f>
        <v>Sunday</v>
      </c>
      <c r="B149" s="13" t="n">
        <f aca="false">Setup!$C$5+223</f>
        <v>46250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TEXT(Setup!$C$5+223,"dddd")</f>
        <v>Sunday</v>
      </c>
      <c r="B150" s="13" t="n">
        <f aca="false">Setup!$C$5+223</f>
        <v>46250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TEXT(Setup!$C$5+223,"dddd")</f>
        <v>Sunday</v>
      </c>
      <c r="B151" s="13" t="n">
        <f aca="false">Setup!$C$5+223</f>
        <v>46250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TEXT(Setup!$C$5+223,"dddd")</f>
        <v>Sunday</v>
      </c>
      <c r="B152" s="13" t="n">
        <f aca="false">Setup!$C$5+223</f>
        <v>46250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TEXT(Setup!$C$5+223,"dddd")</f>
        <v>Sunday</v>
      </c>
      <c r="B153" s="13" t="n">
        <f aca="false">Setup!$C$5+223</f>
        <v>46250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TEXT(Setup!$C$5+223,"dddd")</f>
        <v>Sunday</v>
      </c>
      <c r="B154" s="13" t="n">
        <f aca="false">Setup!$C$5+223</f>
        <v>46250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TEXT(Setup!$C$5+223,"dddd")</f>
        <v>Sunday</v>
      </c>
      <c r="B155" s="23" t="n">
        <f aca="false">Setup!$C$5+223</f>
        <v>46250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IFERROR(H155-Wk31!H155,"")</f>
        <v>0</v>
      </c>
      <c r="O155" s="24" t="n">
        <f aca="false">IFERROR(D155-Wk31!D155,"")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IFERROR(D156-Wk31!D156,"")</f>
        <v>0</v>
      </c>
      <c r="E157" s="34" t="n">
        <f aca="false">IFERROR(E156-Wk31!E156,"")</f>
        <v>0</v>
      </c>
      <c r="H157" s="32" t="n">
        <f aca="false">IFERROR(H156-Wk31!H156,"")</f>
        <v>0</v>
      </c>
      <c r="K157" s="32" t="n">
        <f aca="false">IFERROR(K156-Wk31!K156,"")</f>
        <v>0</v>
      </c>
      <c r="M157" s="32" t="n">
        <f aca="false">IFERROR(M156-Wk31!M156,"")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TEXT(Setup!$C$5+224,"dddd")</f>
        <v>Monday</v>
      </c>
      <c r="B2" s="13" t="n">
        <f aca="false">Setup!$C$5+224</f>
        <v>46251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TEXT(Setup!$C$5+224,"dddd")</f>
        <v>Monday</v>
      </c>
      <c r="B3" s="13" t="n">
        <f aca="false">Setup!$C$5+224</f>
        <v>46251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TEXT(Setup!$C$5+224,"dddd")</f>
        <v>Monday</v>
      </c>
      <c r="B4" s="13" t="n">
        <f aca="false">Setup!$C$5+224</f>
        <v>46251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TEXT(Setup!$C$5+224,"dddd")</f>
        <v>Monday</v>
      </c>
      <c r="B5" s="13" t="n">
        <f aca="false">Setup!$C$5+224</f>
        <v>46251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TEXT(Setup!$C$5+224,"dddd")</f>
        <v>Monday</v>
      </c>
      <c r="B6" s="13" t="n">
        <f aca="false">Setup!$C$5+224</f>
        <v>46251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TEXT(Setup!$C$5+224,"dddd")</f>
        <v>Monday</v>
      </c>
      <c r="B7" s="13" t="n">
        <f aca="false">Setup!$C$5+224</f>
        <v>46251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TEXT(Setup!$C$5+224,"dddd")</f>
        <v>Monday</v>
      </c>
      <c r="B8" s="13" t="n">
        <f aca="false">Setup!$C$5+224</f>
        <v>46251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TEXT(Setup!$C$5+224,"dddd")</f>
        <v>Monday</v>
      </c>
      <c r="B9" s="13" t="n">
        <f aca="false">Setup!$C$5+224</f>
        <v>46251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TEXT(Setup!$C$5+224,"dddd")</f>
        <v>Monday</v>
      </c>
      <c r="B10" s="13" t="n">
        <f aca="false">Setup!$C$5+224</f>
        <v>46251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TEXT(Setup!$C$5+224,"dddd")</f>
        <v>Monday</v>
      </c>
      <c r="B11" s="13" t="n">
        <f aca="false">Setup!$C$5+224</f>
        <v>46251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TEXT(Setup!$C$5+224,"dddd")</f>
        <v>Monday</v>
      </c>
      <c r="B12" s="13" t="n">
        <f aca="false">Setup!$C$5+224</f>
        <v>46251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TEXT(Setup!$C$5+224,"dddd")</f>
        <v>Monday</v>
      </c>
      <c r="B13" s="13" t="n">
        <f aca="false">Setup!$C$5+224</f>
        <v>46251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TEXT(Setup!$C$5+224,"dddd")</f>
        <v>Monday</v>
      </c>
      <c r="B14" s="13" t="n">
        <f aca="false">Setup!$C$5+224</f>
        <v>46251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TEXT(Setup!$C$5+224,"dddd")</f>
        <v>Monday</v>
      </c>
      <c r="B15" s="13" t="n">
        <f aca="false">Setup!$C$5+224</f>
        <v>46251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TEXT(Setup!$C$5+224,"dddd")</f>
        <v>Monday</v>
      </c>
      <c r="B16" s="13" t="n">
        <f aca="false">Setup!$C$5+224</f>
        <v>46251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TEXT(Setup!$C$5+224,"dddd")</f>
        <v>Monday</v>
      </c>
      <c r="B17" s="13" t="n">
        <f aca="false">Setup!$C$5+224</f>
        <v>46251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TEXT(Setup!$C$5+224,"dddd")</f>
        <v>Monday</v>
      </c>
      <c r="B18" s="13" t="n">
        <f aca="false">Setup!$C$5+224</f>
        <v>46251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TEXT(Setup!$C$5+224,"dddd")</f>
        <v>Monday</v>
      </c>
      <c r="B19" s="13" t="n">
        <f aca="false">Setup!$C$5+224</f>
        <v>46251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TEXT(Setup!$C$5+224,"dddd")</f>
        <v>Monday</v>
      </c>
      <c r="B20" s="13" t="n">
        <f aca="false">Setup!$C$5+224</f>
        <v>46251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TEXT(Setup!$C$5+224,"dddd")</f>
        <v>Monday</v>
      </c>
      <c r="B21" s="13" t="n">
        <f aca="false">Setup!$C$5+224</f>
        <v>46251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TEXT(Setup!$C$5+224,"dddd")</f>
        <v>Monday</v>
      </c>
      <c r="B22" s="13" t="n">
        <f aca="false">Setup!$C$5+224</f>
        <v>46251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TEXT(Setup!$C$5+224,"dddd")</f>
        <v>Monday</v>
      </c>
      <c r="B23" s="23" t="n">
        <f aca="false">Setup!$C$5+224</f>
        <v>46251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IFERROR(H23-Wk32!H23,"")</f>
        <v>0</v>
      </c>
      <c r="O23" s="24" t="n">
        <f aca="false">IFERROR(D23-Wk32!D23,"")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TEXT(Setup!$C$5+225,"dddd")</f>
        <v>Tuesday</v>
      </c>
      <c r="B24" s="13" t="n">
        <f aca="false">Setup!$C$5+225</f>
        <v>46252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TEXT(Setup!$C$5+225,"dddd")</f>
        <v>Tuesday</v>
      </c>
      <c r="B25" s="13" t="n">
        <f aca="false">Setup!$C$5+225</f>
        <v>46252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TEXT(Setup!$C$5+225,"dddd")</f>
        <v>Tuesday</v>
      </c>
      <c r="B26" s="13" t="n">
        <f aca="false">Setup!$C$5+225</f>
        <v>46252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TEXT(Setup!$C$5+225,"dddd")</f>
        <v>Tuesday</v>
      </c>
      <c r="B27" s="13" t="n">
        <f aca="false">Setup!$C$5+225</f>
        <v>46252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TEXT(Setup!$C$5+225,"dddd")</f>
        <v>Tuesday</v>
      </c>
      <c r="B28" s="13" t="n">
        <f aca="false">Setup!$C$5+225</f>
        <v>46252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TEXT(Setup!$C$5+225,"dddd")</f>
        <v>Tuesday</v>
      </c>
      <c r="B29" s="13" t="n">
        <f aca="false">Setup!$C$5+225</f>
        <v>46252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TEXT(Setup!$C$5+225,"dddd")</f>
        <v>Tuesday</v>
      </c>
      <c r="B30" s="13" t="n">
        <f aca="false">Setup!$C$5+225</f>
        <v>46252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TEXT(Setup!$C$5+225,"dddd")</f>
        <v>Tuesday</v>
      </c>
      <c r="B31" s="13" t="n">
        <f aca="false">Setup!$C$5+225</f>
        <v>46252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TEXT(Setup!$C$5+225,"dddd")</f>
        <v>Tuesday</v>
      </c>
      <c r="B32" s="13" t="n">
        <f aca="false">Setup!$C$5+225</f>
        <v>46252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TEXT(Setup!$C$5+225,"dddd")</f>
        <v>Tuesday</v>
      </c>
      <c r="B33" s="13" t="n">
        <f aca="false">Setup!$C$5+225</f>
        <v>46252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TEXT(Setup!$C$5+225,"dddd")</f>
        <v>Tuesday</v>
      </c>
      <c r="B34" s="13" t="n">
        <f aca="false">Setup!$C$5+225</f>
        <v>46252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TEXT(Setup!$C$5+225,"dddd")</f>
        <v>Tuesday</v>
      </c>
      <c r="B35" s="13" t="n">
        <f aca="false">Setup!$C$5+225</f>
        <v>46252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TEXT(Setup!$C$5+225,"dddd")</f>
        <v>Tuesday</v>
      </c>
      <c r="B36" s="13" t="n">
        <f aca="false">Setup!$C$5+225</f>
        <v>46252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TEXT(Setup!$C$5+225,"dddd")</f>
        <v>Tuesday</v>
      </c>
      <c r="B37" s="13" t="n">
        <f aca="false">Setup!$C$5+225</f>
        <v>46252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TEXT(Setup!$C$5+225,"dddd")</f>
        <v>Tuesday</v>
      </c>
      <c r="B38" s="13" t="n">
        <f aca="false">Setup!$C$5+225</f>
        <v>46252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TEXT(Setup!$C$5+225,"dddd")</f>
        <v>Tuesday</v>
      </c>
      <c r="B39" s="13" t="n">
        <f aca="false">Setup!$C$5+225</f>
        <v>46252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TEXT(Setup!$C$5+225,"dddd")</f>
        <v>Tuesday</v>
      </c>
      <c r="B40" s="13" t="n">
        <f aca="false">Setup!$C$5+225</f>
        <v>46252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TEXT(Setup!$C$5+225,"dddd")</f>
        <v>Tuesday</v>
      </c>
      <c r="B41" s="13" t="n">
        <f aca="false">Setup!$C$5+225</f>
        <v>46252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TEXT(Setup!$C$5+225,"dddd")</f>
        <v>Tuesday</v>
      </c>
      <c r="B42" s="13" t="n">
        <f aca="false">Setup!$C$5+225</f>
        <v>46252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TEXT(Setup!$C$5+225,"dddd")</f>
        <v>Tuesday</v>
      </c>
      <c r="B43" s="13" t="n">
        <f aca="false">Setup!$C$5+225</f>
        <v>46252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TEXT(Setup!$C$5+225,"dddd")</f>
        <v>Tuesday</v>
      </c>
      <c r="B44" s="13" t="n">
        <f aca="false">Setup!$C$5+225</f>
        <v>46252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TEXT(Setup!$C$5+225,"dddd")</f>
        <v>Tuesday</v>
      </c>
      <c r="B45" s="23" t="n">
        <f aca="false">Setup!$C$5+225</f>
        <v>46252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IFERROR(H45-Wk32!H45,"")</f>
        <v>0</v>
      </c>
      <c r="O45" s="24" t="n">
        <f aca="false">IFERROR(D45-Wk32!D45,"")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TEXT(Setup!$C$5+226,"dddd")</f>
        <v>Wednesday</v>
      </c>
      <c r="B46" s="13" t="n">
        <f aca="false">Setup!$C$5+226</f>
        <v>46253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TEXT(Setup!$C$5+226,"dddd")</f>
        <v>Wednesday</v>
      </c>
      <c r="B47" s="13" t="n">
        <f aca="false">Setup!$C$5+226</f>
        <v>46253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TEXT(Setup!$C$5+226,"dddd")</f>
        <v>Wednesday</v>
      </c>
      <c r="B48" s="13" t="n">
        <f aca="false">Setup!$C$5+226</f>
        <v>46253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TEXT(Setup!$C$5+226,"dddd")</f>
        <v>Wednesday</v>
      </c>
      <c r="B49" s="13" t="n">
        <f aca="false">Setup!$C$5+226</f>
        <v>46253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TEXT(Setup!$C$5+226,"dddd")</f>
        <v>Wednesday</v>
      </c>
      <c r="B50" s="13" t="n">
        <f aca="false">Setup!$C$5+226</f>
        <v>46253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TEXT(Setup!$C$5+226,"dddd")</f>
        <v>Wednesday</v>
      </c>
      <c r="B51" s="13" t="n">
        <f aca="false">Setup!$C$5+226</f>
        <v>46253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TEXT(Setup!$C$5+226,"dddd")</f>
        <v>Wednesday</v>
      </c>
      <c r="B52" s="13" t="n">
        <f aca="false">Setup!$C$5+226</f>
        <v>46253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TEXT(Setup!$C$5+226,"dddd")</f>
        <v>Wednesday</v>
      </c>
      <c r="B53" s="13" t="n">
        <f aca="false">Setup!$C$5+226</f>
        <v>46253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TEXT(Setup!$C$5+226,"dddd")</f>
        <v>Wednesday</v>
      </c>
      <c r="B54" s="13" t="n">
        <f aca="false">Setup!$C$5+226</f>
        <v>46253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TEXT(Setup!$C$5+226,"dddd")</f>
        <v>Wednesday</v>
      </c>
      <c r="B55" s="13" t="n">
        <f aca="false">Setup!$C$5+226</f>
        <v>46253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TEXT(Setup!$C$5+226,"dddd")</f>
        <v>Wednesday</v>
      </c>
      <c r="B56" s="13" t="n">
        <f aca="false">Setup!$C$5+226</f>
        <v>46253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TEXT(Setup!$C$5+226,"dddd")</f>
        <v>Wednesday</v>
      </c>
      <c r="B57" s="13" t="n">
        <f aca="false">Setup!$C$5+226</f>
        <v>46253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TEXT(Setup!$C$5+226,"dddd")</f>
        <v>Wednesday</v>
      </c>
      <c r="B58" s="13" t="n">
        <f aca="false">Setup!$C$5+226</f>
        <v>46253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TEXT(Setup!$C$5+226,"dddd")</f>
        <v>Wednesday</v>
      </c>
      <c r="B59" s="13" t="n">
        <f aca="false">Setup!$C$5+226</f>
        <v>46253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TEXT(Setup!$C$5+226,"dddd")</f>
        <v>Wednesday</v>
      </c>
      <c r="B60" s="13" t="n">
        <f aca="false">Setup!$C$5+226</f>
        <v>46253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TEXT(Setup!$C$5+226,"dddd")</f>
        <v>Wednesday</v>
      </c>
      <c r="B61" s="13" t="n">
        <f aca="false">Setup!$C$5+226</f>
        <v>46253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TEXT(Setup!$C$5+226,"dddd")</f>
        <v>Wednesday</v>
      </c>
      <c r="B62" s="13" t="n">
        <f aca="false">Setup!$C$5+226</f>
        <v>46253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TEXT(Setup!$C$5+226,"dddd")</f>
        <v>Wednesday</v>
      </c>
      <c r="B63" s="13" t="n">
        <f aca="false">Setup!$C$5+226</f>
        <v>46253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TEXT(Setup!$C$5+226,"dddd")</f>
        <v>Wednesday</v>
      </c>
      <c r="B64" s="13" t="n">
        <f aca="false">Setup!$C$5+226</f>
        <v>46253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TEXT(Setup!$C$5+226,"dddd")</f>
        <v>Wednesday</v>
      </c>
      <c r="B65" s="13" t="n">
        <f aca="false">Setup!$C$5+226</f>
        <v>46253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TEXT(Setup!$C$5+226,"dddd")</f>
        <v>Wednesday</v>
      </c>
      <c r="B66" s="13" t="n">
        <f aca="false">Setup!$C$5+226</f>
        <v>46253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TEXT(Setup!$C$5+226,"dddd")</f>
        <v>Wednesday</v>
      </c>
      <c r="B67" s="23" t="n">
        <f aca="false">Setup!$C$5+226</f>
        <v>46253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IFERROR(H67-Wk32!H67,"")</f>
        <v>0</v>
      </c>
      <c r="O67" s="24" t="n">
        <f aca="false">IFERROR(D67-Wk32!D67,"")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TEXT(Setup!$C$5+227,"dddd")</f>
        <v>Thursday</v>
      </c>
      <c r="B68" s="13" t="n">
        <f aca="false">Setup!$C$5+227</f>
        <v>46254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TEXT(Setup!$C$5+227,"dddd")</f>
        <v>Thursday</v>
      </c>
      <c r="B69" s="13" t="n">
        <f aca="false">Setup!$C$5+227</f>
        <v>46254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TEXT(Setup!$C$5+227,"dddd")</f>
        <v>Thursday</v>
      </c>
      <c r="B70" s="13" t="n">
        <f aca="false">Setup!$C$5+227</f>
        <v>46254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TEXT(Setup!$C$5+227,"dddd")</f>
        <v>Thursday</v>
      </c>
      <c r="B71" s="13" t="n">
        <f aca="false">Setup!$C$5+227</f>
        <v>46254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TEXT(Setup!$C$5+227,"dddd")</f>
        <v>Thursday</v>
      </c>
      <c r="B72" s="13" t="n">
        <f aca="false">Setup!$C$5+227</f>
        <v>46254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TEXT(Setup!$C$5+227,"dddd")</f>
        <v>Thursday</v>
      </c>
      <c r="B73" s="13" t="n">
        <f aca="false">Setup!$C$5+227</f>
        <v>46254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TEXT(Setup!$C$5+227,"dddd")</f>
        <v>Thursday</v>
      </c>
      <c r="B74" s="13" t="n">
        <f aca="false">Setup!$C$5+227</f>
        <v>46254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TEXT(Setup!$C$5+227,"dddd")</f>
        <v>Thursday</v>
      </c>
      <c r="B75" s="13" t="n">
        <f aca="false">Setup!$C$5+227</f>
        <v>46254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TEXT(Setup!$C$5+227,"dddd")</f>
        <v>Thursday</v>
      </c>
      <c r="B76" s="13" t="n">
        <f aca="false">Setup!$C$5+227</f>
        <v>46254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TEXT(Setup!$C$5+227,"dddd")</f>
        <v>Thursday</v>
      </c>
      <c r="B77" s="13" t="n">
        <f aca="false">Setup!$C$5+227</f>
        <v>46254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TEXT(Setup!$C$5+227,"dddd")</f>
        <v>Thursday</v>
      </c>
      <c r="B78" s="13" t="n">
        <f aca="false">Setup!$C$5+227</f>
        <v>46254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TEXT(Setup!$C$5+227,"dddd")</f>
        <v>Thursday</v>
      </c>
      <c r="B79" s="13" t="n">
        <f aca="false">Setup!$C$5+227</f>
        <v>46254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TEXT(Setup!$C$5+227,"dddd")</f>
        <v>Thursday</v>
      </c>
      <c r="B80" s="13" t="n">
        <f aca="false">Setup!$C$5+227</f>
        <v>46254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TEXT(Setup!$C$5+227,"dddd")</f>
        <v>Thursday</v>
      </c>
      <c r="B81" s="13" t="n">
        <f aca="false">Setup!$C$5+227</f>
        <v>46254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TEXT(Setup!$C$5+227,"dddd")</f>
        <v>Thursday</v>
      </c>
      <c r="B82" s="13" t="n">
        <f aca="false">Setup!$C$5+227</f>
        <v>46254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TEXT(Setup!$C$5+227,"dddd")</f>
        <v>Thursday</v>
      </c>
      <c r="B83" s="13" t="n">
        <f aca="false">Setup!$C$5+227</f>
        <v>46254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TEXT(Setup!$C$5+227,"dddd")</f>
        <v>Thursday</v>
      </c>
      <c r="B84" s="13" t="n">
        <f aca="false">Setup!$C$5+227</f>
        <v>46254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TEXT(Setup!$C$5+227,"dddd")</f>
        <v>Thursday</v>
      </c>
      <c r="B85" s="13" t="n">
        <f aca="false">Setup!$C$5+227</f>
        <v>46254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TEXT(Setup!$C$5+227,"dddd")</f>
        <v>Thursday</v>
      </c>
      <c r="B86" s="13" t="n">
        <f aca="false">Setup!$C$5+227</f>
        <v>46254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TEXT(Setup!$C$5+227,"dddd")</f>
        <v>Thursday</v>
      </c>
      <c r="B87" s="13" t="n">
        <f aca="false">Setup!$C$5+227</f>
        <v>46254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TEXT(Setup!$C$5+227,"dddd")</f>
        <v>Thursday</v>
      </c>
      <c r="B88" s="13" t="n">
        <f aca="false">Setup!$C$5+227</f>
        <v>46254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TEXT(Setup!$C$5+227,"dddd")</f>
        <v>Thursday</v>
      </c>
      <c r="B89" s="23" t="n">
        <f aca="false">Setup!$C$5+227</f>
        <v>46254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IFERROR(H89-Wk32!H89,"")</f>
        <v>0</v>
      </c>
      <c r="O89" s="24" t="n">
        <f aca="false">IFERROR(D89-Wk32!D89,"")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TEXT(Setup!$C$5+228,"dddd")</f>
        <v>Friday</v>
      </c>
      <c r="B90" s="13" t="n">
        <f aca="false">Setup!$C$5+228</f>
        <v>46255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TEXT(Setup!$C$5+228,"dddd")</f>
        <v>Friday</v>
      </c>
      <c r="B91" s="13" t="n">
        <f aca="false">Setup!$C$5+228</f>
        <v>46255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TEXT(Setup!$C$5+228,"dddd")</f>
        <v>Friday</v>
      </c>
      <c r="B92" s="13" t="n">
        <f aca="false">Setup!$C$5+228</f>
        <v>46255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TEXT(Setup!$C$5+228,"dddd")</f>
        <v>Friday</v>
      </c>
      <c r="B93" s="13" t="n">
        <f aca="false">Setup!$C$5+228</f>
        <v>46255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TEXT(Setup!$C$5+228,"dddd")</f>
        <v>Friday</v>
      </c>
      <c r="B94" s="13" t="n">
        <f aca="false">Setup!$C$5+228</f>
        <v>46255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TEXT(Setup!$C$5+228,"dddd")</f>
        <v>Friday</v>
      </c>
      <c r="B95" s="13" t="n">
        <f aca="false">Setup!$C$5+228</f>
        <v>46255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TEXT(Setup!$C$5+228,"dddd")</f>
        <v>Friday</v>
      </c>
      <c r="B96" s="13" t="n">
        <f aca="false">Setup!$C$5+228</f>
        <v>46255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TEXT(Setup!$C$5+228,"dddd")</f>
        <v>Friday</v>
      </c>
      <c r="B97" s="13" t="n">
        <f aca="false">Setup!$C$5+228</f>
        <v>46255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TEXT(Setup!$C$5+228,"dddd")</f>
        <v>Friday</v>
      </c>
      <c r="B98" s="13" t="n">
        <f aca="false">Setup!$C$5+228</f>
        <v>46255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TEXT(Setup!$C$5+228,"dddd")</f>
        <v>Friday</v>
      </c>
      <c r="B99" s="13" t="n">
        <f aca="false">Setup!$C$5+228</f>
        <v>46255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TEXT(Setup!$C$5+228,"dddd")</f>
        <v>Friday</v>
      </c>
      <c r="B100" s="13" t="n">
        <f aca="false">Setup!$C$5+228</f>
        <v>46255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TEXT(Setup!$C$5+228,"dddd")</f>
        <v>Friday</v>
      </c>
      <c r="B101" s="13" t="n">
        <f aca="false">Setup!$C$5+228</f>
        <v>46255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TEXT(Setup!$C$5+228,"dddd")</f>
        <v>Friday</v>
      </c>
      <c r="B102" s="13" t="n">
        <f aca="false">Setup!$C$5+228</f>
        <v>46255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TEXT(Setup!$C$5+228,"dddd")</f>
        <v>Friday</v>
      </c>
      <c r="B103" s="13" t="n">
        <f aca="false">Setup!$C$5+228</f>
        <v>46255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TEXT(Setup!$C$5+228,"dddd")</f>
        <v>Friday</v>
      </c>
      <c r="B104" s="13" t="n">
        <f aca="false">Setup!$C$5+228</f>
        <v>46255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TEXT(Setup!$C$5+228,"dddd")</f>
        <v>Friday</v>
      </c>
      <c r="B105" s="13" t="n">
        <f aca="false">Setup!$C$5+228</f>
        <v>46255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TEXT(Setup!$C$5+228,"dddd")</f>
        <v>Friday</v>
      </c>
      <c r="B106" s="13" t="n">
        <f aca="false">Setup!$C$5+228</f>
        <v>46255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TEXT(Setup!$C$5+228,"dddd")</f>
        <v>Friday</v>
      </c>
      <c r="B107" s="13" t="n">
        <f aca="false">Setup!$C$5+228</f>
        <v>46255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TEXT(Setup!$C$5+228,"dddd")</f>
        <v>Friday</v>
      </c>
      <c r="B108" s="13" t="n">
        <f aca="false">Setup!$C$5+228</f>
        <v>46255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TEXT(Setup!$C$5+228,"dddd")</f>
        <v>Friday</v>
      </c>
      <c r="B109" s="13" t="n">
        <f aca="false">Setup!$C$5+228</f>
        <v>46255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TEXT(Setup!$C$5+228,"dddd")</f>
        <v>Friday</v>
      </c>
      <c r="B110" s="13" t="n">
        <f aca="false">Setup!$C$5+228</f>
        <v>46255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TEXT(Setup!$C$5+228,"dddd")</f>
        <v>Friday</v>
      </c>
      <c r="B111" s="23" t="n">
        <f aca="false">Setup!$C$5+228</f>
        <v>46255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IFERROR(H111-Wk32!H111,"")</f>
        <v>0</v>
      </c>
      <c r="O111" s="24" t="n">
        <f aca="false">IFERROR(D111-Wk32!D111,"")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TEXT(Setup!$C$5+229,"dddd")</f>
        <v>Saturday</v>
      </c>
      <c r="B112" s="13" t="n">
        <f aca="false">Setup!$C$5+229</f>
        <v>46256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TEXT(Setup!$C$5+229,"dddd")</f>
        <v>Saturday</v>
      </c>
      <c r="B113" s="13" t="n">
        <f aca="false">Setup!$C$5+229</f>
        <v>46256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TEXT(Setup!$C$5+229,"dddd")</f>
        <v>Saturday</v>
      </c>
      <c r="B114" s="13" t="n">
        <f aca="false">Setup!$C$5+229</f>
        <v>46256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TEXT(Setup!$C$5+229,"dddd")</f>
        <v>Saturday</v>
      </c>
      <c r="B115" s="13" t="n">
        <f aca="false">Setup!$C$5+229</f>
        <v>46256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TEXT(Setup!$C$5+229,"dddd")</f>
        <v>Saturday</v>
      </c>
      <c r="B116" s="13" t="n">
        <f aca="false">Setup!$C$5+229</f>
        <v>46256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TEXT(Setup!$C$5+229,"dddd")</f>
        <v>Saturday</v>
      </c>
      <c r="B117" s="13" t="n">
        <f aca="false">Setup!$C$5+229</f>
        <v>46256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TEXT(Setup!$C$5+229,"dddd")</f>
        <v>Saturday</v>
      </c>
      <c r="B118" s="13" t="n">
        <f aca="false">Setup!$C$5+229</f>
        <v>46256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TEXT(Setup!$C$5+229,"dddd")</f>
        <v>Saturday</v>
      </c>
      <c r="B119" s="13" t="n">
        <f aca="false">Setup!$C$5+229</f>
        <v>46256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TEXT(Setup!$C$5+229,"dddd")</f>
        <v>Saturday</v>
      </c>
      <c r="B120" s="13" t="n">
        <f aca="false">Setup!$C$5+229</f>
        <v>46256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TEXT(Setup!$C$5+229,"dddd")</f>
        <v>Saturday</v>
      </c>
      <c r="B121" s="13" t="n">
        <f aca="false">Setup!$C$5+229</f>
        <v>46256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TEXT(Setup!$C$5+229,"dddd")</f>
        <v>Saturday</v>
      </c>
      <c r="B122" s="13" t="n">
        <f aca="false">Setup!$C$5+229</f>
        <v>46256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TEXT(Setup!$C$5+229,"dddd")</f>
        <v>Saturday</v>
      </c>
      <c r="B123" s="13" t="n">
        <f aca="false">Setup!$C$5+229</f>
        <v>46256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TEXT(Setup!$C$5+229,"dddd")</f>
        <v>Saturday</v>
      </c>
      <c r="B124" s="13" t="n">
        <f aca="false">Setup!$C$5+229</f>
        <v>46256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TEXT(Setup!$C$5+229,"dddd")</f>
        <v>Saturday</v>
      </c>
      <c r="B125" s="13" t="n">
        <f aca="false">Setup!$C$5+229</f>
        <v>46256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TEXT(Setup!$C$5+229,"dddd")</f>
        <v>Saturday</v>
      </c>
      <c r="B126" s="13" t="n">
        <f aca="false">Setup!$C$5+229</f>
        <v>46256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TEXT(Setup!$C$5+229,"dddd")</f>
        <v>Saturday</v>
      </c>
      <c r="B127" s="13" t="n">
        <f aca="false">Setup!$C$5+229</f>
        <v>46256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TEXT(Setup!$C$5+229,"dddd")</f>
        <v>Saturday</v>
      </c>
      <c r="B128" s="13" t="n">
        <f aca="false">Setup!$C$5+229</f>
        <v>46256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TEXT(Setup!$C$5+229,"dddd")</f>
        <v>Saturday</v>
      </c>
      <c r="B129" s="13" t="n">
        <f aca="false">Setup!$C$5+229</f>
        <v>46256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TEXT(Setup!$C$5+229,"dddd")</f>
        <v>Saturday</v>
      </c>
      <c r="B130" s="13" t="n">
        <f aca="false">Setup!$C$5+229</f>
        <v>46256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TEXT(Setup!$C$5+229,"dddd")</f>
        <v>Saturday</v>
      </c>
      <c r="B131" s="13" t="n">
        <f aca="false">Setup!$C$5+229</f>
        <v>46256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TEXT(Setup!$C$5+229,"dddd")</f>
        <v>Saturday</v>
      </c>
      <c r="B132" s="13" t="n">
        <f aca="false">Setup!$C$5+229</f>
        <v>46256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TEXT(Setup!$C$5+229,"dddd")</f>
        <v>Saturday</v>
      </c>
      <c r="B133" s="23" t="n">
        <f aca="false">Setup!$C$5+229</f>
        <v>46256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IFERROR(H133-Wk32!H133,"")</f>
        <v>0</v>
      </c>
      <c r="O133" s="24" t="n">
        <f aca="false">IFERROR(D133-Wk32!D133,"")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TEXT(Setup!$C$5+230,"dddd")</f>
        <v>Sunday</v>
      </c>
      <c r="B134" s="13" t="n">
        <f aca="false">Setup!$C$5+230</f>
        <v>46257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TEXT(Setup!$C$5+230,"dddd")</f>
        <v>Sunday</v>
      </c>
      <c r="B135" s="13" t="n">
        <f aca="false">Setup!$C$5+230</f>
        <v>46257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TEXT(Setup!$C$5+230,"dddd")</f>
        <v>Sunday</v>
      </c>
      <c r="B136" s="13" t="n">
        <f aca="false">Setup!$C$5+230</f>
        <v>46257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TEXT(Setup!$C$5+230,"dddd")</f>
        <v>Sunday</v>
      </c>
      <c r="B137" s="13" t="n">
        <f aca="false">Setup!$C$5+230</f>
        <v>46257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TEXT(Setup!$C$5+230,"dddd")</f>
        <v>Sunday</v>
      </c>
      <c r="B138" s="13" t="n">
        <f aca="false">Setup!$C$5+230</f>
        <v>46257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TEXT(Setup!$C$5+230,"dddd")</f>
        <v>Sunday</v>
      </c>
      <c r="B139" s="13" t="n">
        <f aca="false">Setup!$C$5+230</f>
        <v>46257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TEXT(Setup!$C$5+230,"dddd")</f>
        <v>Sunday</v>
      </c>
      <c r="B140" s="13" t="n">
        <f aca="false">Setup!$C$5+230</f>
        <v>46257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TEXT(Setup!$C$5+230,"dddd")</f>
        <v>Sunday</v>
      </c>
      <c r="B141" s="13" t="n">
        <f aca="false">Setup!$C$5+230</f>
        <v>46257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TEXT(Setup!$C$5+230,"dddd")</f>
        <v>Sunday</v>
      </c>
      <c r="B142" s="13" t="n">
        <f aca="false">Setup!$C$5+230</f>
        <v>46257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TEXT(Setup!$C$5+230,"dddd")</f>
        <v>Sunday</v>
      </c>
      <c r="B143" s="13" t="n">
        <f aca="false">Setup!$C$5+230</f>
        <v>46257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TEXT(Setup!$C$5+230,"dddd")</f>
        <v>Sunday</v>
      </c>
      <c r="B144" s="13" t="n">
        <f aca="false">Setup!$C$5+230</f>
        <v>46257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TEXT(Setup!$C$5+230,"dddd")</f>
        <v>Sunday</v>
      </c>
      <c r="B145" s="13" t="n">
        <f aca="false">Setup!$C$5+230</f>
        <v>46257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TEXT(Setup!$C$5+230,"dddd")</f>
        <v>Sunday</v>
      </c>
      <c r="B146" s="13" t="n">
        <f aca="false">Setup!$C$5+230</f>
        <v>46257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TEXT(Setup!$C$5+230,"dddd")</f>
        <v>Sunday</v>
      </c>
      <c r="B147" s="13" t="n">
        <f aca="false">Setup!$C$5+230</f>
        <v>46257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TEXT(Setup!$C$5+230,"dddd")</f>
        <v>Sunday</v>
      </c>
      <c r="B148" s="13" t="n">
        <f aca="false">Setup!$C$5+230</f>
        <v>46257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TEXT(Setup!$C$5+230,"dddd")</f>
        <v>Sunday</v>
      </c>
      <c r="B149" s="13" t="n">
        <f aca="false">Setup!$C$5+230</f>
        <v>46257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TEXT(Setup!$C$5+230,"dddd")</f>
        <v>Sunday</v>
      </c>
      <c r="B150" s="13" t="n">
        <f aca="false">Setup!$C$5+230</f>
        <v>46257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TEXT(Setup!$C$5+230,"dddd")</f>
        <v>Sunday</v>
      </c>
      <c r="B151" s="13" t="n">
        <f aca="false">Setup!$C$5+230</f>
        <v>46257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TEXT(Setup!$C$5+230,"dddd")</f>
        <v>Sunday</v>
      </c>
      <c r="B152" s="13" t="n">
        <f aca="false">Setup!$C$5+230</f>
        <v>46257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TEXT(Setup!$C$5+230,"dddd")</f>
        <v>Sunday</v>
      </c>
      <c r="B153" s="13" t="n">
        <f aca="false">Setup!$C$5+230</f>
        <v>46257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TEXT(Setup!$C$5+230,"dddd")</f>
        <v>Sunday</v>
      </c>
      <c r="B154" s="13" t="n">
        <f aca="false">Setup!$C$5+230</f>
        <v>46257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TEXT(Setup!$C$5+230,"dddd")</f>
        <v>Sunday</v>
      </c>
      <c r="B155" s="23" t="n">
        <f aca="false">Setup!$C$5+230</f>
        <v>46257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IFERROR(H155-Wk32!H155,"")</f>
        <v>0</v>
      </c>
      <c r="O155" s="24" t="n">
        <f aca="false">IFERROR(D155-Wk32!D155,"")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IFERROR(D156-Wk32!D156,"")</f>
        <v>0</v>
      </c>
      <c r="E157" s="34" t="n">
        <f aca="false">IFERROR(E156-Wk32!E156,"")</f>
        <v>0</v>
      </c>
      <c r="H157" s="32" t="n">
        <f aca="false">IFERROR(H156-Wk32!H156,"")</f>
        <v>0</v>
      </c>
      <c r="K157" s="32" t="n">
        <f aca="false">IFERROR(K156-Wk32!K156,"")</f>
        <v>0</v>
      </c>
      <c r="M157" s="32" t="n">
        <f aca="false">IFERROR(M156-Wk32!M156,"")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TEXT(Setup!$C$5+231,"dddd")</f>
        <v>Monday</v>
      </c>
      <c r="B2" s="13" t="n">
        <f aca="false">Setup!$C$5+231</f>
        <v>46258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TEXT(Setup!$C$5+231,"dddd")</f>
        <v>Monday</v>
      </c>
      <c r="B3" s="13" t="n">
        <f aca="false">Setup!$C$5+231</f>
        <v>46258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TEXT(Setup!$C$5+231,"dddd")</f>
        <v>Monday</v>
      </c>
      <c r="B4" s="13" t="n">
        <f aca="false">Setup!$C$5+231</f>
        <v>46258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TEXT(Setup!$C$5+231,"dddd")</f>
        <v>Monday</v>
      </c>
      <c r="B5" s="13" t="n">
        <f aca="false">Setup!$C$5+231</f>
        <v>46258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TEXT(Setup!$C$5+231,"dddd")</f>
        <v>Monday</v>
      </c>
      <c r="B6" s="13" t="n">
        <f aca="false">Setup!$C$5+231</f>
        <v>46258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TEXT(Setup!$C$5+231,"dddd")</f>
        <v>Monday</v>
      </c>
      <c r="B7" s="13" t="n">
        <f aca="false">Setup!$C$5+231</f>
        <v>46258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TEXT(Setup!$C$5+231,"dddd")</f>
        <v>Monday</v>
      </c>
      <c r="B8" s="13" t="n">
        <f aca="false">Setup!$C$5+231</f>
        <v>46258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TEXT(Setup!$C$5+231,"dddd")</f>
        <v>Monday</v>
      </c>
      <c r="B9" s="13" t="n">
        <f aca="false">Setup!$C$5+231</f>
        <v>46258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TEXT(Setup!$C$5+231,"dddd")</f>
        <v>Monday</v>
      </c>
      <c r="B10" s="13" t="n">
        <f aca="false">Setup!$C$5+231</f>
        <v>46258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TEXT(Setup!$C$5+231,"dddd")</f>
        <v>Monday</v>
      </c>
      <c r="B11" s="13" t="n">
        <f aca="false">Setup!$C$5+231</f>
        <v>46258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TEXT(Setup!$C$5+231,"dddd")</f>
        <v>Monday</v>
      </c>
      <c r="B12" s="13" t="n">
        <f aca="false">Setup!$C$5+231</f>
        <v>46258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TEXT(Setup!$C$5+231,"dddd")</f>
        <v>Monday</v>
      </c>
      <c r="B13" s="13" t="n">
        <f aca="false">Setup!$C$5+231</f>
        <v>46258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TEXT(Setup!$C$5+231,"dddd")</f>
        <v>Monday</v>
      </c>
      <c r="B14" s="13" t="n">
        <f aca="false">Setup!$C$5+231</f>
        <v>46258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TEXT(Setup!$C$5+231,"dddd")</f>
        <v>Monday</v>
      </c>
      <c r="B15" s="13" t="n">
        <f aca="false">Setup!$C$5+231</f>
        <v>46258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TEXT(Setup!$C$5+231,"dddd")</f>
        <v>Monday</v>
      </c>
      <c r="B16" s="13" t="n">
        <f aca="false">Setup!$C$5+231</f>
        <v>46258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TEXT(Setup!$C$5+231,"dddd")</f>
        <v>Monday</v>
      </c>
      <c r="B17" s="13" t="n">
        <f aca="false">Setup!$C$5+231</f>
        <v>46258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TEXT(Setup!$C$5+231,"dddd")</f>
        <v>Monday</v>
      </c>
      <c r="B18" s="13" t="n">
        <f aca="false">Setup!$C$5+231</f>
        <v>46258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TEXT(Setup!$C$5+231,"dddd")</f>
        <v>Monday</v>
      </c>
      <c r="B19" s="13" t="n">
        <f aca="false">Setup!$C$5+231</f>
        <v>46258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TEXT(Setup!$C$5+231,"dddd")</f>
        <v>Monday</v>
      </c>
      <c r="B20" s="13" t="n">
        <f aca="false">Setup!$C$5+231</f>
        <v>46258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TEXT(Setup!$C$5+231,"dddd")</f>
        <v>Monday</v>
      </c>
      <c r="B21" s="13" t="n">
        <f aca="false">Setup!$C$5+231</f>
        <v>46258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TEXT(Setup!$C$5+231,"dddd")</f>
        <v>Monday</v>
      </c>
      <c r="B22" s="13" t="n">
        <f aca="false">Setup!$C$5+231</f>
        <v>46258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TEXT(Setup!$C$5+231,"dddd")</f>
        <v>Monday</v>
      </c>
      <c r="B23" s="23" t="n">
        <f aca="false">Setup!$C$5+231</f>
        <v>46258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IFERROR(H23-Wk33!H23,"")</f>
        <v>0</v>
      </c>
      <c r="O23" s="24" t="n">
        <f aca="false">IFERROR(D23-Wk33!D23,"")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TEXT(Setup!$C$5+232,"dddd")</f>
        <v>Tuesday</v>
      </c>
      <c r="B24" s="13" t="n">
        <f aca="false">Setup!$C$5+232</f>
        <v>46259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TEXT(Setup!$C$5+232,"dddd")</f>
        <v>Tuesday</v>
      </c>
      <c r="B25" s="13" t="n">
        <f aca="false">Setup!$C$5+232</f>
        <v>46259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TEXT(Setup!$C$5+232,"dddd")</f>
        <v>Tuesday</v>
      </c>
      <c r="B26" s="13" t="n">
        <f aca="false">Setup!$C$5+232</f>
        <v>46259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TEXT(Setup!$C$5+232,"dddd")</f>
        <v>Tuesday</v>
      </c>
      <c r="B27" s="13" t="n">
        <f aca="false">Setup!$C$5+232</f>
        <v>46259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TEXT(Setup!$C$5+232,"dddd")</f>
        <v>Tuesday</v>
      </c>
      <c r="B28" s="13" t="n">
        <f aca="false">Setup!$C$5+232</f>
        <v>46259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TEXT(Setup!$C$5+232,"dddd")</f>
        <v>Tuesday</v>
      </c>
      <c r="B29" s="13" t="n">
        <f aca="false">Setup!$C$5+232</f>
        <v>46259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TEXT(Setup!$C$5+232,"dddd")</f>
        <v>Tuesday</v>
      </c>
      <c r="B30" s="13" t="n">
        <f aca="false">Setup!$C$5+232</f>
        <v>46259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TEXT(Setup!$C$5+232,"dddd")</f>
        <v>Tuesday</v>
      </c>
      <c r="B31" s="13" t="n">
        <f aca="false">Setup!$C$5+232</f>
        <v>46259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TEXT(Setup!$C$5+232,"dddd")</f>
        <v>Tuesday</v>
      </c>
      <c r="B32" s="13" t="n">
        <f aca="false">Setup!$C$5+232</f>
        <v>46259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TEXT(Setup!$C$5+232,"dddd")</f>
        <v>Tuesday</v>
      </c>
      <c r="B33" s="13" t="n">
        <f aca="false">Setup!$C$5+232</f>
        <v>46259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TEXT(Setup!$C$5+232,"dddd")</f>
        <v>Tuesday</v>
      </c>
      <c r="B34" s="13" t="n">
        <f aca="false">Setup!$C$5+232</f>
        <v>46259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TEXT(Setup!$C$5+232,"dddd")</f>
        <v>Tuesday</v>
      </c>
      <c r="B35" s="13" t="n">
        <f aca="false">Setup!$C$5+232</f>
        <v>46259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TEXT(Setup!$C$5+232,"dddd")</f>
        <v>Tuesday</v>
      </c>
      <c r="B36" s="13" t="n">
        <f aca="false">Setup!$C$5+232</f>
        <v>46259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TEXT(Setup!$C$5+232,"dddd")</f>
        <v>Tuesday</v>
      </c>
      <c r="B37" s="13" t="n">
        <f aca="false">Setup!$C$5+232</f>
        <v>46259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TEXT(Setup!$C$5+232,"dddd")</f>
        <v>Tuesday</v>
      </c>
      <c r="B38" s="13" t="n">
        <f aca="false">Setup!$C$5+232</f>
        <v>46259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TEXT(Setup!$C$5+232,"dddd")</f>
        <v>Tuesday</v>
      </c>
      <c r="B39" s="13" t="n">
        <f aca="false">Setup!$C$5+232</f>
        <v>46259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TEXT(Setup!$C$5+232,"dddd")</f>
        <v>Tuesday</v>
      </c>
      <c r="B40" s="13" t="n">
        <f aca="false">Setup!$C$5+232</f>
        <v>46259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TEXT(Setup!$C$5+232,"dddd")</f>
        <v>Tuesday</v>
      </c>
      <c r="B41" s="13" t="n">
        <f aca="false">Setup!$C$5+232</f>
        <v>46259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TEXT(Setup!$C$5+232,"dddd")</f>
        <v>Tuesday</v>
      </c>
      <c r="B42" s="13" t="n">
        <f aca="false">Setup!$C$5+232</f>
        <v>46259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TEXT(Setup!$C$5+232,"dddd")</f>
        <v>Tuesday</v>
      </c>
      <c r="B43" s="13" t="n">
        <f aca="false">Setup!$C$5+232</f>
        <v>46259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TEXT(Setup!$C$5+232,"dddd")</f>
        <v>Tuesday</v>
      </c>
      <c r="B44" s="13" t="n">
        <f aca="false">Setup!$C$5+232</f>
        <v>46259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TEXT(Setup!$C$5+232,"dddd")</f>
        <v>Tuesday</v>
      </c>
      <c r="B45" s="23" t="n">
        <f aca="false">Setup!$C$5+232</f>
        <v>46259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IFERROR(H45-Wk33!H45,"")</f>
        <v>0</v>
      </c>
      <c r="O45" s="24" t="n">
        <f aca="false">IFERROR(D45-Wk33!D45,"")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TEXT(Setup!$C$5+233,"dddd")</f>
        <v>Wednesday</v>
      </c>
      <c r="B46" s="13" t="n">
        <f aca="false">Setup!$C$5+233</f>
        <v>46260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TEXT(Setup!$C$5+233,"dddd")</f>
        <v>Wednesday</v>
      </c>
      <c r="B47" s="13" t="n">
        <f aca="false">Setup!$C$5+233</f>
        <v>46260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TEXT(Setup!$C$5+233,"dddd")</f>
        <v>Wednesday</v>
      </c>
      <c r="B48" s="13" t="n">
        <f aca="false">Setup!$C$5+233</f>
        <v>46260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TEXT(Setup!$C$5+233,"dddd")</f>
        <v>Wednesday</v>
      </c>
      <c r="B49" s="13" t="n">
        <f aca="false">Setup!$C$5+233</f>
        <v>46260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TEXT(Setup!$C$5+233,"dddd")</f>
        <v>Wednesday</v>
      </c>
      <c r="B50" s="13" t="n">
        <f aca="false">Setup!$C$5+233</f>
        <v>46260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TEXT(Setup!$C$5+233,"dddd")</f>
        <v>Wednesday</v>
      </c>
      <c r="B51" s="13" t="n">
        <f aca="false">Setup!$C$5+233</f>
        <v>46260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TEXT(Setup!$C$5+233,"dddd")</f>
        <v>Wednesday</v>
      </c>
      <c r="B52" s="13" t="n">
        <f aca="false">Setup!$C$5+233</f>
        <v>46260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TEXT(Setup!$C$5+233,"dddd")</f>
        <v>Wednesday</v>
      </c>
      <c r="B53" s="13" t="n">
        <f aca="false">Setup!$C$5+233</f>
        <v>46260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TEXT(Setup!$C$5+233,"dddd")</f>
        <v>Wednesday</v>
      </c>
      <c r="B54" s="13" t="n">
        <f aca="false">Setup!$C$5+233</f>
        <v>46260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TEXT(Setup!$C$5+233,"dddd")</f>
        <v>Wednesday</v>
      </c>
      <c r="B55" s="13" t="n">
        <f aca="false">Setup!$C$5+233</f>
        <v>46260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TEXT(Setup!$C$5+233,"dddd")</f>
        <v>Wednesday</v>
      </c>
      <c r="B56" s="13" t="n">
        <f aca="false">Setup!$C$5+233</f>
        <v>46260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TEXT(Setup!$C$5+233,"dddd")</f>
        <v>Wednesday</v>
      </c>
      <c r="B57" s="13" t="n">
        <f aca="false">Setup!$C$5+233</f>
        <v>46260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TEXT(Setup!$C$5+233,"dddd")</f>
        <v>Wednesday</v>
      </c>
      <c r="B58" s="13" t="n">
        <f aca="false">Setup!$C$5+233</f>
        <v>46260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TEXT(Setup!$C$5+233,"dddd")</f>
        <v>Wednesday</v>
      </c>
      <c r="B59" s="13" t="n">
        <f aca="false">Setup!$C$5+233</f>
        <v>46260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TEXT(Setup!$C$5+233,"dddd")</f>
        <v>Wednesday</v>
      </c>
      <c r="B60" s="13" t="n">
        <f aca="false">Setup!$C$5+233</f>
        <v>46260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TEXT(Setup!$C$5+233,"dddd")</f>
        <v>Wednesday</v>
      </c>
      <c r="B61" s="13" t="n">
        <f aca="false">Setup!$C$5+233</f>
        <v>46260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TEXT(Setup!$C$5+233,"dddd")</f>
        <v>Wednesday</v>
      </c>
      <c r="B62" s="13" t="n">
        <f aca="false">Setup!$C$5+233</f>
        <v>46260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TEXT(Setup!$C$5+233,"dddd")</f>
        <v>Wednesday</v>
      </c>
      <c r="B63" s="13" t="n">
        <f aca="false">Setup!$C$5+233</f>
        <v>46260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TEXT(Setup!$C$5+233,"dddd")</f>
        <v>Wednesday</v>
      </c>
      <c r="B64" s="13" t="n">
        <f aca="false">Setup!$C$5+233</f>
        <v>46260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TEXT(Setup!$C$5+233,"dddd")</f>
        <v>Wednesday</v>
      </c>
      <c r="B65" s="13" t="n">
        <f aca="false">Setup!$C$5+233</f>
        <v>46260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TEXT(Setup!$C$5+233,"dddd")</f>
        <v>Wednesday</v>
      </c>
      <c r="B66" s="13" t="n">
        <f aca="false">Setup!$C$5+233</f>
        <v>46260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TEXT(Setup!$C$5+233,"dddd")</f>
        <v>Wednesday</v>
      </c>
      <c r="B67" s="23" t="n">
        <f aca="false">Setup!$C$5+233</f>
        <v>46260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IFERROR(H67-Wk33!H67,"")</f>
        <v>0</v>
      </c>
      <c r="O67" s="24" t="n">
        <f aca="false">IFERROR(D67-Wk33!D67,"")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TEXT(Setup!$C$5+234,"dddd")</f>
        <v>Thursday</v>
      </c>
      <c r="B68" s="13" t="n">
        <f aca="false">Setup!$C$5+234</f>
        <v>46261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TEXT(Setup!$C$5+234,"dddd")</f>
        <v>Thursday</v>
      </c>
      <c r="B69" s="13" t="n">
        <f aca="false">Setup!$C$5+234</f>
        <v>46261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TEXT(Setup!$C$5+234,"dddd")</f>
        <v>Thursday</v>
      </c>
      <c r="B70" s="13" t="n">
        <f aca="false">Setup!$C$5+234</f>
        <v>46261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TEXT(Setup!$C$5+234,"dddd")</f>
        <v>Thursday</v>
      </c>
      <c r="B71" s="13" t="n">
        <f aca="false">Setup!$C$5+234</f>
        <v>46261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TEXT(Setup!$C$5+234,"dddd")</f>
        <v>Thursday</v>
      </c>
      <c r="B72" s="13" t="n">
        <f aca="false">Setup!$C$5+234</f>
        <v>46261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TEXT(Setup!$C$5+234,"dddd")</f>
        <v>Thursday</v>
      </c>
      <c r="B73" s="13" t="n">
        <f aca="false">Setup!$C$5+234</f>
        <v>46261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TEXT(Setup!$C$5+234,"dddd")</f>
        <v>Thursday</v>
      </c>
      <c r="B74" s="13" t="n">
        <f aca="false">Setup!$C$5+234</f>
        <v>46261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TEXT(Setup!$C$5+234,"dddd")</f>
        <v>Thursday</v>
      </c>
      <c r="B75" s="13" t="n">
        <f aca="false">Setup!$C$5+234</f>
        <v>46261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TEXT(Setup!$C$5+234,"dddd")</f>
        <v>Thursday</v>
      </c>
      <c r="B76" s="13" t="n">
        <f aca="false">Setup!$C$5+234</f>
        <v>46261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TEXT(Setup!$C$5+234,"dddd")</f>
        <v>Thursday</v>
      </c>
      <c r="B77" s="13" t="n">
        <f aca="false">Setup!$C$5+234</f>
        <v>46261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TEXT(Setup!$C$5+234,"dddd")</f>
        <v>Thursday</v>
      </c>
      <c r="B78" s="13" t="n">
        <f aca="false">Setup!$C$5+234</f>
        <v>46261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TEXT(Setup!$C$5+234,"dddd")</f>
        <v>Thursday</v>
      </c>
      <c r="B79" s="13" t="n">
        <f aca="false">Setup!$C$5+234</f>
        <v>46261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TEXT(Setup!$C$5+234,"dddd")</f>
        <v>Thursday</v>
      </c>
      <c r="B80" s="13" t="n">
        <f aca="false">Setup!$C$5+234</f>
        <v>46261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TEXT(Setup!$C$5+234,"dddd")</f>
        <v>Thursday</v>
      </c>
      <c r="B81" s="13" t="n">
        <f aca="false">Setup!$C$5+234</f>
        <v>46261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TEXT(Setup!$C$5+234,"dddd")</f>
        <v>Thursday</v>
      </c>
      <c r="B82" s="13" t="n">
        <f aca="false">Setup!$C$5+234</f>
        <v>46261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TEXT(Setup!$C$5+234,"dddd")</f>
        <v>Thursday</v>
      </c>
      <c r="B83" s="13" t="n">
        <f aca="false">Setup!$C$5+234</f>
        <v>46261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TEXT(Setup!$C$5+234,"dddd")</f>
        <v>Thursday</v>
      </c>
      <c r="B84" s="13" t="n">
        <f aca="false">Setup!$C$5+234</f>
        <v>46261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TEXT(Setup!$C$5+234,"dddd")</f>
        <v>Thursday</v>
      </c>
      <c r="B85" s="13" t="n">
        <f aca="false">Setup!$C$5+234</f>
        <v>46261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TEXT(Setup!$C$5+234,"dddd")</f>
        <v>Thursday</v>
      </c>
      <c r="B86" s="13" t="n">
        <f aca="false">Setup!$C$5+234</f>
        <v>46261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TEXT(Setup!$C$5+234,"dddd")</f>
        <v>Thursday</v>
      </c>
      <c r="B87" s="13" t="n">
        <f aca="false">Setup!$C$5+234</f>
        <v>46261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TEXT(Setup!$C$5+234,"dddd")</f>
        <v>Thursday</v>
      </c>
      <c r="B88" s="13" t="n">
        <f aca="false">Setup!$C$5+234</f>
        <v>46261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TEXT(Setup!$C$5+234,"dddd")</f>
        <v>Thursday</v>
      </c>
      <c r="B89" s="23" t="n">
        <f aca="false">Setup!$C$5+234</f>
        <v>46261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IFERROR(H89-Wk33!H89,"")</f>
        <v>0</v>
      </c>
      <c r="O89" s="24" t="n">
        <f aca="false">IFERROR(D89-Wk33!D89,"")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TEXT(Setup!$C$5+235,"dddd")</f>
        <v>Friday</v>
      </c>
      <c r="B90" s="13" t="n">
        <f aca="false">Setup!$C$5+235</f>
        <v>46262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TEXT(Setup!$C$5+235,"dddd")</f>
        <v>Friday</v>
      </c>
      <c r="B91" s="13" t="n">
        <f aca="false">Setup!$C$5+235</f>
        <v>46262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TEXT(Setup!$C$5+235,"dddd")</f>
        <v>Friday</v>
      </c>
      <c r="B92" s="13" t="n">
        <f aca="false">Setup!$C$5+235</f>
        <v>46262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TEXT(Setup!$C$5+235,"dddd")</f>
        <v>Friday</v>
      </c>
      <c r="B93" s="13" t="n">
        <f aca="false">Setup!$C$5+235</f>
        <v>46262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TEXT(Setup!$C$5+235,"dddd")</f>
        <v>Friday</v>
      </c>
      <c r="B94" s="13" t="n">
        <f aca="false">Setup!$C$5+235</f>
        <v>46262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TEXT(Setup!$C$5+235,"dddd")</f>
        <v>Friday</v>
      </c>
      <c r="B95" s="13" t="n">
        <f aca="false">Setup!$C$5+235</f>
        <v>46262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TEXT(Setup!$C$5+235,"dddd")</f>
        <v>Friday</v>
      </c>
      <c r="B96" s="13" t="n">
        <f aca="false">Setup!$C$5+235</f>
        <v>46262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TEXT(Setup!$C$5+235,"dddd")</f>
        <v>Friday</v>
      </c>
      <c r="B97" s="13" t="n">
        <f aca="false">Setup!$C$5+235</f>
        <v>46262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TEXT(Setup!$C$5+235,"dddd")</f>
        <v>Friday</v>
      </c>
      <c r="B98" s="13" t="n">
        <f aca="false">Setup!$C$5+235</f>
        <v>46262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TEXT(Setup!$C$5+235,"dddd")</f>
        <v>Friday</v>
      </c>
      <c r="B99" s="13" t="n">
        <f aca="false">Setup!$C$5+235</f>
        <v>46262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TEXT(Setup!$C$5+235,"dddd")</f>
        <v>Friday</v>
      </c>
      <c r="B100" s="13" t="n">
        <f aca="false">Setup!$C$5+235</f>
        <v>46262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TEXT(Setup!$C$5+235,"dddd")</f>
        <v>Friday</v>
      </c>
      <c r="B101" s="13" t="n">
        <f aca="false">Setup!$C$5+235</f>
        <v>46262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TEXT(Setup!$C$5+235,"dddd")</f>
        <v>Friday</v>
      </c>
      <c r="B102" s="13" t="n">
        <f aca="false">Setup!$C$5+235</f>
        <v>46262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TEXT(Setup!$C$5+235,"dddd")</f>
        <v>Friday</v>
      </c>
      <c r="B103" s="13" t="n">
        <f aca="false">Setup!$C$5+235</f>
        <v>46262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TEXT(Setup!$C$5+235,"dddd")</f>
        <v>Friday</v>
      </c>
      <c r="B104" s="13" t="n">
        <f aca="false">Setup!$C$5+235</f>
        <v>46262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TEXT(Setup!$C$5+235,"dddd")</f>
        <v>Friday</v>
      </c>
      <c r="B105" s="13" t="n">
        <f aca="false">Setup!$C$5+235</f>
        <v>46262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TEXT(Setup!$C$5+235,"dddd")</f>
        <v>Friday</v>
      </c>
      <c r="B106" s="13" t="n">
        <f aca="false">Setup!$C$5+235</f>
        <v>46262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TEXT(Setup!$C$5+235,"dddd")</f>
        <v>Friday</v>
      </c>
      <c r="B107" s="13" t="n">
        <f aca="false">Setup!$C$5+235</f>
        <v>46262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TEXT(Setup!$C$5+235,"dddd")</f>
        <v>Friday</v>
      </c>
      <c r="B108" s="13" t="n">
        <f aca="false">Setup!$C$5+235</f>
        <v>46262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TEXT(Setup!$C$5+235,"dddd")</f>
        <v>Friday</v>
      </c>
      <c r="B109" s="13" t="n">
        <f aca="false">Setup!$C$5+235</f>
        <v>46262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TEXT(Setup!$C$5+235,"dddd")</f>
        <v>Friday</v>
      </c>
      <c r="B110" s="13" t="n">
        <f aca="false">Setup!$C$5+235</f>
        <v>46262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TEXT(Setup!$C$5+235,"dddd")</f>
        <v>Friday</v>
      </c>
      <c r="B111" s="23" t="n">
        <f aca="false">Setup!$C$5+235</f>
        <v>46262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IFERROR(H111-Wk33!H111,"")</f>
        <v>0</v>
      </c>
      <c r="O111" s="24" t="n">
        <f aca="false">IFERROR(D111-Wk33!D111,"")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TEXT(Setup!$C$5+236,"dddd")</f>
        <v>Saturday</v>
      </c>
      <c r="B112" s="13" t="n">
        <f aca="false">Setup!$C$5+236</f>
        <v>46263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TEXT(Setup!$C$5+236,"dddd")</f>
        <v>Saturday</v>
      </c>
      <c r="B113" s="13" t="n">
        <f aca="false">Setup!$C$5+236</f>
        <v>46263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TEXT(Setup!$C$5+236,"dddd")</f>
        <v>Saturday</v>
      </c>
      <c r="B114" s="13" t="n">
        <f aca="false">Setup!$C$5+236</f>
        <v>46263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TEXT(Setup!$C$5+236,"dddd")</f>
        <v>Saturday</v>
      </c>
      <c r="B115" s="13" t="n">
        <f aca="false">Setup!$C$5+236</f>
        <v>46263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TEXT(Setup!$C$5+236,"dddd")</f>
        <v>Saturday</v>
      </c>
      <c r="B116" s="13" t="n">
        <f aca="false">Setup!$C$5+236</f>
        <v>46263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TEXT(Setup!$C$5+236,"dddd")</f>
        <v>Saturday</v>
      </c>
      <c r="B117" s="13" t="n">
        <f aca="false">Setup!$C$5+236</f>
        <v>46263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TEXT(Setup!$C$5+236,"dddd")</f>
        <v>Saturday</v>
      </c>
      <c r="B118" s="13" t="n">
        <f aca="false">Setup!$C$5+236</f>
        <v>46263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TEXT(Setup!$C$5+236,"dddd")</f>
        <v>Saturday</v>
      </c>
      <c r="B119" s="13" t="n">
        <f aca="false">Setup!$C$5+236</f>
        <v>46263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TEXT(Setup!$C$5+236,"dddd")</f>
        <v>Saturday</v>
      </c>
      <c r="B120" s="13" t="n">
        <f aca="false">Setup!$C$5+236</f>
        <v>46263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TEXT(Setup!$C$5+236,"dddd")</f>
        <v>Saturday</v>
      </c>
      <c r="B121" s="13" t="n">
        <f aca="false">Setup!$C$5+236</f>
        <v>46263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TEXT(Setup!$C$5+236,"dddd")</f>
        <v>Saturday</v>
      </c>
      <c r="B122" s="13" t="n">
        <f aca="false">Setup!$C$5+236</f>
        <v>46263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TEXT(Setup!$C$5+236,"dddd")</f>
        <v>Saturday</v>
      </c>
      <c r="B123" s="13" t="n">
        <f aca="false">Setup!$C$5+236</f>
        <v>46263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TEXT(Setup!$C$5+236,"dddd")</f>
        <v>Saturday</v>
      </c>
      <c r="B124" s="13" t="n">
        <f aca="false">Setup!$C$5+236</f>
        <v>46263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TEXT(Setup!$C$5+236,"dddd")</f>
        <v>Saturday</v>
      </c>
      <c r="B125" s="13" t="n">
        <f aca="false">Setup!$C$5+236</f>
        <v>46263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TEXT(Setup!$C$5+236,"dddd")</f>
        <v>Saturday</v>
      </c>
      <c r="B126" s="13" t="n">
        <f aca="false">Setup!$C$5+236</f>
        <v>46263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TEXT(Setup!$C$5+236,"dddd")</f>
        <v>Saturday</v>
      </c>
      <c r="B127" s="13" t="n">
        <f aca="false">Setup!$C$5+236</f>
        <v>46263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TEXT(Setup!$C$5+236,"dddd")</f>
        <v>Saturday</v>
      </c>
      <c r="B128" s="13" t="n">
        <f aca="false">Setup!$C$5+236</f>
        <v>46263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TEXT(Setup!$C$5+236,"dddd")</f>
        <v>Saturday</v>
      </c>
      <c r="B129" s="13" t="n">
        <f aca="false">Setup!$C$5+236</f>
        <v>46263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TEXT(Setup!$C$5+236,"dddd")</f>
        <v>Saturday</v>
      </c>
      <c r="B130" s="13" t="n">
        <f aca="false">Setup!$C$5+236</f>
        <v>46263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TEXT(Setup!$C$5+236,"dddd")</f>
        <v>Saturday</v>
      </c>
      <c r="B131" s="13" t="n">
        <f aca="false">Setup!$C$5+236</f>
        <v>46263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TEXT(Setup!$C$5+236,"dddd")</f>
        <v>Saturday</v>
      </c>
      <c r="B132" s="13" t="n">
        <f aca="false">Setup!$C$5+236</f>
        <v>46263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TEXT(Setup!$C$5+236,"dddd")</f>
        <v>Saturday</v>
      </c>
      <c r="B133" s="23" t="n">
        <f aca="false">Setup!$C$5+236</f>
        <v>46263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IFERROR(H133-Wk33!H133,"")</f>
        <v>0</v>
      </c>
      <c r="O133" s="24" t="n">
        <f aca="false">IFERROR(D133-Wk33!D133,"")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TEXT(Setup!$C$5+237,"dddd")</f>
        <v>Sunday</v>
      </c>
      <c r="B134" s="13" t="n">
        <f aca="false">Setup!$C$5+237</f>
        <v>46264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TEXT(Setup!$C$5+237,"dddd")</f>
        <v>Sunday</v>
      </c>
      <c r="B135" s="13" t="n">
        <f aca="false">Setup!$C$5+237</f>
        <v>46264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TEXT(Setup!$C$5+237,"dddd")</f>
        <v>Sunday</v>
      </c>
      <c r="B136" s="13" t="n">
        <f aca="false">Setup!$C$5+237</f>
        <v>46264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TEXT(Setup!$C$5+237,"dddd")</f>
        <v>Sunday</v>
      </c>
      <c r="B137" s="13" t="n">
        <f aca="false">Setup!$C$5+237</f>
        <v>46264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TEXT(Setup!$C$5+237,"dddd")</f>
        <v>Sunday</v>
      </c>
      <c r="B138" s="13" t="n">
        <f aca="false">Setup!$C$5+237</f>
        <v>46264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TEXT(Setup!$C$5+237,"dddd")</f>
        <v>Sunday</v>
      </c>
      <c r="B139" s="13" t="n">
        <f aca="false">Setup!$C$5+237</f>
        <v>46264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TEXT(Setup!$C$5+237,"dddd")</f>
        <v>Sunday</v>
      </c>
      <c r="B140" s="13" t="n">
        <f aca="false">Setup!$C$5+237</f>
        <v>46264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TEXT(Setup!$C$5+237,"dddd")</f>
        <v>Sunday</v>
      </c>
      <c r="B141" s="13" t="n">
        <f aca="false">Setup!$C$5+237</f>
        <v>46264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TEXT(Setup!$C$5+237,"dddd")</f>
        <v>Sunday</v>
      </c>
      <c r="B142" s="13" t="n">
        <f aca="false">Setup!$C$5+237</f>
        <v>46264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TEXT(Setup!$C$5+237,"dddd")</f>
        <v>Sunday</v>
      </c>
      <c r="B143" s="13" t="n">
        <f aca="false">Setup!$C$5+237</f>
        <v>46264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TEXT(Setup!$C$5+237,"dddd")</f>
        <v>Sunday</v>
      </c>
      <c r="B144" s="13" t="n">
        <f aca="false">Setup!$C$5+237</f>
        <v>46264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TEXT(Setup!$C$5+237,"dddd")</f>
        <v>Sunday</v>
      </c>
      <c r="B145" s="13" t="n">
        <f aca="false">Setup!$C$5+237</f>
        <v>46264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TEXT(Setup!$C$5+237,"dddd")</f>
        <v>Sunday</v>
      </c>
      <c r="B146" s="13" t="n">
        <f aca="false">Setup!$C$5+237</f>
        <v>46264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TEXT(Setup!$C$5+237,"dddd")</f>
        <v>Sunday</v>
      </c>
      <c r="B147" s="13" t="n">
        <f aca="false">Setup!$C$5+237</f>
        <v>46264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TEXT(Setup!$C$5+237,"dddd")</f>
        <v>Sunday</v>
      </c>
      <c r="B148" s="13" t="n">
        <f aca="false">Setup!$C$5+237</f>
        <v>46264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TEXT(Setup!$C$5+237,"dddd")</f>
        <v>Sunday</v>
      </c>
      <c r="B149" s="13" t="n">
        <f aca="false">Setup!$C$5+237</f>
        <v>46264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TEXT(Setup!$C$5+237,"dddd")</f>
        <v>Sunday</v>
      </c>
      <c r="B150" s="13" t="n">
        <f aca="false">Setup!$C$5+237</f>
        <v>46264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TEXT(Setup!$C$5+237,"dddd")</f>
        <v>Sunday</v>
      </c>
      <c r="B151" s="13" t="n">
        <f aca="false">Setup!$C$5+237</f>
        <v>46264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TEXT(Setup!$C$5+237,"dddd")</f>
        <v>Sunday</v>
      </c>
      <c r="B152" s="13" t="n">
        <f aca="false">Setup!$C$5+237</f>
        <v>46264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TEXT(Setup!$C$5+237,"dddd")</f>
        <v>Sunday</v>
      </c>
      <c r="B153" s="13" t="n">
        <f aca="false">Setup!$C$5+237</f>
        <v>46264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TEXT(Setup!$C$5+237,"dddd")</f>
        <v>Sunday</v>
      </c>
      <c r="B154" s="13" t="n">
        <f aca="false">Setup!$C$5+237</f>
        <v>46264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TEXT(Setup!$C$5+237,"dddd")</f>
        <v>Sunday</v>
      </c>
      <c r="B155" s="23" t="n">
        <f aca="false">Setup!$C$5+237</f>
        <v>46264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IFERROR(H155-Wk33!H155,"")</f>
        <v>0</v>
      </c>
      <c r="O155" s="24" t="n">
        <f aca="false">IFERROR(D155-Wk33!D155,"")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IFERROR(D156-Wk33!D156,"")</f>
        <v>0</v>
      </c>
      <c r="E157" s="34" t="n">
        <f aca="false">IFERROR(E156-Wk33!E156,"")</f>
        <v>0</v>
      </c>
      <c r="H157" s="32" t="n">
        <f aca="false">IFERROR(H156-Wk33!H156,"")</f>
        <v>0</v>
      </c>
      <c r="K157" s="32" t="n">
        <f aca="false">IFERROR(K156-Wk33!K156,"")</f>
        <v>0</v>
      </c>
      <c r="M157" s="32" t="n">
        <f aca="false">IFERROR(M156-Wk33!M156,"")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TEXT(Setup!$C$5+238,"dddd")</f>
        <v>Monday</v>
      </c>
      <c r="B2" s="13" t="n">
        <f aca="false">Setup!$C$5+238</f>
        <v>46265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TEXT(Setup!$C$5+238,"dddd")</f>
        <v>Monday</v>
      </c>
      <c r="B3" s="13" t="n">
        <f aca="false">Setup!$C$5+238</f>
        <v>46265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TEXT(Setup!$C$5+238,"dddd")</f>
        <v>Monday</v>
      </c>
      <c r="B4" s="13" t="n">
        <f aca="false">Setup!$C$5+238</f>
        <v>46265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TEXT(Setup!$C$5+238,"dddd")</f>
        <v>Monday</v>
      </c>
      <c r="B5" s="13" t="n">
        <f aca="false">Setup!$C$5+238</f>
        <v>46265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TEXT(Setup!$C$5+238,"dddd")</f>
        <v>Monday</v>
      </c>
      <c r="B6" s="13" t="n">
        <f aca="false">Setup!$C$5+238</f>
        <v>46265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TEXT(Setup!$C$5+238,"dddd")</f>
        <v>Monday</v>
      </c>
      <c r="B7" s="13" t="n">
        <f aca="false">Setup!$C$5+238</f>
        <v>46265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TEXT(Setup!$C$5+238,"dddd")</f>
        <v>Monday</v>
      </c>
      <c r="B8" s="13" t="n">
        <f aca="false">Setup!$C$5+238</f>
        <v>46265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TEXT(Setup!$C$5+238,"dddd")</f>
        <v>Monday</v>
      </c>
      <c r="B9" s="13" t="n">
        <f aca="false">Setup!$C$5+238</f>
        <v>46265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TEXT(Setup!$C$5+238,"dddd")</f>
        <v>Monday</v>
      </c>
      <c r="B10" s="13" t="n">
        <f aca="false">Setup!$C$5+238</f>
        <v>46265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TEXT(Setup!$C$5+238,"dddd")</f>
        <v>Monday</v>
      </c>
      <c r="B11" s="13" t="n">
        <f aca="false">Setup!$C$5+238</f>
        <v>46265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TEXT(Setup!$C$5+238,"dddd")</f>
        <v>Monday</v>
      </c>
      <c r="B12" s="13" t="n">
        <f aca="false">Setup!$C$5+238</f>
        <v>46265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TEXT(Setup!$C$5+238,"dddd")</f>
        <v>Monday</v>
      </c>
      <c r="B13" s="13" t="n">
        <f aca="false">Setup!$C$5+238</f>
        <v>46265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TEXT(Setup!$C$5+238,"dddd")</f>
        <v>Monday</v>
      </c>
      <c r="B14" s="13" t="n">
        <f aca="false">Setup!$C$5+238</f>
        <v>46265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TEXT(Setup!$C$5+238,"dddd")</f>
        <v>Monday</v>
      </c>
      <c r="B15" s="13" t="n">
        <f aca="false">Setup!$C$5+238</f>
        <v>46265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TEXT(Setup!$C$5+238,"dddd")</f>
        <v>Monday</v>
      </c>
      <c r="B16" s="13" t="n">
        <f aca="false">Setup!$C$5+238</f>
        <v>46265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TEXT(Setup!$C$5+238,"dddd")</f>
        <v>Monday</v>
      </c>
      <c r="B17" s="13" t="n">
        <f aca="false">Setup!$C$5+238</f>
        <v>46265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TEXT(Setup!$C$5+238,"dddd")</f>
        <v>Monday</v>
      </c>
      <c r="B18" s="13" t="n">
        <f aca="false">Setup!$C$5+238</f>
        <v>46265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TEXT(Setup!$C$5+238,"dddd")</f>
        <v>Monday</v>
      </c>
      <c r="B19" s="13" t="n">
        <f aca="false">Setup!$C$5+238</f>
        <v>46265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TEXT(Setup!$C$5+238,"dddd")</f>
        <v>Monday</v>
      </c>
      <c r="B20" s="13" t="n">
        <f aca="false">Setup!$C$5+238</f>
        <v>46265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TEXT(Setup!$C$5+238,"dddd")</f>
        <v>Monday</v>
      </c>
      <c r="B21" s="13" t="n">
        <f aca="false">Setup!$C$5+238</f>
        <v>46265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TEXT(Setup!$C$5+238,"dddd")</f>
        <v>Monday</v>
      </c>
      <c r="B22" s="13" t="n">
        <f aca="false">Setup!$C$5+238</f>
        <v>46265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TEXT(Setup!$C$5+238,"dddd")</f>
        <v>Monday</v>
      </c>
      <c r="B23" s="23" t="n">
        <f aca="false">Setup!$C$5+238</f>
        <v>46265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IFERROR(H23-Wk34!H23,"")</f>
        <v>0</v>
      </c>
      <c r="O23" s="24" t="n">
        <f aca="false">IFERROR(D23-Wk34!D23,"")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TEXT(Setup!$C$5+239,"dddd")</f>
        <v>Tuesday</v>
      </c>
      <c r="B24" s="13" t="n">
        <f aca="false">Setup!$C$5+239</f>
        <v>46266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TEXT(Setup!$C$5+239,"dddd")</f>
        <v>Tuesday</v>
      </c>
      <c r="B25" s="13" t="n">
        <f aca="false">Setup!$C$5+239</f>
        <v>46266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TEXT(Setup!$C$5+239,"dddd")</f>
        <v>Tuesday</v>
      </c>
      <c r="B26" s="13" t="n">
        <f aca="false">Setup!$C$5+239</f>
        <v>46266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TEXT(Setup!$C$5+239,"dddd")</f>
        <v>Tuesday</v>
      </c>
      <c r="B27" s="13" t="n">
        <f aca="false">Setup!$C$5+239</f>
        <v>46266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TEXT(Setup!$C$5+239,"dddd")</f>
        <v>Tuesday</v>
      </c>
      <c r="B28" s="13" t="n">
        <f aca="false">Setup!$C$5+239</f>
        <v>46266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TEXT(Setup!$C$5+239,"dddd")</f>
        <v>Tuesday</v>
      </c>
      <c r="B29" s="13" t="n">
        <f aca="false">Setup!$C$5+239</f>
        <v>46266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TEXT(Setup!$C$5+239,"dddd")</f>
        <v>Tuesday</v>
      </c>
      <c r="B30" s="13" t="n">
        <f aca="false">Setup!$C$5+239</f>
        <v>46266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TEXT(Setup!$C$5+239,"dddd")</f>
        <v>Tuesday</v>
      </c>
      <c r="B31" s="13" t="n">
        <f aca="false">Setup!$C$5+239</f>
        <v>46266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TEXT(Setup!$C$5+239,"dddd")</f>
        <v>Tuesday</v>
      </c>
      <c r="B32" s="13" t="n">
        <f aca="false">Setup!$C$5+239</f>
        <v>46266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TEXT(Setup!$C$5+239,"dddd")</f>
        <v>Tuesday</v>
      </c>
      <c r="B33" s="13" t="n">
        <f aca="false">Setup!$C$5+239</f>
        <v>46266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TEXT(Setup!$C$5+239,"dddd")</f>
        <v>Tuesday</v>
      </c>
      <c r="B34" s="13" t="n">
        <f aca="false">Setup!$C$5+239</f>
        <v>46266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TEXT(Setup!$C$5+239,"dddd")</f>
        <v>Tuesday</v>
      </c>
      <c r="B35" s="13" t="n">
        <f aca="false">Setup!$C$5+239</f>
        <v>46266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TEXT(Setup!$C$5+239,"dddd")</f>
        <v>Tuesday</v>
      </c>
      <c r="B36" s="13" t="n">
        <f aca="false">Setup!$C$5+239</f>
        <v>46266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TEXT(Setup!$C$5+239,"dddd")</f>
        <v>Tuesday</v>
      </c>
      <c r="B37" s="13" t="n">
        <f aca="false">Setup!$C$5+239</f>
        <v>46266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TEXT(Setup!$C$5+239,"dddd")</f>
        <v>Tuesday</v>
      </c>
      <c r="B38" s="13" t="n">
        <f aca="false">Setup!$C$5+239</f>
        <v>46266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TEXT(Setup!$C$5+239,"dddd")</f>
        <v>Tuesday</v>
      </c>
      <c r="B39" s="13" t="n">
        <f aca="false">Setup!$C$5+239</f>
        <v>46266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TEXT(Setup!$C$5+239,"dddd")</f>
        <v>Tuesday</v>
      </c>
      <c r="B40" s="13" t="n">
        <f aca="false">Setup!$C$5+239</f>
        <v>46266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TEXT(Setup!$C$5+239,"dddd")</f>
        <v>Tuesday</v>
      </c>
      <c r="B41" s="13" t="n">
        <f aca="false">Setup!$C$5+239</f>
        <v>46266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TEXT(Setup!$C$5+239,"dddd")</f>
        <v>Tuesday</v>
      </c>
      <c r="B42" s="13" t="n">
        <f aca="false">Setup!$C$5+239</f>
        <v>46266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TEXT(Setup!$C$5+239,"dddd")</f>
        <v>Tuesday</v>
      </c>
      <c r="B43" s="13" t="n">
        <f aca="false">Setup!$C$5+239</f>
        <v>46266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TEXT(Setup!$C$5+239,"dddd")</f>
        <v>Tuesday</v>
      </c>
      <c r="B44" s="13" t="n">
        <f aca="false">Setup!$C$5+239</f>
        <v>46266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TEXT(Setup!$C$5+239,"dddd")</f>
        <v>Tuesday</v>
      </c>
      <c r="B45" s="23" t="n">
        <f aca="false">Setup!$C$5+239</f>
        <v>46266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IFERROR(H45-Wk34!H45,"")</f>
        <v>0</v>
      </c>
      <c r="O45" s="24" t="n">
        <f aca="false">IFERROR(D45-Wk34!D45,"")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TEXT(Setup!$C$5+240,"dddd")</f>
        <v>Wednesday</v>
      </c>
      <c r="B46" s="13" t="n">
        <f aca="false">Setup!$C$5+240</f>
        <v>46267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TEXT(Setup!$C$5+240,"dddd")</f>
        <v>Wednesday</v>
      </c>
      <c r="B47" s="13" t="n">
        <f aca="false">Setup!$C$5+240</f>
        <v>46267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TEXT(Setup!$C$5+240,"dddd")</f>
        <v>Wednesday</v>
      </c>
      <c r="B48" s="13" t="n">
        <f aca="false">Setup!$C$5+240</f>
        <v>46267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TEXT(Setup!$C$5+240,"dddd")</f>
        <v>Wednesday</v>
      </c>
      <c r="B49" s="13" t="n">
        <f aca="false">Setup!$C$5+240</f>
        <v>46267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TEXT(Setup!$C$5+240,"dddd")</f>
        <v>Wednesday</v>
      </c>
      <c r="B50" s="13" t="n">
        <f aca="false">Setup!$C$5+240</f>
        <v>46267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TEXT(Setup!$C$5+240,"dddd")</f>
        <v>Wednesday</v>
      </c>
      <c r="B51" s="13" t="n">
        <f aca="false">Setup!$C$5+240</f>
        <v>46267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TEXT(Setup!$C$5+240,"dddd")</f>
        <v>Wednesday</v>
      </c>
      <c r="B52" s="13" t="n">
        <f aca="false">Setup!$C$5+240</f>
        <v>46267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TEXT(Setup!$C$5+240,"dddd")</f>
        <v>Wednesday</v>
      </c>
      <c r="B53" s="13" t="n">
        <f aca="false">Setup!$C$5+240</f>
        <v>46267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TEXT(Setup!$C$5+240,"dddd")</f>
        <v>Wednesday</v>
      </c>
      <c r="B54" s="13" t="n">
        <f aca="false">Setup!$C$5+240</f>
        <v>46267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TEXT(Setup!$C$5+240,"dddd")</f>
        <v>Wednesday</v>
      </c>
      <c r="B55" s="13" t="n">
        <f aca="false">Setup!$C$5+240</f>
        <v>46267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TEXT(Setup!$C$5+240,"dddd")</f>
        <v>Wednesday</v>
      </c>
      <c r="B56" s="13" t="n">
        <f aca="false">Setup!$C$5+240</f>
        <v>46267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TEXT(Setup!$C$5+240,"dddd")</f>
        <v>Wednesday</v>
      </c>
      <c r="B57" s="13" t="n">
        <f aca="false">Setup!$C$5+240</f>
        <v>46267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TEXT(Setup!$C$5+240,"dddd")</f>
        <v>Wednesday</v>
      </c>
      <c r="B58" s="13" t="n">
        <f aca="false">Setup!$C$5+240</f>
        <v>46267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TEXT(Setup!$C$5+240,"dddd")</f>
        <v>Wednesday</v>
      </c>
      <c r="B59" s="13" t="n">
        <f aca="false">Setup!$C$5+240</f>
        <v>46267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TEXT(Setup!$C$5+240,"dddd")</f>
        <v>Wednesday</v>
      </c>
      <c r="B60" s="13" t="n">
        <f aca="false">Setup!$C$5+240</f>
        <v>46267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TEXT(Setup!$C$5+240,"dddd")</f>
        <v>Wednesday</v>
      </c>
      <c r="B61" s="13" t="n">
        <f aca="false">Setup!$C$5+240</f>
        <v>46267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TEXT(Setup!$C$5+240,"dddd")</f>
        <v>Wednesday</v>
      </c>
      <c r="B62" s="13" t="n">
        <f aca="false">Setup!$C$5+240</f>
        <v>46267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TEXT(Setup!$C$5+240,"dddd")</f>
        <v>Wednesday</v>
      </c>
      <c r="B63" s="13" t="n">
        <f aca="false">Setup!$C$5+240</f>
        <v>46267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TEXT(Setup!$C$5+240,"dddd")</f>
        <v>Wednesday</v>
      </c>
      <c r="B64" s="13" t="n">
        <f aca="false">Setup!$C$5+240</f>
        <v>46267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TEXT(Setup!$C$5+240,"dddd")</f>
        <v>Wednesday</v>
      </c>
      <c r="B65" s="13" t="n">
        <f aca="false">Setup!$C$5+240</f>
        <v>46267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TEXT(Setup!$C$5+240,"dddd")</f>
        <v>Wednesday</v>
      </c>
      <c r="B66" s="13" t="n">
        <f aca="false">Setup!$C$5+240</f>
        <v>46267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TEXT(Setup!$C$5+240,"dddd")</f>
        <v>Wednesday</v>
      </c>
      <c r="B67" s="23" t="n">
        <f aca="false">Setup!$C$5+240</f>
        <v>46267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IFERROR(H67-Wk34!H67,"")</f>
        <v>0</v>
      </c>
      <c r="O67" s="24" t="n">
        <f aca="false">IFERROR(D67-Wk34!D67,"")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TEXT(Setup!$C$5+241,"dddd")</f>
        <v>Thursday</v>
      </c>
      <c r="B68" s="13" t="n">
        <f aca="false">Setup!$C$5+241</f>
        <v>46268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TEXT(Setup!$C$5+241,"dddd")</f>
        <v>Thursday</v>
      </c>
      <c r="B69" s="13" t="n">
        <f aca="false">Setup!$C$5+241</f>
        <v>46268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TEXT(Setup!$C$5+241,"dddd")</f>
        <v>Thursday</v>
      </c>
      <c r="B70" s="13" t="n">
        <f aca="false">Setup!$C$5+241</f>
        <v>46268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TEXT(Setup!$C$5+241,"dddd")</f>
        <v>Thursday</v>
      </c>
      <c r="B71" s="13" t="n">
        <f aca="false">Setup!$C$5+241</f>
        <v>46268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TEXT(Setup!$C$5+241,"dddd")</f>
        <v>Thursday</v>
      </c>
      <c r="B72" s="13" t="n">
        <f aca="false">Setup!$C$5+241</f>
        <v>46268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TEXT(Setup!$C$5+241,"dddd")</f>
        <v>Thursday</v>
      </c>
      <c r="B73" s="13" t="n">
        <f aca="false">Setup!$C$5+241</f>
        <v>46268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TEXT(Setup!$C$5+241,"dddd")</f>
        <v>Thursday</v>
      </c>
      <c r="B74" s="13" t="n">
        <f aca="false">Setup!$C$5+241</f>
        <v>46268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TEXT(Setup!$C$5+241,"dddd")</f>
        <v>Thursday</v>
      </c>
      <c r="B75" s="13" t="n">
        <f aca="false">Setup!$C$5+241</f>
        <v>46268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TEXT(Setup!$C$5+241,"dddd")</f>
        <v>Thursday</v>
      </c>
      <c r="B76" s="13" t="n">
        <f aca="false">Setup!$C$5+241</f>
        <v>46268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TEXT(Setup!$C$5+241,"dddd")</f>
        <v>Thursday</v>
      </c>
      <c r="B77" s="13" t="n">
        <f aca="false">Setup!$C$5+241</f>
        <v>46268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TEXT(Setup!$C$5+241,"dddd")</f>
        <v>Thursday</v>
      </c>
      <c r="B78" s="13" t="n">
        <f aca="false">Setup!$C$5+241</f>
        <v>46268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TEXT(Setup!$C$5+241,"dddd")</f>
        <v>Thursday</v>
      </c>
      <c r="B79" s="13" t="n">
        <f aca="false">Setup!$C$5+241</f>
        <v>46268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TEXT(Setup!$C$5+241,"dddd")</f>
        <v>Thursday</v>
      </c>
      <c r="B80" s="13" t="n">
        <f aca="false">Setup!$C$5+241</f>
        <v>46268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TEXT(Setup!$C$5+241,"dddd")</f>
        <v>Thursday</v>
      </c>
      <c r="B81" s="13" t="n">
        <f aca="false">Setup!$C$5+241</f>
        <v>46268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TEXT(Setup!$C$5+241,"dddd")</f>
        <v>Thursday</v>
      </c>
      <c r="B82" s="13" t="n">
        <f aca="false">Setup!$C$5+241</f>
        <v>46268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TEXT(Setup!$C$5+241,"dddd")</f>
        <v>Thursday</v>
      </c>
      <c r="B83" s="13" t="n">
        <f aca="false">Setup!$C$5+241</f>
        <v>46268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TEXT(Setup!$C$5+241,"dddd")</f>
        <v>Thursday</v>
      </c>
      <c r="B84" s="13" t="n">
        <f aca="false">Setup!$C$5+241</f>
        <v>46268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TEXT(Setup!$C$5+241,"dddd")</f>
        <v>Thursday</v>
      </c>
      <c r="B85" s="13" t="n">
        <f aca="false">Setup!$C$5+241</f>
        <v>46268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TEXT(Setup!$C$5+241,"dddd")</f>
        <v>Thursday</v>
      </c>
      <c r="B86" s="13" t="n">
        <f aca="false">Setup!$C$5+241</f>
        <v>46268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TEXT(Setup!$C$5+241,"dddd")</f>
        <v>Thursday</v>
      </c>
      <c r="B87" s="13" t="n">
        <f aca="false">Setup!$C$5+241</f>
        <v>46268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TEXT(Setup!$C$5+241,"dddd")</f>
        <v>Thursday</v>
      </c>
      <c r="B88" s="13" t="n">
        <f aca="false">Setup!$C$5+241</f>
        <v>46268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TEXT(Setup!$C$5+241,"dddd")</f>
        <v>Thursday</v>
      </c>
      <c r="B89" s="23" t="n">
        <f aca="false">Setup!$C$5+241</f>
        <v>46268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IFERROR(H89-Wk34!H89,"")</f>
        <v>0</v>
      </c>
      <c r="O89" s="24" t="n">
        <f aca="false">IFERROR(D89-Wk34!D89,"")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TEXT(Setup!$C$5+242,"dddd")</f>
        <v>Friday</v>
      </c>
      <c r="B90" s="13" t="n">
        <f aca="false">Setup!$C$5+242</f>
        <v>46269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TEXT(Setup!$C$5+242,"dddd")</f>
        <v>Friday</v>
      </c>
      <c r="B91" s="13" t="n">
        <f aca="false">Setup!$C$5+242</f>
        <v>46269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TEXT(Setup!$C$5+242,"dddd")</f>
        <v>Friday</v>
      </c>
      <c r="B92" s="13" t="n">
        <f aca="false">Setup!$C$5+242</f>
        <v>46269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TEXT(Setup!$C$5+242,"dddd")</f>
        <v>Friday</v>
      </c>
      <c r="B93" s="13" t="n">
        <f aca="false">Setup!$C$5+242</f>
        <v>46269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TEXT(Setup!$C$5+242,"dddd")</f>
        <v>Friday</v>
      </c>
      <c r="B94" s="13" t="n">
        <f aca="false">Setup!$C$5+242</f>
        <v>46269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TEXT(Setup!$C$5+242,"dddd")</f>
        <v>Friday</v>
      </c>
      <c r="B95" s="13" t="n">
        <f aca="false">Setup!$C$5+242</f>
        <v>46269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TEXT(Setup!$C$5+242,"dddd")</f>
        <v>Friday</v>
      </c>
      <c r="B96" s="13" t="n">
        <f aca="false">Setup!$C$5+242</f>
        <v>46269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TEXT(Setup!$C$5+242,"dddd")</f>
        <v>Friday</v>
      </c>
      <c r="B97" s="13" t="n">
        <f aca="false">Setup!$C$5+242</f>
        <v>46269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TEXT(Setup!$C$5+242,"dddd")</f>
        <v>Friday</v>
      </c>
      <c r="B98" s="13" t="n">
        <f aca="false">Setup!$C$5+242</f>
        <v>46269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TEXT(Setup!$C$5+242,"dddd")</f>
        <v>Friday</v>
      </c>
      <c r="B99" s="13" t="n">
        <f aca="false">Setup!$C$5+242</f>
        <v>46269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TEXT(Setup!$C$5+242,"dddd")</f>
        <v>Friday</v>
      </c>
      <c r="B100" s="13" t="n">
        <f aca="false">Setup!$C$5+242</f>
        <v>46269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TEXT(Setup!$C$5+242,"dddd")</f>
        <v>Friday</v>
      </c>
      <c r="B101" s="13" t="n">
        <f aca="false">Setup!$C$5+242</f>
        <v>46269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TEXT(Setup!$C$5+242,"dddd")</f>
        <v>Friday</v>
      </c>
      <c r="B102" s="13" t="n">
        <f aca="false">Setup!$C$5+242</f>
        <v>46269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TEXT(Setup!$C$5+242,"dddd")</f>
        <v>Friday</v>
      </c>
      <c r="B103" s="13" t="n">
        <f aca="false">Setup!$C$5+242</f>
        <v>46269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TEXT(Setup!$C$5+242,"dddd")</f>
        <v>Friday</v>
      </c>
      <c r="B104" s="13" t="n">
        <f aca="false">Setup!$C$5+242</f>
        <v>46269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TEXT(Setup!$C$5+242,"dddd")</f>
        <v>Friday</v>
      </c>
      <c r="B105" s="13" t="n">
        <f aca="false">Setup!$C$5+242</f>
        <v>46269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TEXT(Setup!$C$5+242,"dddd")</f>
        <v>Friday</v>
      </c>
      <c r="B106" s="13" t="n">
        <f aca="false">Setup!$C$5+242</f>
        <v>46269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TEXT(Setup!$C$5+242,"dddd")</f>
        <v>Friday</v>
      </c>
      <c r="B107" s="13" t="n">
        <f aca="false">Setup!$C$5+242</f>
        <v>46269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TEXT(Setup!$C$5+242,"dddd")</f>
        <v>Friday</v>
      </c>
      <c r="B108" s="13" t="n">
        <f aca="false">Setup!$C$5+242</f>
        <v>46269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TEXT(Setup!$C$5+242,"dddd")</f>
        <v>Friday</v>
      </c>
      <c r="B109" s="13" t="n">
        <f aca="false">Setup!$C$5+242</f>
        <v>46269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TEXT(Setup!$C$5+242,"dddd")</f>
        <v>Friday</v>
      </c>
      <c r="B110" s="13" t="n">
        <f aca="false">Setup!$C$5+242</f>
        <v>46269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TEXT(Setup!$C$5+242,"dddd")</f>
        <v>Friday</v>
      </c>
      <c r="B111" s="23" t="n">
        <f aca="false">Setup!$C$5+242</f>
        <v>46269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IFERROR(H111-Wk34!H111,"")</f>
        <v>0</v>
      </c>
      <c r="O111" s="24" t="n">
        <f aca="false">IFERROR(D111-Wk34!D111,"")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TEXT(Setup!$C$5+243,"dddd")</f>
        <v>Saturday</v>
      </c>
      <c r="B112" s="13" t="n">
        <f aca="false">Setup!$C$5+243</f>
        <v>46270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TEXT(Setup!$C$5+243,"dddd")</f>
        <v>Saturday</v>
      </c>
      <c r="B113" s="13" t="n">
        <f aca="false">Setup!$C$5+243</f>
        <v>46270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TEXT(Setup!$C$5+243,"dddd")</f>
        <v>Saturday</v>
      </c>
      <c r="B114" s="13" t="n">
        <f aca="false">Setup!$C$5+243</f>
        <v>46270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TEXT(Setup!$C$5+243,"dddd")</f>
        <v>Saturday</v>
      </c>
      <c r="B115" s="13" t="n">
        <f aca="false">Setup!$C$5+243</f>
        <v>46270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TEXT(Setup!$C$5+243,"dddd")</f>
        <v>Saturday</v>
      </c>
      <c r="B116" s="13" t="n">
        <f aca="false">Setup!$C$5+243</f>
        <v>46270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TEXT(Setup!$C$5+243,"dddd")</f>
        <v>Saturday</v>
      </c>
      <c r="B117" s="13" t="n">
        <f aca="false">Setup!$C$5+243</f>
        <v>46270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TEXT(Setup!$C$5+243,"dddd")</f>
        <v>Saturday</v>
      </c>
      <c r="B118" s="13" t="n">
        <f aca="false">Setup!$C$5+243</f>
        <v>46270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TEXT(Setup!$C$5+243,"dddd")</f>
        <v>Saturday</v>
      </c>
      <c r="B119" s="13" t="n">
        <f aca="false">Setup!$C$5+243</f>
        <v>46270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TEXT(Setup!$C$5+243,"dddd")</f>
        <v>Saturday</v>
      </c>
      <c r="B120" s="13" t="n">
        <f aca="false">Setup!$C$5+243</f>
        <v>46270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TEXT(Setup!$C$5+243,"dddd")</f>
        <v>Saturday</v>
      </c>
      <c r="B121" s="13" t="n">
        <f aca="false">Setup!$C$5+243</f>
        <v>46270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TEXT(Setup!$C$5+243,"dddd")</f>
        <v>Saturday</v>
      </c>
      <c r="B122" s="13" t="n">
        <f aca="false">Setup!$C$5+243</f>
        <v>46270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TEXT(Setup!$C$5+243,"dddd")</f>
        <v>Saturday</v>
      </c>
      <c r="B123" s="13" t="n">
        <f aca="false">Setup!$C$5+243</f>
        <v>46270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TEXT(Setup!$C$5+243,"dddd")</f>
        <v>Saturday</v>
      </c>
      <c r="B124" s="13" t="n">
        <f aca="false">Setup!$C$5+243</f>
        <v>46270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TEXT(Setup!$C$5+243,"dddd")</f>
        <v>Saturday</v>
      </c>
      <c r="B125" s="13" t="n">
        <f aca="false">Setup!$C$5+243</f>
        <v>46270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TEXT(Setup!$C$5+243,"dddd")</f>
        <v>Saturday</v>
      </c>
      <c r="B126" s="13" t="n">
        <f aca="false">Setup!$C$5+243</f>
        <v>46270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TEXT(Setup!$C$5+243,"dddd")</f>
        <v>Saturday</v>
      </c>
      <c r="B127" s="13" t="n">
        <f aca="false">Setup!$C$5+243</f>
        <v>46270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TEXT(Setup!$C$5+243,"dddd")</f>
        <v>Saturday</v>
      </c>
      <c r="B128" s="13" t="n">
        <f aca="false">Setup!$C$5+243</f>
        <v>46270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TEXT(Setup!$C$5+243,"dddd")</f>
        <v>Saturday</v>
      </c>
      <c r="B129" s="13" t="n">
        <f aca="false">Setup!$C$5+243</f>
        <v>46270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TEXT(Setup!$C$5+243,"dddd")</f>
        <v>Saturday</v>
      </c>
      <c r="B130" s="13" t="n">
        <f aca="false">Setup!$C$5+243</f>
        <v>46270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TEXT(Setup!$C$5+243,"dddd")</f>
        <v>Saturday</v>
      </c>
      <c r="B131" s="13" t="n">
        <f aca="false">Setup!$C$5+243</f>
        <v>46270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TEXT(Setup!$C$5+243,"dddd")</f>
        <v>Saturday</v>
      </c>
      <c r="B132" s="13" t="n">
        <f aca="false">Setup!$C$5+243</f>
        <v>46270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TEXT(Setup!$C$5+243,"dddd")</f>
        <v>Saturday</v>
      </c>
      <c r="B133" s="23" t="n">
        <f aca="false">Setup!$C$5+243</f>
        <v>46270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IFERROR(H133-Wk34!H133,"")</f>
        <v>0</v>
      </c>
      <c r="O133" s="24" t="n">
        <f aca="false">IFERROR(D133-Wk34!D133,"")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TEXT(Setup!$C$5+244,"dddd")</f>
        <v>Sunday</v>
      </c>
      <c r="B134" s="13" t="n">
        <f aca="false">Setup!$C$5+244</f>
        <v>46271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TEXT(Setup!$C$5+244,"dddd")</f>
        <v>Sunday</v>
      </c>
      <c r="B135" s="13" t="n">
        <f aca="false">Setup!$C$5+244</f>
        <v>46271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TEXT(Setup!$C$5+244,"dddd")</f>
        <v>Sunday</v>
      </c>
      <c r="B136" s="13" t="n">
        <f aca="false">Setup!$C$5+244</f>
        <v>46271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TEXT(Setup!$C$5+244,"dddd")</f>
        <v>Sunday</v>
      </c>
      <c r="B137" s="13" t="n">
        <f aca="false">Setup!$C$5+244</f>
        <v>46271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TEXT(Setup!$C$5+244,"dddd")</f>
        <v>Sunday</v>
      </c>
      <c r="B138" s="13" t="n">
        <f aca="false">Setup!$C$5+244</f>
        <v>46271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TEXT(Setup!$C$5+244,"dddd")</f>
        <v>Sunday</v>
      </c>
      <c r="B139" s="13" t="n">
        <f aca="false">Setup!$C$5+244</f>
        <v>46271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TEXT(Setup!$C$5+244,"dddd")</f>
        <v>Sunday</v>
      </c>
      <c r="B140" s="13" t="n">
        <f aca="false">Setup!$C$5+244</f>
        <v>46271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TEXT(Setup!$C$5+244,"dddd")</f>
        <v>Sunday</v>
      </c>
      <c r="B141" s="13" t="n">
        <f aca="false">Setup!$C$5+244</f>
        <v>46271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TEXT(Setup!$C$5+244,"dddd")</f>
        <v>Sunday</v>
      </c>
      <c r="B142" s="13" t="n">
        <f aca="false">Setup!$C$5+244</f>
        <v>46271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TEXT(Setup!$C$5+244,"dddd")</f>
        <v>Sunday</v>
      </c>
      <c r="B143" s="13" t="n">
        <f aca="false">Setup!$C$5+244</f>
        <v>46271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TEXT(Setup!$C$5+244,"dddd")</f>
        <v>Sunday</v>
      </c>
      <c r="B144" s="13" t="n">
        <f aca="false">Setup!$C$5+244</f>
        <v>46271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TEXT(Setup!$C$5+244,"dddd")</f>
        <v>Sunday</v>
      </c>
      <c r="B145" s="13" t="n">
        <f aca="false">Setup!$C$5+244</f>
        <v>46271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TEXT(Setup!$C$5+244,"dddd")</f>
        <v>Sunday</v>
      </c>
      <c r="B146" s="13" t="n">
        <f aca="false">Setup!$C$5+244</f>
        <v>46271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TEXT(Setup!$C$5+244,"dddd")</f>
        <v>Sunday</v>
      </c>
      <c r="B147" s="13" t="n">
        <f aca="false">Setup!$C$5+244</f>
        <v>46271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TEXT(Setup!$C$5+244,"dddd")</f>
        <v>Sunday</v>
      </c>
      <c r="B148" s="13" t="n">
        <f aca="false">Setup!$C$5+244</f>
        <v>46271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TEXT(Setup!$C$5+244,"dddd")</f>
        <v>Sunday</v>
      </c>
      <c r="B149" s="13" t="n">
        <f aca="false">Setup!$C$5+244</f>
        <v>46271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TEXT(Setup!$C$5+244,"dddd")</f>
        <v>Sunday</v>
      </c>
      <c r="B150" s="13" t="n">
        <f aca="false">Setup!$C$5+244</f>
        <v>46271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TEXT(Setup!$C$5+244,"dddd")</f>
        <v>Sunday</v>
      </c>
      <c r="B151" s="13" t="n">
        <f aca="false">Setup!$C$5+244</f>
        <v>46271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TEXT(Setup!$C$5+244,"dddd")</f>
        <v>Sunday</v>
      </c>
      <c r="B152" s="13" t="n">
        <f aca="false">Setup!$C$5+244</f>
        <v>46271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TEXT(Setup!$C$5+244,"dddd")</f>
        <v>Sunday</v>
      </c>
      <c r="B153" s="13" t="n">
        <f aca="false">Setup!$C$5+244</f>
        <v>46271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TEXT(Setup!$C$5+244,"dddd")</f>
        <v>Sunday</v>
      </c>
      <c r="B154" s="13" t="n">
        <f aca="false">Setup!$C$5+244</f>
        <v>46271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TEXT(Setup!$C$5+244,"dddd")</f>
        <v>Sunday</v>
      </c>
      <c r="B155" s="23" t="n">
        <f aca="false">Setup!$C$5+244</f>
        <v>46271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IFERROR(H155-Wk34!H155,"")</f>
        <v>0</v>
      </c>
      <c r="O155" s="24" t="n">
        <f aca="false">IFERROR(D155-Wk34!D155,"")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IFERROR(D156-Wk34!D156,"")</f>
        <v>0</v>
      </c>
      <c r="E157" s="34" t="n">
        <f aca="false">IFERROR(E156-Wk34!E156,"")</f>
        <v>0</v>
      </c>
      <c r="H157" s="32" t="n">
        <f aca="false">IFERROR(H156-Wk34!H156,"")</f>
        <v>0</v>
      </c>
      <c r="K157" s="32" t="n">
        <f aca="false">IFERROR(K156-Wk34!K156,"")</f>
        <v>0</v>
      </c>
      <c r="M157" s="32" t="n">
        <f aca="false">IFERROR(M156-Wk34!M156,"")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TEXT(Setup!$C$5+245,"dddd")</f>
        <v>Monday</v>
      </c>
      <c r="B2" s="13" t="n">
        <f aca="false">Setup!$C$5+245</f>
        <v>46272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TEXT(Setup!$C$5+245,"dddd")</f>
        <v>Monday</v>
      </c>
      <c r="B3" s="13" t="n">
        <f aca="false">Setup!$C$5+245</f>
        <v>46272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TEXT(Setup!$C$5+245,"dddd")</f>
        <v>Monday</v>
      </c>
      <c r="B4" s="13" t="n">
        <f aca="false">Setup!$C$5+245</f>
        <v>46272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TEXT(Setup!$C$5+245,"dddd")</f>
        <v>Monday</v>
      </c>
      <c r="B5" s="13" t="n">
        <f aca="false">Setup!$C$5+245</f>
        <v>46272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TEXT(Setup!$C$5+245,"dddd")</f>
        <v>Monday</v>
      </c>
      <c r="B6" s="13" t="n">
        <f aca="false">Setup!$C$5+245</f>
        <v>46272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TEXT(Setup!$C$5+245,"dddd")</f>
        <v>Monday</v>
      </c>
      <c r="B7" s="13" t="n">
        <f aca="false">Setup!$C$5+245</f>
        <v>46272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TEXT(Setup!$C$5+245,"dddd")</f>
        <v>Monday</v>
      </c>
      <c r="B8" s="13" t="n">
        <f aca="false">Setup!$C$5+245</f>
        <v>46272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TEXT(Setup!$C$5+245,"dddd")</f>
        <v>Monday</v>
      </c>
      <c r="B9" s="13" t="n">
        <f aca="false">Setup!$C$5+245</f>
        <v>46272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TEXT(Setup!$C$5+245,"dddd")</f>
        <v>Monday</v>
      </c>
      <c r="B10" s="13" t="n">
        <f aca="false">Setup!$C$5+245</f>
        <v>46272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TEXT(Setup!$C$5+245,"dddd")</f>
        <v>Monday</v>
      </c>
      <c r="B11" s="13" t="n">
        <f aca="false">Setup!$C$5+245</f>
        <v>46272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TEXT(Setup!$C$5+245,"dddd")</f>
        <v>Monday</v>
      </c>
      <c r="B12" s="13" t="n">
        <f aca="false">Setup!$C$5+245</f>
        <v>46272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TEXT(Setup!$C$5+245,"dddd")</f>
        <v>Monday</v>
      </c>
      <c r="B13" s="13" t="n">
        <f aca="false">Setup!$C$5+245</f>
        <v>46272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TEXT(Setup!$C$5+245,"dddd")</f>
        <v>Monday</v>
      </c>
      <c r="B14" s="13" t="n">
        <f aca="false">Setup!$C$5+245</f>
        <v>46272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TEXT(Setup!$C$5+245,"dddd")</f>
        <v>Monday</v>
      </c>
      <c r="B15" s="13" t="n">
        <f aca="false">Setup!$C$5+245</f>
        <v>46272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TEXT(Setup!$C$5+245,"dddd")</f>
        <v>Monday</v>
      </c>
      <c r="B16" s="13" t="n">
        <f aca="false">Setup!$C$5+245</f>
        <v>46272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TEXT(Setup!$C$5+245,"dddd")</f>
        <v>Monday</v>
      </c>
      <c r="B17" s="13" t="n">
        <f aca="false">Setup!$C$5+245</f>
        <v>46272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TEXT(Setup!$C$5+245,"dddd")</f>
        <v>Monday</v>
      </c>
      <c r="B18" s="13" t="n">
        <f aca="false">Setup!$C$5+245</f>
        <v>46272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TEXT(Setup!$C$5+245,"dddd")</f>
        <v>Monday</v>
      </c>
      <c r="B19" s="13" t="n">
        <f aca="false">Setup!$C$5+245</f>
        <v>46272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TEXT(Setup!$C$5+245,"dddd")</f>
        <v>Monday</v>
      </c>
      <c r="B20" s="13" t="n">
        <f aca="false">Setup!$C$5+245</f>
        <v>46272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TEXT(Setup!$C$5+245,"dddd")</f>
        <v>Monday</v>
      </c>
      <c r="B21" s="13" t="n">
        <f aca="false">Setup!$C$5+245</f>
        <v>46272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TEXT(Setup!$C$5+245,"dddd")</f>
        <v>Monday</v>
      </c>
      <c r="B22" s="13" t="n">
        <f aca="false">Setup!$C$5+245</f>
        <v>46272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TEXT(Setup!$C$5+245,"dddd")</f>
        <v>Monday</v>
      </c>
      <c r="B23" s="23" t="n">
        <f aca="false">Setup!$C$5+245</f>
        <v>46272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IFERROR(H23-Wk35!H23,"")</f>
        <v>0</v>
      </c>
      <c r="O23" s="24" t="n">
        <f aca="false">IFERROR(D23-Wk35!D23,"")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TEXT(Setup!$C$5+246,"dddd")</f>
        <v>Tuesday</v>
      </c>
      <c r="B24" s="13" t="n">
        <f aca="false">Setup!$C$5+246</f>
        <v>46273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TEXT(Setup!$C$5+246,"dddd")</f>
        <v>Tuesday</v>
      </c>
      <c r="B25" s="13" t="n">
        <f aca="false">Setup!$C$5+246</f>
        <v>46273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TEXT(Setup!$C$5+246,"dddd")</f>
        <v>Tuesday</v>
      </c>
      <c r="B26" s="13" t="n">
        <f aca="false">Setup!$C$5+246</f>
        <v>46273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TEXT(Setup!$C$5+246,"dddd")</f>
        <v>Tuesday</v>
      </c>
      <c r="B27" s="13" t="n">
        <f aca="false">Setup!$C$5+246</f>
        <v>46273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TEXT(Setup!$C$5+246,"dddd")</f>
        <v>Tuesday</v>
      </c>
      <c r="B28" s="13" t="n">
        <f aca="false">Setup!$C$5+246</f>
        <v>46273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TEXT(Setup!$C$5+246,"dddd")</f>
        <v>Tuesday</v>
      </c>
      <c r="B29" s="13" t="n">
        <f aca="false">Setup!$C$5+246</f>
        <v>46273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TEXT(Setup!$C$5+246,"dddd")</f>
        <v>Tuesday</v>
      </c>
      <c r="B30" s="13" t="n">
        <f aca="false">Setup!$C$5+246</f>
        <v>46273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TEXT(Setup!$C$5+246,"dddd")</f>
        <v>Tuesday</v>
      </c>
      <c r="B31" s="13" t="n">
        <f aca="false">Setup!$C$5+246</f>
        <v>46273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TEXT(Setup!$C$5+246,"dddd")</f>
        <v>Tuesday</v>
      </c>
      <c r="B32" s="13" t="n">
        <f aca="false">Setup!$C$5+246</f>
        <v>46273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TEXT(Setup!$C$5+246,"dddd")</f>
        <v>Tuesday</v>
      </c>
      <c r="B33" s="13" t="n">
        <f aca="false">Setup!$C$5+246</f>
        <v>46273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TEXT(Setup!$C$5+246,"dddd")</f>
        <v>Tuesday</v>
      </c>
      <c r="B34" s="13" t="n">
        <f aca="false">Setup!$C$5+246</f>
        <v>46273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TEXT(Setup!$C$5+246,"dddd")</f>
        <v>Tuesday</v>
      </c>
      <c r="B35" s="13" t="n">
        <f aca="false">Setup!$C$5+246</f>
        <v>46273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TEXT(Setup!$C$5+246,"dddd")</f>
        <v>Tuesday</v>
      </c>
      <c r="B36" s="13" t="n">
        <f aca="false">Setup!$C$5+246</f>
        <v>46273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TEXT(Setup!$C$5+246,"dddd")</f>
        <v>Tuesday</v>
      </c>
      <c r="B37" s="13" t="n">
        <f aca="false">Setup!$C$5+246</f>
        <v>46273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TEXT(Setup!$C$5+246,"dddd")</f>
        <v>Tuesday</v>
      </c>
      <c r="B38" s="13" t="n">
        <f aca="false">Setup!$C$5+246</f>
        <v>46273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TEXT(Setup!$C$5+246,"dddd")</f>
        <v>Tuesday</v>
      </c>
      <c r="B39" s="13" t="n">
        <f aca="false">Setup!$C$5+246</f>
        <v>46273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TEXT(Setup!$C$5+246,"dddd")</f>
        <v>Tuesday</v>
      </c>
      <c r="B40" s="13" t="n">
        <f aca="false">Setup!$C$5+246</f>
        <v>46273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TEXT(Setup!$C$5+246,"dddd")</f>
        <v>Tuesday</v>
      </c>
      <c r="B41" s="13" t="n">
        <f aca="false">Setup!$C$5+246</f>
        <v>46273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TEXT(Setup!$C$5+246,"dddd")</f>
        <v>Tuesday</v>
      </c>
      <c r="B42" s="13" t="n">
        <f aca="false">Setup!$C$5+246</f>
        <v>46273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TEXT(Setup!$C$5+246,"dddd")</f>
        <v>Tuesday</v>
      </c>
      <c r="B43" s="13" t="n">
        <f aca="false">Setup!$C$5+246</f>
        <v>46273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TEXT(Setup!$C$5+246,"dddd")</f>
        <v>Tuesday</v>
      </c>
      <c r="B44" s="13" t="n">
        <f aca="false">Setup!$C$5+246</f>
        <v>46273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TEXT(Setup!$C$5+246,"dddd")</f>
        <v>Tuesday</v>
      </c>
      <c r="B45" s="23" t="n">
        <f aca="false">Setup!$C$5+246</f>
        <v>46273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IFERROR(H45-Wk35!H45,"")</f>
        <v>0</v>
      </c>
      <c r="O45" s="24" t="n">
        <f aca="false">IFERROR(D45-Wk35!D45,"")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TEXT(Setup!$C$5+247,"dddd")</f>
        <v>Wednesday</v>
      </c>
      <c r="B46" s="13" t="n">
        <f aca="false">Setup!$C$5+247</f>
        <v>46274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TEXT(Setup!$C$5+247,"dddd")</f>
        <v>Wednesday</v>
      </c>
      <c r="B47" s="13" t="n">
        <f aca="false">Setup!$C$5+247</f>
        <v>46274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TEXT(Setup!$C$5+247,"dddd")</f>
        <v>Wednesday</v>
      </c>
      <c r="B48" s="13" t="n">
        <f aca="false">Setup!$C$5+247</f>
        <v>46274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TEXT(Setup!$C$5+247,"dddd")</f>
        <v>Wednesday</v>
      </c>
      <c r="B49" s="13" t="n">
        <f aca="false">Setup!$C$5+247</f>
        <v>46274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TEXT(Setup!$C$5+247,"dddd")</f>
        <v>Wednesday</v>
      </c>
      <c r="B50" s="13" t="n">
        <f aca="false">Setup!$C$5+247</f>
        <v>46274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TEXT(Setup!$C$5+247,"dddd")</f>
        <v>Wednesday</v>
      </c>
      <c r="B51" s="13" t="n">
        <f aca="false">Setup!$C$5+247</f>
        <v>46274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TEXT(Setup!$C$5+247,"dddd")</f>
        <v>Wednesday</v>
      </c>
      <c r="B52" s="13" t="n">
        <f aca="false">Setup!$C$5+247</f>
        <v>46274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TEXT(Setup!$C$5+247,"dddd")</f>
        <v>Wednesday</v>
      </c>
      <c r="B53" s="13" t="n">
        <f aca="false">Setup!$C$5+247</f>
        <v>46274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TEXT(Setup!$C$5+247,"dddd")</f>
        <v>Wednesday</v>
      </c>
      <c r="B54" s="13" t="n">
        <f aca="false">Setup!$C$5+247</f>
        <v>46274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TEXT(Setup!$C$5+247,"dddd")</f>
        <v>Wednesday</v>
      </c>
      <c r="B55" s="13" t="n">
        <f aca="false">Setup!$C$5+247</f>
        <v>46274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TEXT(Setup!$C$5+247,"dddd")</f>
        <v>Wednesday</v>
      </c>
      <c r="B56" s="13" t="n">
        <f aca="false">Setup!$C$5+247</f>
        <v>46274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TEXT(Setup!$C$5+247,"dddd")</f>
        <v>Wednesday</v>
      </c>
      <c r="B57" s="13" t="n">
        <f aca="false">Setup!$C$5+247</f>
        <v>46274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TEXT(Setup!$C$5+247,"dddd")</f>
        <v>Wednesday</v>
      </c>
      <c r="B58" s="13" t="n">
        <f aca="false">Setup!$C$5+247</f>
        <v>46274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TEXT(Setup!$C$5+247,"dddd")</f>
        <v>Wednesday</v>
      </c>
      <c r="B59" s="13" t="n">
        <f aca="false">Setup!$C$5+247</f>
        <v>46274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TEXT(Setup!$C$5+247,"dddd")</f>
        <v>Wednesday</v>
      </c>
      <c r="B60" s="13" t="n">
        <f aca="false">Setup!$C$5+247</f>
        <v>46274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TEXT(Setup!$C$5+247,"dddd")</f>
        <v>Wednesday</v>
      </c>
      <c r="B61" s="13" t="n">
        <f aca="false">Setup!$C$5+247</f>
        <v>46274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TEXT(Setup!$C$5+247,"dddd")</f>
        <v>Wednesday</v>
      </c>
      <c r="B62" s="13" t="n">
        <f aca="false">Setup!$C$5+247</f>
        <v>46274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TEXT(Setup!$C$5+247,"dddd")</f>
        <v>Wednesday</v>
      </c>
      <c r="B63" s="13" t="n">
        <f aca="false">Setup!$C$5+247</f>
        <v>46274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TEXT(Setup!$C$5+247,"dddd")</f>
        <v>Wednesday</v>
      </c>
      <c r="B64" s="13" t="n">
        <f aca="false">Setup!$C$5+247</f>
        <v>46274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TEXT(Setup!$C$5+247,"dddd")</f>
        <v>Wednesday</v>
      </c>
      <c r="B65" s="13" t="n">
        <f aca="false">Setup!$C$5+247</f>
        <v>46274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TEXT(Setup!$C$5+247,"dddd")</f>
        <v>Wednesday</v>
      </c>
      <c r="B66" s="13" t="n">
        <f aca="false">Setup!$C$5+247</f>
        <v>46274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TEXT(Setup!$C$5+247,"dddd")</f>
        <v>Wednesday</v>
      </c>
      <c r="B67" s="23" t="n">
        <f aca="false">Setup!$C$5+247</f>
        <v>46274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IFERROR(H67-Wk35!H67,"")</f>
        <v>0</v>
      </c>
      <c r="O67" s="24" t="n">
        <f aca="false">IFERROR(D67-Wk35!D67,"")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TEXT(Setup!$C$5+248,"dddd")</f>
        <v>Thursday</v>
      </c>
      <c r="B68" s="13" t="n">
        <f aca="false">Setup!$C$5+248</f>
        <v>46275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TEXT(Setup!$C$5+248,"dddd")</f>
        <v>Thursday</v>
      </c>
      <c r="B69" s="13" t="n">
        <f aca="false">Setup!$C$5+248</f>
        <v>46275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TEXT(Setup!$C$5+248,"dddd")</f>
        <v>Thursday</v>
      </c>
      <c r="B70" s="13" t="n">
        <f aca="false">Setup!$C$5+248</f>
        <v>46275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TEXT(Setup!$C$5+248,"dddd")</f>
        <v>Thursday</v>
      </c>
      <c r="B71" s="13" t="n">
        <f aca="false">Setup!$C$5+248</f>
        <v>46275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TEXT(Setup!$C$5+248,"dddd")</f>
        <v>Thursday</v>
      </c>
      <c r="B72" s="13" t="n">
        <f aca="false">Setup!$C$5+248</f>
        <v>46275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TEXT(Setup!$C$5+248,"dddd")</f>
        <v>Thursday</v>
      </c>
      <c r="B73" s="13" t="n">
        <f aca="false">Setup!$C$5+248</f>
        <v>46275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TEXT(Setup!$C$5+248,"dddd")</f>
        <v>Thursday</v>
      </c>
      <c r="B74" s="13" t="n">
        <f aca="false">Setup!$C$5+248</f>
        <v>46275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TEXT(Setup!$C$5+248,"dddd")</f>
        <v>Thursday</v>
      </c>
      <c r="B75" s="13" t="n">
        <f aca="false">Setup!$C$5+248</f>
        <v>46275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TEXT(Setup!$C$5+248,"dddd")</f>
        <v>Thursday</v>
      </c>
      <c r="B76" s="13" t="n">
        <f aca="false">Setup!$C$5+248</f>
        <v>46275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TEXT(Setup!$C$5+248,"dddd")</f>
        <v>Thursday</v>
      </c>
      <c r="B77" s="13" t="n">
        <f aca="false">Setup!$C$5+248</f>
        <v>46275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TEXT(Setup!$C$5+248,"dddd")</f>
        <v>Thursday</v>
      </c>
      <c r="B78" s="13" t="n">
        <f aca="false">Setup!$C$5+248</f>
        <v>46275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TEXT(Setup!$C$5+248,"dddd")</f>
        <v>Thursday</v>
      </c>
      <c r="B79" s="13" t="n">
        <f aca="false">Setup!$C$5+248</f>
        <v>46275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TEXT(Setup!$C$5+248,"dddd")</f>
        <v>Thursday</v>
      </c>
      <c r="B80" s="13" t="n">
        <f aca="false">Setup!$C$5+248</f>
        <v>46275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TEXT(Setup!$C$5+248,"dddd")</f>
        <v>Thursday</v>
      </c>
      <c r="B81" s="13" t="n">
        <f aca="false">Setup!$C$5+248</f>
        <v>46275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TEXT(Setup!$C$5+248,"dddd")</f>
        <v>Thursday</v>
      </c>
      <c r="B82" s="13" t="n">
        <f aca="false">Setup!$C$5+248</f>
        <v>46275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TEXT(Setup!$C$5+248,"dddd")</f>
        <v>Thursday</v>
      </c>
      <c r="B83" s="13" t="n">
        <f aca="false">Setup!$C$5+248</f>
        <v>46275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TEXT(Setup!$C$5+248,"dddd")</f>
        <v>Thursday</v>
      </c>
      <c r="B84" s="13" t="n">
        <f aca="false">Setup!$C$5+248</f>
        <v>46275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TEXT(Setup!$C$5+248,"dddd")</f>
        <v>Thursday</v>
      </c>
      <c r="B85" s="13" t="n">
        <f aca="false">Setup!$C$5+248</f>
        <v>46275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TEXT(Setup!$C$5+248,"dddd")</f>
        <v>Thursday</v>
      </c>
      <c r="B86" s="13" t="n">
        <f aca="false">Setup!$C$5+248</f>
        <v>46275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TEXT(Setup!$C$5+248,"dddd")</f>
        <v>Thursday</v>
      </c>
      <c r="B87" s="13" t="n">
        <f aca="false">Setup!$C$5+248</f>
        <v>46275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TEXT(Setup!$C$5+248,"dddd")</f>
        <v>Thursday</v>
      </c>
      <c r="B88" s="13" t="n">
        <f aca="false">Setup!$C$5+248</f>
        <v>46275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TEXT(Setup!$C$5+248,"dddd")</f>
        <v>Thursday</v>
      </c>
      <c r="B89" s="23" t="n">
        <f aca="false">Setup!$C$5+248</f>
        <v>46275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IFERROR(H89-Wk35!H89,"")</f>
        <v>0</v>
      </c>
      <c r="O89" s="24" t="n">
        <f aca="false">IFERROR(D89-Wk35!D89,"")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TEXT(Setup!$C$5+249,"dddd")</f>
        <v>Friday</v>
      </c>
      <c r="B90" s="13" t="n">
        <f aca="false">Setup!$C$5+249</f>
        <v>46276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TEXT(Setup!$C$5+249,"dddd")</f>
        <v>Friday</v>
      </c>
      <c r="B91" s="13" t="n">
        <f aca="false">Setup!$C$5+249</f>
        <v>46276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TEXT(Setup!$C$5+249,"dddd")</f>
        <v>Friday</v>
      </c>
      <c r="B92" s="13" t="n">
        <f aca="false">Setup!$C$5+249</f>
        <v>46276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TEXT(Setup!$C$5+249,"dddd")</f>
        <v>Friday</v>
      </c>
      <c r="B93" s="13" t="n">
        <f aca="false">Setup!$C$5+249</f>
        <v>46276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TEXT(Setup!$C$5+249,"dddd")</f>
        <v>Friday</v>
      </c>
      <c r="B94" s="13" t="n">
        <f aca="false">Setup!$C$5+249</f>
        <v>46276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TEXT(Setup!$C$5+249,"dddd")</f>
        <v>Friday</v>
      </c>
      <c r="B95" s="13" t="n">
        <f aca="false">Setup!$C$5+249</f>
        <v>46276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TEXT(Setup!$C$5+249,"dddd")</f>
        <v>Friday</v>
      </c>
      <c r="B96" s="13" t="n">
        <f aca="false">Setup!$C$5+249</f>
        <v>46276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TEXT(Setup!$C$5+249,"dddd")</f>
        <v>Friday</v>
      </c>
      <c r="B97" s="13" t="n">
        <f aca="false">Setup!$C$5+249</f>
        <v>46276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TEXT(Setup!$C$5+249,"dddd")</f>
        <v>Friday</v>
      </c>
      <c r="B98" s="13" t="n">
        <f aca="false">Setup!$C$5+249</f>
        <v>46276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TEXT(Setup!$C$5+249,"dddd")</f>
        <v>Friday</v>
      </c>
      <c r="B99" s="13" t="n">
        <f aca="false">Setup!$C$5+249</f>
        <v>46276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TEXT(Setup!$C$5+249,"dddd")</f>
        <v>Friday</v>
      </c>
      <c r="B100" s="13" t="n">
        <f aca="false">Setup!$C$5+249</f>
        <v>46276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TEXT(Setup!$C$5+249,"dddd")</f>
        <v>Friday</v>
      </c>
      <c r="B101" s="13" t="n">
        <f aca="false">Setup!$C$5+249</f>
        <v>46276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TEXT(Setup!$C$5+249,"dddd")</f>
        <v>Friday</v>
      </c>
      <c r="B102" s="13" t="n">
        <f aca="false">Setup!$C$5+249</f>
        <v>46276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TEXT(Setup!$C$5+249,"dddd")</f>
        <v>Friday</v>
      </c>
      <c r="B103" s="13" t="n">
        <f aca="false">Setup!$C$5+249</f>
        <v>46276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TEXT(Setup!$C$5+249,"dddd")</f>
        <v>Friday</v>
      </c>
      <c r="B104" s="13" t="n">
        <f aca="false">Setup!$C$5+249</f>
        <v>46276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TEXT(Setup!$C$5+249,"dddd")</f>
        <v>Friday</v>
      </c>
      <c r="B105" s="13" t="n">
        <f aca="false">Setup!$C$5+249</f>
        <v>46276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TEXT(Setup!$C$5+249,"dddd")</f>
        <v>Friday</v>
      </c>
      <c r="B106" s="13" t="n">
        <f aca="false">Setup!$C$5+249</f>
        <v>46276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TEXT(Setup!$C$5+249,"dddd")</f>
        <v>Friday</v>
      </c>
      <c r="B107" s="13" t="n">
        <f aca="false">Setup!$C$5+249</f>
        <v>46276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TEXT(Setup!$C$5+249,"dddd")</f>
        <v>Friday</v>
      </c>
      <c r="B108" s="13" t="n">
        <f aca="false">Setup!$C$5+249</f>
        <v>46276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TEXT(Setup!$C$5+249,"dddd")</f>
        <v>Friday</v>
      </c>
      <c r="B109" s="13" t="n">
        <f aca="false">Setup!$C$5+249</f>
        <v>46276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TEXT(Setup!$C$5+249,"dddd")</f>
        <v>Friday</v>
      </c>
      <c r="B110" s="13" t="n">
        <f aca="false">Setup!$C$5+249</f>
        <v>46276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TEXT(Setup!$C$5+249,"dddd")</f>
        <v>Friday</v>
      </c>
      <c r="B111" s="23" t="n">
        <f aca="false">Setup!$C$5+249</f>
        <v>46276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IFERROR(H111-Wk35!H111,"")</f>
        <v>0</v>
      </c>
      <c r="O111" s="24" t="n">
        <f aca="false">IFERROR(D111-Wk35!D111,"")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TEXT(Setup!$C$5+250,"dddd")</f>
        <v>Saturday</v>
      </c>
      <c r="B112" s="13" t="n">
        <f aca="false">Setup!$C$5+250</f>
        <v>46277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TEXT(Setup!$C$5+250,"dddd")</f>
        <v>Saturday</v>
      </c>
      <c r="B113" s="13" t="n">
        <f aca="false">Setup!$C$5+250</f>
        <v>46277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TEXT(Setup!$C$5+250,"dddd")</f>
        <v>Saturday</v>
      </c>
      <c r="B114" s="13" t="n">
        <f aca="false">Setup!$C$5+250</f>
        <v>46277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TEXT(Setup!$C$5+250,"dddd")</f>
        <v>Saturday</v>
      </c>
      <c r="B115" s="13" t="n">
        <f aca="false">Setup!$C$5+250</f>
        <v>46277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TEXT(Setup!$C$5+250,"dddd")</f>
        <v>Saturday</v>
      </c>
      <c r="B116" s="13" t="n">
        <f aca="false">Setup!$C$5+250</f>
        <v>46277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TEXT(Setup!$C$5+250,"dddd")</f>
        <v>Saturday</v>
      </c>
      <c r="B117" s="13" t="n">
        <f aca="false">Setup!$C$5+250</f>
        <v>46277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TEXT(Setup!$C$5+250,"dddd")</f>
        <v>Saturday</v>
      </c>
      <c r="B118" s="13" t="n">
        <f aca="false">Setup!$C$5+250</f>
        <v>46277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TEXT(Setup!$C$5+250,"dddd")</f>
        <v>Saturday</v>
      </c>
      <c r="B119" s="13" t="n">
        <f aca="false">Setup!$C$5+250</f>
        <v>46277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TEXT(Setup!$C$5+250,"dddd")</f>
        <v>Saturday</v>
      </c>
      <c r="B120" s="13" t="n">
        <f aca="false">Setup!$C$5+250</f>
        <v>46277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TEXT(Setup!$C$5+250,"dddd")</f>
        <v>Saturday</v>
      </c>
      <c r="B121" s="13" t="n">
        <f aca="false">Setup!$C$5+250</f>
        <v>46277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TEXT(Setup!$C$5+250,"dddd")</f>
        <v>Saturday</v>
      </c>
      <c r="B122" s="13" t="n">
        <f aca="false">Setup!$C$5+250</f>
        <v>46277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TEXT(Setup!$C$5+250,"dddd")</f>
        <v>Saturday</v>
      </c>
      <c r="B123" s="13" t="n">
        <f aca="false">Setup!$C$5+250</f>
        <v>46277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TEXT(Setup!$C$5+250,"dddd")</f>
        <v>Saturday</v>
      </c>
      <c r="B124" s="13" t="n">
        <f aca="false">Setup!$C$5+250</f>
        <v>46277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TEXT(Setup!$C$5+250,"dddd")</f>
        <v>Saturday</v>
      </c>
      <c r="B125" s="13" t="n">
        <f aca="false">Setup!$C$5+250</f>
        <v>46277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TEXT(Setup!$C$5+250,"dddd")</f>
        <v>Saturday</v>
      </c>
      <c r="B126" s="13" t="n">
        <f aca="false">Setup!$C$5+250</f>
        <v>46277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TEXT(Setup!$C$5+250,"dddd")</f>
        <v>Saturday</v>
      </c>
      <c r="B127" s="13" t="n">
        <f aca="false">Setup!$C$5+250</f>
        <v>46277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TEXT(Setup!$C$5+250,"dddd")</f>
        <v>Saturday</v>
      </c>
      <c r="B128" s="13" t="n">
        <f aca="false">Setup!$C$5+250</f>
        <v>46277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TEXT(Setup!$C$5+250,"dddd")</f>
        <v>Saturday</v>
      </c>
      <c r="B129" s="13" t="n">
        <f aca="false">Setup!$C$5+250</f>
        <v>46277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TEXT(Setup!$C$5+250,"dddd")</f>
        <v>Saturday</v>
      </c>
      <c r="B130" s="13" t="n">
        <f aca="false">Setup!$C$5+250</f>
        <v>46277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TEXT(Setup!$C$5+250,"dddd")</f>
        <v>Saturday</v>
      </c>
      <c r="B131" s="13" t="n">
        <f aca="false">Setup!$C$5+250</f>
        <v>46277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TEXT(Setup!$C$5+250,"dddd")</f>
        <v>Saturday</v>
      </c>
      <c r="B132" s="13" t="n">
        <f aca="false">Setup!$C$5+250</f>
        <v>46277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TEXT(Setup!$C$5+250,"dddd")</f>
        <v>Saturday</v>
      </c>
      <c r="B133" s="23" t="n">
        <f aca="false">Setup!$C$5+250</f>
        <v>46277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IFERROR(H133-Wk35!H133,"")</f>
        <v>0</v>
      </c>
      <c r="O133" s="24" t="n">
        <f aca="false">IFERROR(D133-Wk35!D133,"")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TEXT(Setup!$C$5+251,"dddd")</f>
        <v>Sunday</v>
      </c>
      <c r="B134" s="13" t="n">
        <f aca="false">Setup!$C$5+251</f>
        <v>46278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TEXT(Setup!$C$5+251,"dddd")</f>
        <v>Sunday</v>
      </c>
      <c r="B135" s="13" t="n">
        <f aca="false">Setup!$C$5+251</f>
        <v>46278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TEXT(Setup!$C$5+251,"dddd")</f>
        <v>Sunday</v>
      </c>
      <c r="B136" s="13" t="n">
        <f aca="false">Setup!$C$5+251</f>
        <v>46278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TEXT(Setup!$C$5+251,"dddd")</f>
        <v>Sunday</v>
      </c>
      <c r="B137" s="13" t="n">
        <f aca="false">Setup!$C$5+251</f>
        <v>46278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TEXT(Setup!$C$5+251,"dddd")</f>
        <v>Sunday</v>
      </c>
      <c r="B138" s="13" t="n">
        <f aca="false">Setup!$C$5+251</f>
        <v>46278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TEXT(Setup!$C$5+251,"dddd")</f>
        <v>Sunday</v>
      </c>
      <c r="B139" s="13" t="n">
        <f aca="false">Setup!$C$5+251</f>
        <v>46278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TEXT(Setup!$C$5+251,"dddd")</f>
        <v>Sunday</v>
      </c>
      <c r="B140" s="13" t="n">
        <f aca="false">Setup!$C$5+251</f>
        <v>46278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TEXT(Setup!$C$5+251,"dddd")</f>
        <v>Sunday</v>
      </c>
      <c r="B141" s="13" t="n">
        <f aca="false">Setup!$C$5+251</f>
        <v>46278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TEXT(Setup!$C$5+251,"dddd")</f>
        <v>Sunday</v>
      </c>
      <c r="B142" s="13" t="n">
        <f aca="false">Setup!$C$5+251</f>
        <v>46278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TEXT(Setup!$C$5+251,"dddd")</f>
        <v>Sunday</v>
      </c>
      <c r="B143" s="13" t="n">
        <f aca="false">Setup!$C$5+251</f>
        <v>46278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TEXT(Setup!$C$5+251,"dddd")</f>
        <v>Sunday</v>
      </c>
      <c r="B144" s="13" t="n">
        <f aca="false">Setup!$C$5+251</f>
        <v>46278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TEXT(Setup!$C$5+251,"dddd")</f>
        <v>Sunday</v>
      </c>
      <c r="B145" s="13" t="n">
        <f aca="false">Setup!$C$5+251</f>
        <v>46278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TEXT(Setup!$C$5+251,"dddd")</f>
        <v>Sunday</v>
      </c>
      <c r="B146" s="13" t="n">
        <f aca="false">Setup!$C$5+251</f>
        <v>46278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TEXT(Setup!$C$5+251,"dddd")</f>
        <v>Sunday</v>
      </c>
      <c r="B147" s="13" t="n">
        <f aca="false">Setup!$C$5+251</f>
        <v>46278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TEXT(Setup!$C$5+251,"dddd")</f>
        <v>Sunday</v>
      </c>
      <c r="B148" s="13" t="n">
        <f aca="false">Setup!$C$5+251</f>
        <v>46278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TEXT(Setup!$C$5+251,"dddd")</f>
        <v>Sunday</v>
      </c>
      <c r="B149" s="13" t="n">
        <f aca="false">Setup!$C$5+251</f>
        <v>46278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TEXT(Setup!$C$5+251,"dddd")</f>
        <v>Sunday</v>
      </c>
      <c r="B150" s="13" t="n">
        <f aca="false">Setup!$C$5+251</f>
        <v>46278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TEXT(Setup!$C$5+251,"dddd")</f>
        <v>Sunday</v>
      </c>
      <c r="B151" s="13" t="n">
        <f aca="false">Setup!$C$5+251</f>
        <v>46278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TEXT(Setup!$C$5+251,"dddd")</f>
        <v>Sunday</v>
      </c>
      <c r="B152" s="13" t="n">
        <f aca="false">Setup!$C$5+251</f>
        <v>46278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TEXT(Setup!$C$5+251,"dddd")</f>
        <v>Sunday</v>
      </c>
      <c r="B153" s="13" t="n">
        <f aca="false">Setup!$C$5+251</f>
        <v>46278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TEXT(Setup!$C$5+251,"dddd")</f>
        <v>Sunday</v>
      </c>
      <c r="B154" s="13" t="n">
        <f aca="false">Setup!$C$5+251</f>
        <v>46278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TEXT(Setup!$C$5+251,"dddd")</f>
        <v>Sunday</v>
      </c>
      <c r="B155" s="23" t="n">
        <f aca="false">Setup!$C$5+251</f>
        <v>46278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IFERROR(H155-Wk35!H155,"")</f>
        <v>0</v>
      </c>
      <c r="O155" s="24" t="n">
        <f aca="false">IFERROR(D155-Wk35!D155,"")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IFERROR(D156-Wk35!D156,"")</f>
        <v>0</v>
      </c>
      <c r="E157" s="34" t="n">
        <f aca="false">IFERROR(E156-Wk35!E156,"")</f>
        <v>0</v>
      </c>
      <c r="H157" s="32" t="n">
        <f aca="false">IFERROR(H156-Wk35!H156,"")</f>
        <v>0</v>
      </c>
      <c r="K157" s="32" t="n">
        <f aca="false">IFERROR(K156-Wk35!K156,"")</f>
        <v>0</v>
      </c>
      <c r="M157" s="32" t="n">
        <f aca="false">IFERROR(M156-Wk35!M156,"")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TEXT(Setup!$C$5+252,"dddd")</f>
        <v>Monday</v>
      </c>
      <c r="B2" s="13" t="n">
        <f aca="false">Setup!$C$5+252</f>
        <v>46279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TEXT(Setup!$C$5+252,"dddd")</f>
        <v>Monday</v>
      </c>
      <c r="B3" s="13" t="n">
        <f aca="false">Setup!$C$5+252</f>
        <v>46279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TEXT(Setup!$C$5+252,"dddd")</f>
        <v>Monday</v>
      </c>
      <c r="B4" s="13" t="n">
        <f aca="false">Setup!$C$5+252</f>
        <v>46279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TEXT(Setup!$C$5+252,"dddd")</f>
        <v>Monday</v>
      </c>
      <c r="B5" s="13" t="n">
        <f aca="false">Setup!$C$5+252</f>
        <v>46279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TEXT(Setup!$C$5+252,"dddd")</f>
        <v>Monday</v>
      </c>
      <c r="B6" s="13" t="n">
        <f aca="false">Setup!$C$5+252</f>
        <v>46279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TEXT(Setup!$C$5+252,"dddd")</f>
        <v>Monday</v>
      </c>
      <c r="B7" s="13" t="n">
        <f aca="false">Setup!$C$5+252</f>
        <v>46279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TEXT(Setup!$C$5+252,"dddd")</f>
        <v>Monday</v>
      </c>
      <c r="B8" s="13" t="n">
        <f aca="false">Setup!$C$5+252</f>
        <v>46279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TEXT(Setup!$C$5+252,"dddd")</f>
        <v>Monday</v>
      </c>
      <c r="B9" s="13" t="n">
        <f aca="false">Setup!$C$5+252</f>
        <v>46279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TEXT(Setup!$C$5+252,"dddd")</f>
        <v>Monday</v>
      </c>
      <c r="B10" s="13" t="n">
        <f aca="false">Setup!$C$5+252</f>
        <v>46279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TEXT(Setup!$C$5+252,"dddd")</f>
        <v>Monday</v>
      </c>
      <c r="B11" s="13" t="n">
        <f aca="false">Setup!$C$5+252</f>
        <v>46279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TEXT(Setup!$C$5+252,"dddd")</f>
        <v>Monday</v>
      </c>
      <c r="B12" s="13" t="n">
        <f aca="false">Setup!$C$5+252</f>
        <v>46279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TEXT(Setup!$C$5+252,"dddd")</f>
        <v>Monday</v>
      </c>
      <c r="B13" s="13" t="n">
        <f aca="false">Setup!$C$5+252</f>
        <v>46279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TEXT(Setup!$C$5+252,"dddd")</f>
        <v>Monday</v>
      </c>
      <c r="B14" s="13" t="n">
        <f aca="false">Setup!$C$5+252</f>
        <v>46279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TEXT(Setup!$C$5+252,"dddd")</f>
        <v>Monday</v>
      </c>
      <c r="B15" s="13" t="n">
        <f aca="false">Setup!$C$5+252</f>
        <v>46279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TEXT(Setup!$C$5+252,"dddd")</f>
        <v>Monday</v>
      </c>
      <c r="B16" s="13" t="n">
        <f aca="false">Setup!$C$5+252</f>
        <v>46279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TEXT(Setup!$C$5+252,"dddd")</f>
        <v>Monday</v>
      </c>
      <c r="B17" s="13" t="n">
        <f aca="false">Setup!$C$5+252</f>
        <v>46279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TEXT(Setup!$C$5+252,"dddd")</f>
        <v>Monday</v>
      </c>
      <c r="B18" s="13" t="n">
        <f aca="false">Setup!$C$5+252</f>
        <v>46279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TEXT(Setup!$C$5+252,"dddd")</f>
        <v>Monday</v>
      </c>
      <c r="B19" s="13" t="n">
        <f aca="false">Setup!$C$5+252</f>
        <v>46279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TEXT(Setup!$C$5+252,"dddd")</f>
        <v>Monday</v>
      </c>
      <c r="B20" s="13" t="n">
        <f aca="false">Setup!$C$5+252</f>
        <v>46279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TEXT(Setup!$C$5+252,"dddd")</f>
        <v>Monday</v>
      </c>
      <c r="B21" s="13" t="n">
        <f aca="false">Setup!$C$5+252</f>
        <v>46279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TEXT(Setup!$C$5+252,"dddd")</f>
        <v>Monday</v>
      </c>
      <c r="B22" s="13" t="n">
        <f aca="false">Setup!$C$5+252</f>
        <v>46279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TEXT(Setup!$C$5+252,"dddd")</f>
        <v>Monday</v>
      </c>
      <c r="B23" s="23" t="n">
        <f aca="false">Setup!$C$5+252</f>
        <v>46279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IFERROR(H23-Wk36!H23,"")</f>
        <v>0</v>
      </c>
      <c r="O23" s="24" t="n">
        <f aca="false">IFERROR(D23-Wk36!D23,"")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TEXT(Setup!$C$5+253,"dddd")</f>
        <v>Tuesday</v>
      </c>
      <c r="B24" s="13" t="n">
        <f aca="false">Setup!$C$5+253</f>
        <v>46280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TEXT(Setup!$C$5+253,"dddd")</f>
        <v>Tuesday</v>
      </c>
      <c r="B25" s="13" t="n">
        <f aca="false">Setup!$C$5+253</f>
        <v>46280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TEXT(Setup!$C$5+253,"dddd")</f>
        <v>Tuesday</v>
      </c>
      <c r="B26" s="13" t="n">
        <f aca="false">Setup!$C$5+253</f>
        <v>46280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TEXT(Setup!$C$5+253,"dddd")</f>
        <v>Tuesday</v>
      </c>
      <c r="B27" s="13" t="n">
        <f aca="false">Setup!$C$5+253</f>
        <v>46280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TEXT(Setup!$C$5+253,"dddd")</f>
        <v>Tuesday</v>
      </c>
      <c r="B28" s="13" t="n">
        <f aca="false">Setup!$C$5+253</f>
        <v>46280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TEXT(Setup!$C$5+253,"dddd")</f>
        <v>Tuesday</v>
      </c>
      <c r="B29" s="13" t="n">
        <f aca="false">Setup!$C$5+253</f>
        <v>46280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TEXT(Setup!$C$5+253,"dddd")</f>
        <v>Tuesday</v>
      </c>
      <c r="B30" s="13" t="n">
        <f aca="false">Setup!$C$5+253</f>
        <v>46280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TEXT(Setup!$C$5+253,"dddd")</f>
        <v>Tuesday</v>
      </c>
      <c r="B31" s="13" t="n">
        <f aca="false">Setup!$C$5+253</f>
        <v>46280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TEXT(Setup!$C$5+253,"dddd")</f>
        <v>Tuesday</v>
      </c>
      <c r="B32" s="13" t="n">
        <f aca="false">Setup!$C$5+253</f>
        <v>46280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TEXT(Setup!$C$5+253,"dddd")</f>
        <v>Tuesday</v>
      </c>
      <c r="B33" s="13" t="n">
        <f aca="false">Setup!$C$5+253</f>
        <v>46280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TEXT(Setup!$C$5+253,"dddd")</f>
        <v>Tuesday</v>
      </c>
      <c r="B34" s="13" t="n">
        <f aca="false">Setup!$C$5+253</f>
        <v>46280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TEXT(Setup!$C$5+253,"dddd")</f>
        <v>Tuesday</v>
      </c>
      <c r="B35" s="13" t="n">
        <f aca="false">Setup!$C$5+253</f>
        <v>46280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TEXT(Setup!$C$5+253,"dddd")</f>
        <v>Tuesday</v>
      </c>
      <c r="B36" s="13" t="n">
        <f aca="false">Setup!$C$5+253</f>
        <v>46280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TEXT(Setup!$C$5+253,"dddd")</f>
        <v>Tuesday</v>
      </c>
      <c r="B37" s="13" t="n">
        <f aca="false">Setup!$C$5+253</f>
        <v>46280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TEXT(Setup!$C$5+253,"dddd")</f>
        <v>Tuesday</v>
      </c>
      <c r="B38" s="13" t="n">
        <f aca="false">Setup!$C$5+253</f>
        <v>46280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TEXT(Setup!$C$5+253,"dddd")</f>
        <v>Tuesday</v>
      </c>
      <c r="B39" s="13" t="n">
        <f aca="false">Setup!$C$5+253</f>
        <v>46280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TEXT(Setup!$C$5+253,"dddd")</f>
        <v>Tuesday</v>
      </c>
      <c r="B40" s="13" t="n">
        <f aca="false">Setup!$C$5+253</f>
        <v>46280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TEXT(Setup!$C$5+253,"dddd")</f>
        <v>Tuesday</v>
      </c>
      <c r="B41" s="13" t="n">
        <f aca="false">Setup!$C$5+253</f>
        <v>46280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TEXT(Setup!$C$5+253,"dddd")</f>
        <v>Tuesday</v>
      </c>
      <c r="B42" s="13" t="n">
        <f aca="false">Setup!$C$5+253</f>
        <v>46280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TEXT(Setup!$C$5+253,"dddd")</f>
        <v>Tuesday</v>
      </c>
      <c r="B43" s="13" t="n">
        <f aca="false">Setup!$C$5+253</f>
        <v>46280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TEXT(Setup!$C$5+253,"dddd")</f>
        <v>Tuesday</v>
      </c>
      <c r="B44" s="13" t="n">
        <f aca="false">Setup!$C$5+253</f>
        <v>46280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TEXT(Setup!$C$5+253,"dddd")</f>
        <v>Tuesday</v>
      </c>
      <c r="B45" s="23" t="n">
        <f aca="false">Setup!$C$5+253</f>
        <v>46280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IFERROR(H45-Wk36!H45,"")</f>
        <v>0</v>
      </c>
      <c r="O45" s="24" t="n">
        <f aca="false">IFERROR(D45-Wk36!D45,"")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TEXT(Setup!$C$5+254,"dddd")</f>
        <v>Wednesday</v>
      </c>
      <c r="B46" s="13" t="n">
        <f aca="false">Setup!$C$5+254</f>
        <v>46281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TEXT(Setup!$C$5+254,"dddd")</f>
        <v>Wednesday</v>
      </c>
      <c r="B47" s="13" t="n">
        <f aca="false">Setup!$C$5+254</f>
        <v>46281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TEXT(Setup!$C$5+254,"dddd")</f>
        <v>Wednesday</v>
      </c>
      <c r="B48" s="13" t="n">
        <f aca="false">Setup!$C$5+254</f>
        <v>46281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TEXT(Setup!$C$5+254,"dddd")</f>
        <v>Wednesday</v>
      </c>
      <c r="B49" s="13" t="n">
        <f aca="false">Setup!$C$5+254</f>
        <v>46281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TEXT(Setup!$C$5+254,"dddd")</f>
        <v>Wednesday</v>
      </c>
      <c r="B50" s="13" t="n">
        <f aca="false">Setup!$C$5+254</f>
        <v>46281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TEXT(Setup!$C$5+254,"dddd")</f>
        <v>Wednesday</v>
      </c>
      <c r="B51" s="13" t="n">
        <f aca="false">Setup!$C$5+254</f>
        <v>46281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TEXT(Setup!$C$5+254,"dddd")</f>
        <v>Wednesday</v>
      </c>
      <c r="B52" s="13" t="n">
        <f aca="false">Setup!$C$5+254</f>
        <v>46281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TEXT(Setup!$C$5+254,"dddd")</f>
        <v>Wednesday</v>
      </c>
      <c r="B53" s="13" t="n">
        <f aca="false">Setup!$C$5+254</f>
        <v>46281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TEXT(Setup!$C$5+254,"dddd")</f>
        <v>Wednesday</v>
      </c>
      <c r="B54" s="13" t="n">
        <f aca="false">Setup!$C$5+254</f>
        <v>46281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TEXT(Setup!$C$5+254,"dddd")</f>
        <v>Wednesday</v>
      </c>
      <c r="B55" s="13" t="n">
        <f aca="false">Setup!$C$5+254</f>
        <v>46281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TEXT(Setup!$C$5+254,"dddd")</f>
        <v>Wednesday</v>
      </c>
      <c r="B56" s="13" t="n">
        <f aca="false">Setup!$C$5+254</f>
        <v>46281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TEXT(Setup!$C$5+254,"dddd")</f>
        <v>Wednesday</v>
      </c>
      <c r="B57" s="13" t="n">
        <f aca="false">Setup!$C$5+254</f>
        <v>46281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TEXT(Setup!$C$5+254,"dddd")</f>
        <v>Wednesday</v>
      </c>
      <c r="B58" s="13" t="n">
        <f aca="false">Setup!$C$5+254</f>
        <v>46281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TEXT(Setup!$C$5+254,"dddd")</f>
        <v>Wednesday</v>
      </c>
      <c r="B59" s="13" t="n">
        <f aca="false">Setup!$C$5+254</f>
        <v>46281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TEXT(Setup!$C$5+254,"dddd")</f>
        <v>Wednesday</v>
      </c>
      <c r="B60" s="13" t="n">
        <f aca="false">Setup!$C$5+254</f>
        <v>46281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TEXT(Setup!$C$5+254,"dddd")</f>
        <v>Wednesday</v>
      </c>
      <c r="B61" s="13" t="n">
        <f aca="false">Setup!$C$5+254</f>
        <v>46281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TEXT(Setup!$C$5+254,"dddd")</f>
        <v>Wednesday</v>
      </c>
      <c r="B62" s="13" t="n">
        <f aca="false">Setup!$C$5+254</f>
        <v>46281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TEXT(Setup!$C$5+254,"dddd")</f>
        <v>Wednesday</v>
      </c>
      <c r="B63" s="13" t="n">
        <f aca="false">Setup!$C$5+254</f>
        <v>46281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TEXT(Setup!$C$5+254,"dddd")</f>
        <v>Wednesday</v>
      </c>
      <c r="B64" s="13" t="n">
        <f aca="false">Setup!$C$5+254</f>
        <v>46281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TEXT(Setup!$C$5+254,"dddd")</f>
        <v>Wednesday</v>
      </c>
      <c r="B65" s="13" t="n">
        <f aca="false">Setup!$C$5+254</f>
        <v>46281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TEXT(Setup!$C$5+254,"dddd")</f>
        <v>Wednesday</v>
      </c>
      <c r="B66" s="13" t="n">
        <f aca="false">Setup!$C$5+254</f>
        <v>46281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TEXT(Setup!$C$5+254,"dddd")</f>
        <v>Wednesday</v>
      </c>
      <c r="B67" s="23" t="n">
        <f aca="false">Setup!$C$5+254</f>
        <v>46281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IFERROR(H67-Wk36!H67,"")</f>
        <v>0</v>
      </c>
      <c r="O67" s="24" t="n">
        <f aca="false">IFERROR(D67-Wk36!D67,"")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TEXT(Setup!$C$5+255,"dddd")</f>
        <v>Thursday</v>
      </c>
      <c r="B68" s="13" t="n">
        <f aca="false">Setup!$C$5+255</f>
        <v>46282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TEXT(Setup!$C$5+255,"dddd")</f>
        <v>Thursday</v>
      </c>
      <c r="B69" s="13" t="n">
        <f aca="false">Setup!$C$5+255</f>
        <v>46282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TEXT(Setup!$C$5+255,"dddd")</f>
        <v>Thursday</v>
      </c>
      <c r="B70" s="13" t="n">
        <f aca="false">Setup!$C$5+255</f>
        <v>46282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TEXT(Setup!$C$5+255,"dddd")</f>
        <v>Thursday</v>
      </c>
      <c r="B71" s="13" t="n">
        <f aca="false">Setup!$C$5+255</f>
        <v>46282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TEXT(Setup!$C$5+255,"dddd")</f>
        <v>Thursday</v>
      </c>
      <c r="B72" s="13" t="n">
        <f aca="false">Setup!$C$5+255</f>
        <v>46282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TEXT(Setup!$C$5+255,"dddd")</f>
        <v>Thursday</v>
      </c>
      <c r="B73" s="13" t="n">
        <f aca="false">Setup!$C$5+255</f>
        <v>46282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TEXT(Setup!$C$5+255,"dddd")</f>
        <v>Thursday</v>
      </c>
      <c r="B74" s="13" t="n">
        <f aca="false">Setup!$C$5+255</f>
        <v>46282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TEXT(Setup!$C$5+255,"dddd")</f>
        <v>Thursday</v>
      </c>
      <c r="B75" s="13" t="n">
        <f aca="false">Setup!$C$5+255</f>
        <v>46282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TEXT(Setup!$C$5+255,"dddd")</f>
        <v>Thursday</v>
      </c>
      <c r="B76" s="13" t="n">
        <f aca="false">Setup!$C$5+255</f>
        <v>46282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TEXT(Setup!$C$5+255,"dddd")</f>
        <v>Thursday</v>
      </c>
      <c r="B77" s="13" t="n">
        <f aca="false">Setup!$C$5+255</f>
        <v>46282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TEXT(Setup!$C$5+255,"dddd")</f>
        <v>Thursday</v>
      </c>
      <c r="B78" s="13" t="n">
        <f aca="false">Setup!$C$5+255</f>
        <v>46282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TEXT(Setup!$C$5+255,"dddd")</f>
        <v>Thursday</v>
      </c>
      <c r="B79" s="13" t="n">
        <f aca="false">Setup!$C$5+255</f>
        <v>46282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TEXT(Setup!$C$5+255,"dddd")</f>
        <v>Thursday</v>
      </c>
      <c r="B80" s="13" t="n">
        <f aca="false">Setup!$C$5+255</f>
        <v>46282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TEXT(Setup!$C$5+255,"dddd")</f>
        <v>Thursday</v>
      </c>
      <c r="B81" s="13" t="n">
        <f aca="false">Setup!$C$5+255</f>
        <v>46282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TEXT(Setup!$C$5+255,"dddd")</f>
        <v>Thursday</v>
      </c>
      <c r="B82" s="13" t="n">
        <f aca="false">Setup!$C$5+255</f>
        <v>46282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TEXT(Setup!$C$5+255,"dddd")</f>
        <v>Thursday</v>
      </c>
      <c r="B83" s="13" t="n">
        <f aca="false">Setup!$C$5+255</f>
        <v>46282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TEXT(Setup!$C$5+255,"dddd")</f>
        <v>Thursday</v>
      </c>
      <c r="B84" s="13" t="n">
        <f aca="false">Setup!$C$5+255</f>
        <v>46282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TEXT(Setup!$C$5+255,"dddd")</f>
        <v>Thursday</v>
      </c>
      <c r="B85" s="13" t="n">
        <f aca="false">Setup!$C$5+255</f>
        <v>46282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TEXT(Setup!$C$5+255,"dddd")</f>
        <v>Thursday</v>
      </c>
      <c r="B86" s="13" t="n">
        <f aca="false">Setup!$C$5+255</f>
        <v>46282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TEXT(Setup!$C$5+255,"dddd")</f>
        <v>Thursday</v>
      </c>
      <c r="B87" s="13" t="n">
        <f aca="false">Setup!$C$5+255</f>
        <v>46282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TEXT(Setup!$C$5+255,"dddd")</f>
        <v>Thursday</v>
      </c>
      <c r="B88" s="13" t="n">
        <f aca="false">Setup!$C$5+255</f>
        <v>46282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TEXT(Setup!$C$5+255,"dddd")</f>
        <v>Thursday</v>
      </c>
      <c r="B89" s="23" t="n">
        <f aca="false">Setup!$C$5+255</f>
        <v>46282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IFERROR(H89-Wk36!H89,"")</f>
        <v>0</v>
      </c>
      <c r="O89" s="24" t="n">
        <f aca="false">IFERROR(D89-Wk36!D89,"")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TEXT(Setup!$C$5+256,"dddd")</f>
        <v>Friday</v>
      </c>
      <c r="B90" s="13" t="n">
        <f aca="false">Setup!$C$5+256</f>
        <v>46283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TEXT(Setup!$C$5+256,"dddd")</f>
        <v>Friday</v>
      </c>
      <c r="B91" s="13" t="n">
        <f aca="false">Setup!$C$5+256</f>
        <v>46283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TEXT(Setup!$C$5+256,"dddd")</f>
        <v>Friday</v>
      </c>
      <c r="B92" s="13" t="n">
        <f aca="false">Setup!$C$5+256</f>
        <v>46283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TEXT(Setup!$C$5+256,"dddd")</f>
        <v>Friday</v>
      </c>
      <c r="B93" s="13" t="n">
        <f aca="false">Setup!$C$5+256</f>
        <v>46283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TEXT(Setup!$C$5+256,"dddd")</f>
        <v>Friday</v>
      </c>
      <c r="B94" s="13" t="n">
        <f aca="false">Setup!$C$5+256</f>
        <v>46283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TEXT(Setup!$C$5+256,"dddd")</f>
        <v>Friday</v>
      </c>
      <c r="B95" s="13" t="n">
        <f aca="false">Setup!$C$5+256</f>
        <v>46283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TEXT(Setup!$C$5+256,"dddd")</f>
        <v>Friday</v>
      </c>
      <c r="B96" s="13" t="n">
        <f aca="false">Setup!$C$5+256</f>
        <v>46283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TEXT(Setup!$C$5+256,"dddd")</f>
        <v>Friday</v>
      </c>
      <c r="B97" s="13" t="n">
        <f aca="false">Setup!$C$5+256</f>
        <v>46283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TEXT(Setup!$C$5+256,"dddd")</f>
        <v>Friday</v>
      </c>
      <c r="B98" s="13" t="n">
        <f aca="false">Setup!$C$5+256</f>
        <v>46283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TEXT(Setup!$C$5+256,"dddd")</f>
        <v>Friday</v>
      </c>
      <c r="B99" s="13" t="n">
        <f aca="false">Setup!$C$5+256</f>
        <v>46283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TEXT(Setup!$C$5+256,"dddd")</f>
        <v>Friday</v>
      </c>
      <c r="B100" s="13" t="n">
        <f aca="false">Setup!$C$5+256</f>
        <v>46283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TEXT(Setup!$C$5+256,"dddd")</f>
        <v>Friday</v>
      </c>
      <c r="B101" s="13" t="n">
        <f aca="false">Setup!$C$5+256</f>
        <v>46283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TEXT(Setup!$C$5+256,"dddd")</f>
        <v>Friday</v>
      </c>
      <c r="B102" s="13" t="n">
        <f aca="false">Setup!$C$5+256</f>
        <v>46283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TEXT(Setup!$C$5+256,"dddd")</f>
        <v>Friday</v>
      </c>
      <c r="B103" s="13" t="n">
        <f aca="false">Setup!$C$5+256</f>
        <v>46283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TEXT(Setup!$C$5+256,"dddd")</f>
        <v>Friday</v>
      </c>
      <c r="B104" s="13" t="n">
        <f aca="false">Setup!$C$5+256</f>
        <v>46283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TEXT(Setup!$C$5+256,"dddd")</f>
        <v>Friday</v>
      </c>
      <c r="B105" s="13" t="n">
        <f aca="false">Setup!$C$5+256</f>
        <v>46283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TEXT(Setup!$C$5+256,"dddd")</f>
        <v>Friday</v>
      </c>
      <c r="B106" s="13" t="n">
        <f aca="false">Setup!$C$5+256</f>
        <v>46283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TEXT(Setup!$C$5+256,"dddd")</f>
        <v>Friday</v>
      </c>
      <c r="B107" s="13" t="n">
        <f aca="false">Setup!$C$5+256</f>
        <v>46283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TEXT(Setup!$C$5+256,"dddd")</f>
        <v>Friday</v>
      </c>
      <c r="B108" s="13" t="n">
        <f aca="false">Setup!$C$5+256</f>
        <v>46283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TEXT(Setup!$C$5+256,"dddd")</f>
        <v>Friday</v>
      </c>
      <c r="B109" s="13" t="n">
        <f aca="false">Setup!$C$5+256</f>
        <v>46283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TEXT(Setup!$C$5+256,"dddd")</f>
        <v>Friday</v>
      </c>
      <c r="B110" s="13" t="n">
        <f aca="false">Setup!$C$5+256</f>
        <v>46283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TEXT(Setup!$C$5+256,"dddd")</f>
        <v>Friday</v>
      </c>
      <c r="B111" s="23" t="n">
        <f aca="false">Setup!$C$5+256</f>
        <v>46283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IFERROR(H111-Wk36!H111,"")</f>
        <v>0</v>
      </c>
      <c r="O111" s="24" t="n">
        <f aca="false">IFERROR(D111-Wk36!D111,"")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TEXT(Setup!$C$5+257,"dddd")</f>
        <v>Saturday</v>
      </c>
      <c r="B112" s="13" t="n">
        <f aca="false">Setup!$C$5+257</f>
        <v>46284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TEXT(Setup!$C$5+257,"dddd")</f>
        <v>Saturday</v>
      </c>
      <c r="B113" s="13" t="n">
        <f aca="false">Setup!$C$5+257</f>
        <v>46284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TEXT(Setup!$C$5+257,"dddd")</f>
        <v>Saturday</v>
      </c>
      <c r="B114" s="13" t="n">
        <f aca="false">Setup!$C$5+257</f>
        <v>46284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TEXT(Setup!$C$5+257,"dddd")</f>
        <v>Saturday</v>
      </c>
      <c r="B115" s="13" t="n">
        <f aca="false">Setup!$C$5+257</f>
        <v>46284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TEXT(Setup!$C$5+257,"dddd")</f>
        <v>Saturday</v>
      </c>
      <c r="B116" s="13" t="n">
        <f aca="false">Setup!$C$5+257</f>
        <v>46284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TEXT(Setup!$C$5+257,"dddd")</f>
        <v>Saturday</v>
      </c>
      <c r="B117" s="13" t="n">
        <f aca="false">Setup!$C$5+257</f>
        <v>46284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TEXT(Setup!$C$5+257,"dddd")</f>
        <v>Saturday</v>
      </c>
      <c r="B118" s="13" t="n">
        <f aca="false">Setup!$C$5+257</f>
        <v>46284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TEXT(Setup!$C$5+257,"dddd")</f>
        <v>Saturday</v>
      </c>
      <c r="B119" s="13" t="n">
        <f aca="false">Setup!$C$5+257</f>
        <v>46284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TEXT(Setup!$C$5+257,"dddd")</f>
        <v>Saturday</v>
      </c>
      <c r="B120" s="13" t="n">
        <f aca="false">Setup!$C$5+257</f>
        <v>46284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TEXT(Setup!$C$5+257,"dddd")</f>
        <v>Saturday</v>
      </c>
      <c r="B121" s="13" t="n">
        <f aca="false">Setup!$C$5+257</f>
        <v>46284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TEXT(Setup!$C$5+257,"dddd")</f>
        <v>Saturday</v>
      </c>
      <c r="B122" s="13" t="n">
        <f aca="false">Setup!$C$5+257</f>
        <v>46284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TEXT(Setup!$C$5+257,"dddd")</f>
        <v>Saturday</v>
      </c>
      <c r="B123" s="13" t="n">
        <f aca="false">Setup!$C$5+257</f>
        <v>46284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TEXT(Setup!$C$5+257,"dddd")</f>
        <v>Saturday</v>
      </c>
      <c r="B124" s="13" t="n">
        <f aca="false">Setup!$C$5+257</f>
        <v>46284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TEXT(Setup!$C$5+257,"dddd")</f>
        <v>Saturday</v>
      </c>
      <c r="B125" s="13" t="n">
        <f aca="false">Setup!$C$5+257</f>
        <v>46284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TEXT(Setup!$C$5+257,"dddd")</f>
        <v>Saturday</v>
      </c>
      <c r="B126" s="13" t="n">
        <f aca="false">Setup!$C$5+257</f>
        <v>46284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TEXT(Setup!$C$5+257,"dddd")</f>
        <v>Saturday</v>
      </c>
      <c r="B127" s="13" t="n">
        <f aca="false">Setup!$C$5+257</f>
        <v>46284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TEXT(Setup!$C$5+257,"dddd")</f>
        <v>Saturday</v>
      </c>
      <c r="B128" s="13" t="n">
        <f aca="false">Setup!$C$5+257</f>
        <v>46284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TEXT(Setup!$C$5+257,"dddd")</f>
        <v>Saturday</v>
      </c>
      <c r="B129" s="13" t="n">
        <f aca="false">Setup!$C$5+257</f>
        <v>46284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TEXT(Setup!$C$5+257,"dddd")</f>
        <v>Saturday</v>
      </c>
      <c r="B130" s="13" t="n">
        <f aca="false">Setup!$C$5+257</f>
        <v>46284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TEXT(Setup!$C$5+257,"dddd")</f>
        <v>Saturday</v>
      </c>
      <c r="B131" s="13" t="n">
        <f aca="false">Setup!$C$5+257</f>
        <v>46284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TEXT(Setup!$C$5+257,"dddd")</f>
        <v>Saturday</v>
      </c>
      <c r="B132" s="13" t="n">
        <f aca="false">Setup!$C$5+257</f>
        <v>46284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TEXT(Setup!$C$5+257,"dddd")</f>
        <v>Saturday</v>
      </c>
      <c r="B133" s="23" t="n">
        <f aca="false">Setup!$C$5+257</f>
        <v>46284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IFERROR(H133-Wk36!H133,"")</f>
        <v>0</v>
      </c>
      <c r="O133" s="24" t="n">
        <f aca="false">IFERROR(D133-Wk36!D133,"")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TEXT(Setup!$C$5+258,"dddd")</f>
        <v>Sunday</v>
      </c>
      <c r="B134" s="13" t="n">
        <f aca="false">Setup!$C$5+258</f>
        <v>46285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TEXT(Setup!$C$5+258,"dddd")</f>
        <v>Sunday</v>
      </c>
      <c r="B135" s="13" t="n">
        <f aca="false">Setup!$C$5+258</f>
        <v>46285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TEXT(Setup!$C$5+258,"dddd")</f>
        <v>Sunday</v>
      </c>
      <c r="B136" s="13" t="n">
        <f aca="false">Setup!$C$5+258</f>
        <v>46285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TEXT(Setup!$C$5+258,"dddd")</f>
        <v>Sunday</v>
      </c>
      <c r="B137" s="13" t="n">
        <f aca="false">Setup!$C$5+258</f>
        <v>46285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TEXT(Setup!$C$5+258,"dddd")</f>
        <v>Sunday</v>
      </c>
      <c r="B138" s="13" t="n">
        <f aca="false">Setup!$C$5+258</f>
        <v>46285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TEXT(Setup!$C$5+258,"dddd")</f>
        <v>Sunday</v>
      </c>
      <c r="B139" s="13" t="n">
        <f aca="false">Setup!$C$5+258</f>
        <v>46285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TEXT(Setup!$C$5+258,"dddd")</f>
        <v>Sunday</v>
      </c>
      <c r="B140" s="13" t="n">
        <f aca="false">Setup!$C$5+258</f>
        <v>46285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TEXT(Setup!$C$5+258,"dddd")</f>
        <v>Sunday</v>
      </c>
      <c r="B141" s="13" t="n">
        <f aca="false">Setup!$C$5+258</f>
        <v>46285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TEXT(Setup!$C$5+258,"dddd")</f>
        <v>Sunday</v>
      </c>
      <c r="B142" s="13" t="n">
        <f aca="false">Setup!$C$5+258</f>
        <v>46285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TEXT(Setup!$C$5+258,"dddd")</f>
        <v>Sunday</v>
      </c>
      <c r="B143" s="13" t="n">
        <f aca="false">Setup!$C$5+258</f>
        <v>46285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TEXT(Setup!$C$5+258,"dddd")</f>
        <v>Sunday</v>
      </c>
      <c r="B144" s="13" t="n">
        <f aca="false">Setup!$C$5+258</f>
        <v>46285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TEXT(Setup!$C$5+258,"dddd")</f>
        <v>Sunday</v>
      </c>
      <c r="B145" s="13" t="n">
        <f aca="false">Setup!$C$5+258</f>
        <v>46285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TEXT(Setup!$C$5+258,"dddd")</f>
        <v>Sunday</v>
      </c>
      <c r="B146" s="13" t="n">
        <f aca="false">Setup!$C$5+258</f>
        <v>46285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TEXT(Setup!$C$5+258,"dddd")</f>
        <v>Sunday</v>
      </c>
      <c r="B147" s="13" t="n">
        <f aca="false">Setup!$C$5+258</f>
        <v>46285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TEXT(Setup!$C$5+258,"dddd")</f>
        <v>Sunday</v>
      </c>
      <c r="B148" s="13" t="n">
        <f aca="false">Setup!$C$5+258</f>
        <v>46285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TEXT(Setup!$C$5+258,"dddd")</f>
        <v>Sunday</v>
      </c>
      <c r="B149" s="13" t="n">
        <f aca="false">Setup!$C$5+258</f>
        <v>46285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TEXT(Setup!$C$5+258,"dddd")</f>
        <v>Sunday</v>
      </c>
      <c r="B150" s="13" t="n">
        <f aca="false">Setup!$C$5+258</f>
        <v>46285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TEXT(Setup!$C$5+258,"dddd")</f>
        <v>Sunday</v>
      </c>
      <c r="B151" s="13" t="n">
        <f aca="false">Setup!$C$5+258</f>
        <v>46285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TEXT(Setup!$C$5+258,"dddd")</f>
        <v>Sunday</v>
      </c>
      <c r="B152" s="13" t="n">
        <f aca="false">Setup!$C$5+258</f>
        <v>46285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TEXT(Setup!$C$5+258,"dddd")</f>
        <v>Sunday</v>
      </c>
      <c r="B153" s="13" t="n">
        <f aca="false">Setup!$C$5+258</f>
        <v>46285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TEXT(Setup!$C$5+258,"dddd")</f>
        <v>Sunday</v>
      </c>
      <c r="B154" s="13" t="n">
        <f aca="false">Setup!$C$5+258</f>
        <v>46285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TEXT(Setup!$C$5+258,"dddd")</f>
        <v>Sunday</v>
      </c>
      <c r="B155" s="23" t="n">
        <f aca="false">Setup!$C$5+258</f>
        <v>46285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IFERROR(H155-Wk36!H155,"")</f>
        <v>0</v>
      </c>
      <c r="O155" s="24" t="n">
        <f aca="false">IFERROR(D155-Wk36!D155,"")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IFERROR(D156-Wk36!D156,"")</f>
        <v>0</v>
      </c>
      <c r="E157" s="34" t="n">
        <f aca="false">IFERROR(E156-Wk36!E156,"")</f>
        <v>0</v>
      </c>
      <c r="H157" s="32" t="n">
        <f aca="false">IFERROR(H156-Wk36!H156,"")</f>
        <v>0</v>
      </c>
      <c r="K157" s="32" t="n">
        <f aca="false">IFERROR(K156-Wk36!K156,"")</f>
        <v>0</v>
      </c>
      <c r="M157" s="32" t="n">
        <f aca="false">IFERROR(M156-Wk36!M156,"")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TEXT(Setup!$C$5+259,"dddd")</f>
        <v>Monday</v>
      </c>
      <c r="B2" s="13" t="n">
        <f aca="false">Setup!$C$5+259</f>
        <v>46286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TEXT(Setup!$C$5+259,"dddd")</f>
        <v>Monday</v>
      </c>
      <c r="B3" s="13" t="n">
        <f aca="false">Setup!$C$5+259</f>
        <v>46286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TEXT(Setup!$C$5+259,"dddd")</f>
        <v>Monday</v>
      </c>
      <c r="B4" s="13" t="n">
        <f aca="false">Setup!$C$5+259</f>
        <v>46286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TEXT(Setup!$C$5+259,"dddd")</f>
        <v>Monday</v>
      </c>
      <c r="B5" s="13" t="n">
        <f aca="false">Setup!$C$5+259</f>
        <v>46286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TEXT(Setup!$C$5+259,"dddd")</f>
        <v>Monday</v>
      </c>
      <c r="B6" s="13" t="n">
        <f aca="false">Setup!$C$5+259</f>
        <v>46286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TEXT(Setup!$C$5+259,"dddd")</f>
        <v>Monday</v>
      </c>
      <c r="B7" s="13" t="n">
        <f aca="false">Setup!$C$5+259</f>
        <v>46286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TEXT(Setup!$C$5+259,"dddd")</f>
        <v>Monday</v>
      </c>
      <c r="B8" s="13" t="n">
        <f aca="false">Setup!$C$5+259</f>
        <v>46286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TEXT(Setup!$C$5+259,"dddd")</f>
        <v>Monday</v>
      </c>
      <c r="B9" s="13" t="n">
        <f aca="false">Setup!$C$5+259</f>
        <v>46286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TEXT(Setup!$C$5+259,"dddd")</f>
        <v>Monday</v>
      </c>
      <c r="B10" s="13" t="n">
        <f aca="false">Setup!$C$5+259</f>
        <v>46286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TEXT(Setup!$C$5+259,"dddd")</f>
        <v>Monday</v>
      </c>
      <c r="B11" s="13" t="n">
        <f aca="false">Setup!$C$5+259</f>
        <v>46286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TEXT(Setup!$C$5+259,"dddd")</f>
        <v>Monday</v>
      </c>
      <c r="B12" s="13" t="n">
        <f aca="false">Setup!$C$5+259</f>
        <v>46286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TEXT(Setup!$C$5+259,"dddd")</f>
        <v>Monday</v>
      </c>
      <c r="B13" s="13" t="n">
        <f aca="false">Setup!$C$5+259</f>
        <v>46286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TEXT(Setup!$C$5+259,"dddd")</f>
        <v>Monday</v>
      </c>
      <c r="B14" s="13" t="n">
        <f aca="false">Setup!$C$5+259</f>
        <v>46286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TEXT(Setup!$C$5+259,"dddd")</f>
        <v>Monday</v>
      </c>
      <c r="B15" s="13" t="n">
        <f aca="false">Setup!$C$5+259</f>
        <v>46286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TEXT(Setup!$C$5+259,"dddd")</f>
        <v>Monday</v>
      </c>
      <c r="B16" s="13" t="n">
        <f aca="false">Setup!$C$5+259</f>
        <v>46286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TEXT(Setup!$C$5+259,"dddd")</f>
        <v>Monday</v>
      </c>
      <c r="B17" s="13" t="n">
        <f aca="false">Setup!$C$5+259</f>
        <v>46286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TEXT(Setup!$C$5+259,"dddd")</f>
        <v>Monday</v>
      </c>
      <c r="B18" s="13" t="n">
        <f aca="false">Setup!$C$5+259</f>
        <v>46286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TEXT(Setup!$C$5+259,"dddd")</f>
        <v>Monday</v>
      </c>
      <c r="B19" s="13" t="n">
        <f aca="false">Setup!$C$5+259</f>
        <v>46286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TEXT(Setup!$C$5+259,"dddd")</f>
        <v>Monday</v>
      </c>
      <c r="B20" s="13" t="n">
        <f aca="false">Setup!$C$5+259</f>
        <v>46286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TEXT(Setup!$C$5+259,"dddd")</f>
        <v>Monday</v>
      </c>
      <c r="B21" s="13" t="n">
        <f aca="false">Setup!$C$5+259</f>
        <v>46286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TEXT(Setup!$C$5+259,"dddd")</f>
        <v>Monday</v>
      </c>
      <c r="B22" s="13" t="n">
        <f aca="false">Setup!$C$5+259</f>
        <v>46286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TEXT(Setup!$C$5+259,"dddd")</f>
        <v>Monday</v>
      </c>
      <c r="B23" s="23" t="n">
        <f aca="false">Setup!$C$5+259</f>
        <v>46286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IFERROR(H23-Wk37!H23,"")</f>
        <v>0</v>
      </c>
      <c r="O23" s="24" t="n">
        <f aca="false">IFERROR(D23-Wk37!D23,"")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TEXT(Setup!$C$5+260,"dddd")</f>
        <v>Tuesday</v>
      </c>
      <c r="B24" s="13" t="n">
        <f aca="false">Setup!$C$5+260</f>
        <v>46287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TEXT(Setup!$C$5+260,"dddd")</f>
        <v>Tuesday</v>
      </c>
      <c r="B25" s="13" t="n">
        <f aca="false">Setup!$C$5+260</f>
        <v>46287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TEXT(Setup!$C$5+260,"dddd")</f>
        <v>Tuesday</v>
      </c>
      <c r="B26" s="13" t="n">
        <f aca="false">Setup!$C$5+260</f>
        <v>46287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TEXT(Setup!$C$5+260,"dddd")</f>
        <v>Tuesday</v>
      </c>
      <c r="B27" s="13" t="n">
        <f aca="false">Setup!$C$5+260</f>
        <v>46287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TEXT(Setup!$C$5+260,"dddd")</f>
        <v>Tuesday</v>
      </c>
      <c r="B28" s="13" t="n">
        <f aca="false">Setup!$C$5+260</f>
        <v>46287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TEXT(Setup!$C$5+260,"dddd")</f>
        <v>Tuesday</v>
      </c>
      <c r="B29" s="13" t="n">
        <f aca="false">Setup!$C$5+260</f>
        <v>46287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TEXT(Setup!$C$5+260,"dddd")</f>
        <v>Tuesday</v>
      </c>
      <c r="B30" s="13" t="n">
        <f aca="false">Setup!$C$5+260</f>
        <v>46287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TEXT(Setup!$C$5+260,"dddd")</f>
        <v>Tuesday</v>
      </c>
      <c r="B31" s="13" t="n">
        <f aca="false">Setup!$C$5+260</f>
        <v>46287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TEXT(Setup!$C$5+260,"dddd")</f>
        <v>Tuesday</v>
      </c>
      <c r="B32" s="13" t="n">
        <f aca="false">Setup!$C$5+260</f>
        <v>46287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TEXT(Setup!$C$5+260,"dddd")</f>
        <v>Tuesday</v>
      </c>
      <c r="B33" s="13" t="n">
        <f aca="false">Setup!$C$5+260</f>
        <v>46287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TEXT(Setup!$C$5+260,"dddd")</f>
        <v>Tuesday</v>
      </c>
      <c r="B34" s="13" t="n">
        <f aca="false">Setup!$C$5+260</f>
        <v>46287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TEXT(Setup!$C$5+260,"dddd")</f>
        <v>Tuesday</v>
      </c>
      <c r="B35" s="13" t="n">
        <f aca="false">Setup!$C$5+260</f>
        <v>46287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TEXT(Setup!$C$5+260,"dddd")</f>
        <v>Tuesday</v>
      </c>
      <c r="B36" s="13" t="n">
        <f aca="false">Setup!$C$5+260</f>
        <v>46287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TEXT(Setup!$C$5+260,"dddd")</f>
        <v>Tuesday</v>
      </c>
      <c r="B37" s="13" t="n">
        <f aca="false">Setup!$C$5+260</f>
        <v>46287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TEXT(Setup!$C$5+260,"dddd")</f>
        <v>Tuesday</v>
      </c>
      <c r="B38" s="13" t="n">
        <f aca="false">Setup!$C$5+260</f>
        <v>46287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TEXT(Setup!$C$5+260,"dddd")</f>
        <v>Tuesday</v>
      </c>
      <c r="B39" s="13" t="n">
        <f aca="false">Setup!$C$5+260</f>
        <v>46287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TEXT(Setup!$C$5+260,"dddd")</f>
        <v>Tuesday</v>
      </c>
      <c r="B40" s="13" t="n">
        <f aca="false">Setup!$C$5+260</f>
        <v>46287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TEXT(Setup!$C$5+260,"dddd")</f>
        <v>Tuesday</v>
      </c>
      <c r="B41" s="13" t="n">
        <f aca="false">Setup!$C$5+260</f>
        <v>46287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TEXT(Setup!$C$5+260,"dddd")</f>
        <v>Tuesday</v>
      </c>
      <c r="B42" s="13" t="n">
        <f aca="false">Setup!$C$5+260</f>
        <v>46287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TEXT(Setup!$C$5+260,"dddd")</f>
        <v>Tuesday</v>
      </c>
      <c r="B43" s="13" t="n">
        <f aca="false">Setup!$C$5+260</f>
        <v>46287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TEXT(Setup!$C$5+260,"dddd")</f>
        <v>Tuesday</v>
      </c>
      <c r="B44" s="13" t="n">
        <f aca="false">Setup!$C$5+260</f>
        <v>46287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TEXT(Setup!$C$5+260,"dddd")</f>
        <v>Tuesday</v>
      </c>
      <c r="B45" s="23" t="n">
        <f aca="false">Setup!$C$5+260</f>
        <v>46287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IFERROR(H45-Wk37!H45,"")</f>
        <v>0</v>
      </c>
      <c r="O45" s="24" t="n">
        <f aca="false">IFERROR(D45-Wk37!D45,"")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TEXT(Setup!$C$5+261,"dddd")</f>
        <v>Wednesday</v>
      </c>
      <c r="B46" s="13" t="n">
        <f aca="false">Setup!$C$5+261</f>
        <v>46288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TEXT(Setup!$C$5+261,"dddd")</f>
        <v>Wednesday</v>
      </c>
      <c r="B47" s="13" t="n">
        <f aca="false">Setup!$C$5+261</f>
        <v>46288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TEXT(Setup!$C$5+261,"dddd")</f>
        <v>Wednesday</v>
      </c>
      <c r="B48" s="13" t="n">
        <f aca="false">Setup!$C$5+261</f>
        <v>46288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TEXT(Setup!$C$5+261,"dddd")</f>
        <v>Wednesday</v>
      </c>
      <c r="B49" s="13" t="n">
        <f aca="false">Setup!$C$5+261</f>
        <v>46288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TEXT(Setup!$C$5+261,"dddd")</f>
        <v>Wednesday</v>
      </c>
      <c r="B50" s="13" t="n">
        <f aca="false">Setup!$C$5+261</f>
        <v>46288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TEXT(Setup!$C$5+261,"dddd")</f>
        <v>Wednesday</v>
      </c>
      <c r="B51" s="13" t="n">
        <f aca="false">Setup!$C$5+261</f>
        <v>46288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TEXT(Setup!$C$5+261,"dddd")</f>
        <v>Wednesday</v>
      </c>
      <c r="B52" s="13" t="n">
        <f aca="false">Setup!$C$5+261</f>
        <v>46288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TEXT(Setup!$C$5+261,"dddd")</f>
        <v>Wednesday</v>
      </c>
      <c r="B53" s="13" t="n">
        <f aca="false">Setup!$C$5+261</f>
        <v>46288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TEXT(Setup!$C$5+261,"dddd")</f>
        <v>Wednesday</v>
      </c>
      <c r="B54" s="13" t="n">
        <f aca="false">Setup!$C$5+261</f>
        <v>46288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TEXT(Setup!$C$5+261,"dddd")</f>
        <v>Wednesday</v>
      </c>
      <c r="B55" s="13" t="n">
        <f aca="false">Setup!$C$5+261</f>
        <v>46288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TEXT(Setup!$C$5+261,"dddd")</f>
        <v>Wednesday</v>
      </c>
      <c r="B56" s="13" t="n">
        <f aca="false">Setup!$C$5+261</f>
        <v>46288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TEXT(Setup!$C$5+261,"dddd")</f>
        <v>Wednesday</v>
      </c>
      <c r="B57" s="13" t="n">
        <f aca="false">Setup!$C$5+261</f>
        <v>46288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TEXT(Setup!$C$5+261,"dddd")</f>
        <v>Wednesday</v>
      </c>
      <c r="B58" s="13" t="n">
        <f aca="false">Setup!$C$5+261</f>
        <v>46288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TEXT(Setup!$C$5+261,"dddd")</f>
        <v>Wednesday</v>
      </c>
      <c r="B59" s="13" t="n">
        <f aca="false">Setup!$C$5+261</f>
        <v>46288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TEXT(Setup!$C$5+261,"dddd")</f>
        <v>Wednesday</v>
      </c>
      <c r="B60" s="13" t="n">
        <f aca="false">Setup!$C$5+261</f>
        <v>46288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TEXT(Setup!$C$5+261,"dddd")</f>
        <v>Wednesday</v>
      </c>
      <c r="B61" s="13" t="n">
        <f aca="false">Setup!$C$5+261</f>
        <v>46288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TEXT(Setup!$C$5+261,"dddd")</f>
        <v>Wednesday</v>
      </c>
      <c r="B62" s="13" t="n">
        <f aca="false">Setup!$C$5+261</f>
        <v>46288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TEXT(Setup!$C$5+261,"dddd")</f>
        <v>Wednesday</v>
      </c>
      <c r="B63" s="13" t="n">
        <f aca="false">Setup!$C$5+261</f>
        <v>46288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TEXT(Setup!$C$5+261,"dddd")</f>
        <v>Wednesday</v>
      </c>
      <c r="B64" s="13" t="n">
        <f aca="false">Setup!$C$5+261</f>
        <v>46288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TEXT(Setup!$C$5+261,"dddd")</f>
        <v>Wednesday</v>
      </c>
      <c r="B65" s="13" t="n">
        <f aca="false">Setup!$C$5+261</f>
        <v>46288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TEXT(Setup!$C$5+261,"dddd")</f>
        <v>Wednesday</v>
      </c>
      <c r="B66" s="13" t="n">
        <f aca="false">Setup!$C$5+261</f>
        <v>46288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TEXT(Setup!$C$5+261,"dddd")</f>
        <v>Wednesday</v>
      </c>
      <c r="B67" s="23" t="n">
        <f aca="false">Setup!$C$5+261</f>
        <v>46288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IFERROR(H67-Wk37!H67,"")</f>
        <v>0</v>
      </c>
      <c r="O67" s="24" t="n">
        <f aca="false">IFERROR(D67-Wk37!D67,"")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TEXT(Setup!$C$5+262,"dddd")</f>
        <v>Thursday</v>
      </c>
      <c r="B68" s="13" t="n">
        <f aca="false">Setup!$C$5+262</f>
        <v>46289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TEXT(Setup!$C$5+262,"dddd")</f>
        <v>Thursday</v>
      </c>
      <c r="B69" s="13" t="n">
        <f aca="false">Setup!$C$5+262</f>
        <v>46289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TEXT(Setup!$C$5+262,"dddd")</f>
        <v>Thursday</v>
      </c>
      <c r="B70" s="13" t="n">
        <f aca="false">Setup!$C$5+262</f>
        <v>46289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TEXT(Setup!$C$5+262,"dddd")</f>
        <v>Thursday</v>
      </c>
      <c r="B71" s="13" t="n">
        <f aca="false">Setup!$C$5+262</f>
        <v>46289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TEXT(Setup!$C$5+262,"dddd")</f>
        <v>Thursday</v>
      </c>
      <c r="B72" s="13" t="n">
        <f aca="false">Setup!$C$5+262</f>
        <v>46289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TEXT(Setup!$C$5+262,"dddd")</f>
        <v>Thursday</v>
      </c>
      <c r="B73" s="13" t="n">
        <f aca="false">Setup!$C$5+262</f>
        <v>46289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TEXT(Setup!$C$5+262,"dddd")</f>
        <v>Thursday</v>
      </c>
      <c r="B74" s="13" t="n">
        <f aca="false">Setup!$C$5+262</f>
        <v>46289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TEXT(Setup!$C$5+262,"dddd")</f>
        <v>Thursday</v>
      </c>
      <c r="B75" s="13" t="n">
        <f aca="false">Setup!$C$5+262</f>
        <v>46289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TEXT(Setup!$C$5+262,"dddd")</f>
        <v>Thursday</v>
      </c>
      <c r="B76" s="13" t="n">
        <f aca="false">Setup!$C$5+262</f>
        <v>46289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TEXT(Setup!$C$5+262,"dddd")</f>
        <v>Thursday</v>
      </c>
      <c r="B77" s="13" t="n">
        <f aca="false">Setup!$C$5+262</f>
        <v>46289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TEXT(Setup!$C$5+262,"dddd")</f>
        <v>Thursday</v>
      </c>
      <c r="B78" s="13" t="n">
        <f aca="false">Setup!$C$5+262</f>
        <v>46289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TEXT(Setup!$C$5+262,"dddd")</f>
        <v>Thursday</v>
      </c>
      <c r="B79" s="13" t="n">
        <f aca="false">Setup!$C$5+262</f>
        <v>46289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TEXT(Setup!$C$5+262,"dddd")</f>
        <v>Thursday</v>
      </c>
      <c r="B80" s="13" t="n">
        <f aca="false">Setup!$C$5+262</f>
        <v>46289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TEXT(Setup!$C$5+262,"dddd")</f>
        <v>Thursday</v>
      </c>
      <c r="B81" s="13" t="n">
        <f aca="false">Setup!$C$5+262</f>
        <v>46289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TEXT(Setup!$C$5+262,"dddd")</f>
        <v>Thursday</v>
      </c>
      <c r="B82" s="13" t="n">
        <f aca="false">Setup!$C$5+262</f>
        <v>46289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TEXT(Setup!$C$5+262,"dddd")</f>
        <v>Thursday</v>
      </c>
      <c r="B83" s="13" t="n">
        <f aca="false">Setup!$C$5+262</f>
        <v>46289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TEXT(Setup!$C$5+262,"dddd")</f>
        <v>Thursday</v>
      </c>
      <c r="B84" s="13" t="n">
        <f aca="false">Setup!$C$5+262</f>
        <v>46289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TEXT(Setup!$C$5+262,"dddd")</f>
        <v>Thursday</v>
      </c>
      <c r="B85" s="13" t="n">
        <f aca="false">Setup!$C$5+262</f>
        <v>46289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TEXT(Setup!$C$5+262,"dddd")</f>
        <v>Thursday</v>
      </c>
      <c r="B86" s="13" t="n">
        <f aca="false">Setup!$C$5+262</f>
        <v>46289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TEXT(Setup!$C$5+262,"dddd")</f>
        <v>Thursday</v>
      </c>
      <c r="B87" s="13" t="n">
        <f aca="false">Setup!$C$5+262</f>
        <v>46289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TEXT(Setup!$C$5+262,"dddd")</f>
        <v>Thursday</v>
      </c>
      <c r="B88" s="13" t="n">
        <f aca="false">Setup!$C$5+262</f>
        <v>46289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TEXT(Setup!$C$5+262,"dddd")</f>
        <v>Thursday</v>
      </c>
      <c r="B89" s="23" t="n">
        <f aca="false">Setup!$C$5+262</f>
        <v>46289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IFERROR(H89-Wk37!H89,"")</f>
        <v>0</v>
      </c>
      <c r="O89" s="24" t="n">
        <f aca="false">IFERROR(D89-Wk37!D89,"")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TEXT(Setup!$C$5+263,"dddd")</f>
        <v>Friday</v>
      </c>
      <c r="B90" s="13" t="n">
        <f aca="false">Setup!$C$5+263</f>
        <v>46290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TEXT(Setup!$C$5+263,"dddd")</f>
        <v>Friday</v>
      </c>
      <c r="B91" s="13" t="n">
        <f aca="false">Setup!$C$5+263</f>
        <v>46290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TEXT(Setup!$C$5+263,"dddd")</f>
        <v>Friday</v>
      </c>
      <c r="B92" s="13" t="n">
        <f aca="false">Setup!$C$5+263</f>
        <v>46290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TEXT(Setup!$C$5+263,"dddd")</f>
        <v>Friday</v>
      </c>
      <c r="B93" s="13" t="n">
        <f aca="false">Setup!$C$5+263</f>
        <v>46290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TEXT(Setup!$C$5+263,"dddd")</f>
        <v>Friday</v>
      </c>
      <c r="B94" s="13" t="n">
        <f aca="false">Setup!$C$5+263</f>
        <v>46290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TEXT(Setup!$C$5+263,"dddd")</f>
        <v>Friday</v>
      </c>
      <c r="B95" s="13" t="n">
        <f aca="false">Setup!$C$5+263</f>
        <v>46290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TEXT(Setup!$C$5+263,"dddd")</f>
        <v>Friday</v>
      </c>
      <c r="B96" s="13" t="n">
        <f aca="false">Setup!$C$5+263</f>
        <v>46290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TEXT(Setup!$C$5+263,"dddd")</f>
        <v>Friday</v>
      </c>
      <c r="B97" s="13" t="n">
        <f aca="false">Setup!$C$5+263</f>
        <v>46290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TEXT(Setup!$C$5+263,"dddd")</f>
        <v>Friday</v>
      </c>
      <c r="B98" s="13" t="n">
        <f aca="false">Setup!$C$5+263</f>
        <v>46290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TEXT(Setup!$C$5+263,"dddd")</f>
        <v>Friday</v>
      </c>
      <c r="B99" s="13" t="n">
        <f aca="false">Setup!$C$5+263</f>
        <v>46290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TEXT(Setup!$C$5+263,"dddd")</f>
        <v>Friday</v>
      </c>
      <c r="B100" s="13" t="n">
        <f aca="false">Setup!$C$5+263</f>
        <v>46290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TEXT(Setup!$C$5+263,"dddd")</f>
        <v>Friday</v>
      </c>
      <c r="B101" s="13" t="n">
        <f aca="false">Setup!$C$5+263</f>
        <v>46290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TEXT(Setup!$C$5+263,"dddd")</f>
        <v>Friday</v>
      </c>
      <c r="B102" s="13" t="n">
        <f aca="false">Setup!$C$5+263</f>
        <v>46290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TEXT(Setup!$C$5+263,"dddd")</f>
        <v>Friday</v>
      </c>
      <c r="B103" s="13" t="n">
        <f aca="false">Setup!$C$5+263</f>
        <v>46290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TEXT(Setup!$C$5+263,"dddd")</f>
        <v>Friday</v>
      </c>
      <c r="B104" s="13" t="n">
        <f aca="false">Setup!$C$5+263</f>
        <v>46290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TEXT(Setup!$C$5+263,"dddd")</f>
        <v>Friday</v>
      </c>
      <c r="B105" s="13" t="n">
        <f aca="false">Setup!$C$5+263</f>
        <v>46290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TEXT(Setup!$C$5+263,"dddd")</f>
        <v>Friday</v>
      </c>
      <c r="B106" s="13" t="n">
        <f aca="false">Setup!$C$5+263</f>
        <v>46290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TEXT(Setup!$C$5+263,"dddd")</f>
        <v>Friday</v>
      </c>
      <c r="B107" s="13" t="n">
        <f aca="false">Setup!$C$5+263</f>
        <v>46290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TEXT(Setup!$C$5+263,"dddd")</f>
        <v>Friday</v>
      </c>
      <c r="B108" s="13" t="n">
        <f aca="false">Setup!$C$5+263</f>
        <v>46290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TEXT(Setup!$C$5+263,"dddd")</f>
        <v>Friday</v>
      </c>
      <c r="B109" s="13" t="n">
        <f aca="false">Setup!$C$5+263</f>
        <v>46290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TEXT(Setup!$C$5+263,"dddd")</f>
        <v>Friday</v>
      </c>
      <c r="B110" s="13" t="n">
        <f aca="false">Setup!$C$5+263</f>
        <v>46290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TEXT(Setup!$C$5+263,"dddd")</f>
        <v>Friday</v>
      </c>
      <c r="B111" s="23" t="n">
        <f aca="false">Setup!$C$5+263</f>
        <v>46290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IFERROR(H111-Wk37!H111,"")</f>
        <v>0</v>
      </c>
      <c r="O111" s="24" t="n">
        <f aca="false">IFERROR(D111-Wk37!D111,"")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TEXT(Setup!$C$5+264,"dddd")</f>
        <v>Saturday</v>
      </c>
      <c r="B112" s="13" t="n">
        <f aca="false">Setup!$C$5+264</f>
        <v>46291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TEXT(Setup!$C$5+264,"dddd")</f>
        <v>Saturday</v>
      </c>
      <c r="B113" s="13" t="n">
        <f aca="false">Setup!$C$5+264</f>
        <v>46291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TEXT(Setup!$C$5+264,"dddd")</f>
        <v>Saturday</v>
      </c>
      <c r="B114" s="13" t="n">
        <f aca="false">Setup!$C$5+264</f>
        <v>46291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TEXT(Setup!$C$5+264,"dddd")</f>
        <v>Saturday</v>
      </c>
      <c r="B115" s="13" t="n">
        <f aca="false">Setup!$C$5+264</f>
        <v>46291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TEXT(Setup!$C$5+264,"dddd")</f>
        <v>Saturday</v>
      </c>
      <c r="B116" s="13" t="n">
        <f aca="false">Setup!$C$5+264</f>
        <v>46291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TEXT(Setup!$C$5+264,"dddd")</f>
        <v>Saturday</v>
      </c>
      <c r="B117" s="13" t="n">
        <f aca="false">Setup!$C$5+264</f>
        <v>46291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TEXT(Setup!$C$5+264,"dddd")</f>
        <v>Saturday</v>
      </c>
      <c r="B118" s="13" t="n">
        <f aca="false">Setup!$C$5+264</f>
        <v>46291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TEXT(Setup!$C$5+264,"dddd")</f>
        <v>Saturday</v>
      </c>
      <c r="B119" s="13" t="n">
        <f aca="false">Setup!$C$5+264</f>
        <v>46291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TEXT(Setup!$C$5+264,"dddd")</f>
        <v>Saturday</v>
      </c>
      <c r="B120" s="13" t="n">
        <f aca="false">Setup!$C$5+264</f>
        <v>46291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TEXT(Setup!$C$5+264,"dddd")</f>
        <v>Saturday</v>
      </c>
      <c r="B121" s="13" t="n">
        <f aca="false">Setup!$C$5+264</f>
        <v>46291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TEXT(Setup!$C$5+264,"dddd")</f>
        <v>Saturday</v>
      </c>
      <c r="B122" s="13" t="n">
        <f aca="false">Setup!$C$5+264</f>
        <v>46291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TEXT(Setup!$C$5+264,"dddd")</f>
        <v>Saturday</v>
      </c>
      <c r="B123" s="13" t="n">
        <f aca="false">Setup!$C$5+264</f>
        <v>46291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TEXT(Setup!$C$5+264,"dddd")</f>
        <v>Saturday</v>
      </c>
      <c r="B124" s="13" t="n">
        <f aca="false">Setup!$C$5+264</f>
        <v>46291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TEXT(Setup!$C$5+264,"dddd")</f>
        <v>Saturday</v>
      </c>
      <c r="B125" s="13" t="n">
        <f aca="false">Setup!$C$5+264</f>
        <v>46291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TEXT(Setup!$C$5+264,"dddd")</f>
        <v>Saturday</v>
      </c>
      <c r="B126" s="13" t="n">
        <f aca="false">Setup!$C$5+264</f>
        <v>46291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TEXT(Setup!$C$5+264,"dddd")</f>
        <v>Saturday</v>
      </c>
      <c r="B127" s="13" t="n">
        <f aca="false">Setup!$C$5+264</f>
        <v>46291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TEXT(Setup!$C$5+264,"dddd")</f>
        <v>Saturday</v>
      </c>
      <c r="B128" s="13" t="n">
        <f aca="false">Setup!$C$5+264</f>
        <v>46291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TEXT(Setup!$C$5+264,"dddd")</f>
        <v>Saturday</v>
      </c>
      <c r="B129" s="13" t="n">
        <f aca="false">Setup!$C$5+264</f>
        <v>46291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TEXT(Setup!$C$5+264,"dddd")</f>
        <v>Saturday</v>
      </c>
      <c r="B130" s="13" t="n">
        <f aca="false">Setup!$C$5+264</f>
        <v>46291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TEXT(Setup!$C$5+264,"dddd")</f>
        <v>Saturday</v>
      </c>
      <c r="B131" s="13" t="n">
        <f aca="false">Setup!$C$5+264</f>
        <v>46291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TEXT(Setup!$C$5+264,"dddd")</f>
        <v>Saturday</v>
      </c>
      <c r="B132" s="13" t="n">
        <f aca="false">Setup!$C$5+264</f>
        <v>46291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TEXT(Setup!$C$5+264,"dddd")</f>
        <v>Saturday</v>
      </c>
      <c r="B133" s="23" t="n">
        <f aca="false">Setup!$C$5+264</f>
        <v>46291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IFERROR(H133-Wk37!H133,"")</f>
        <v>0</v>
      </c>
      <c r="O133" s="24" t="n">
        <f aca="false">IFERROR(D133-Wk37!D133,"")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TEXT(Setup!$C$5+265,"dddd")</f>
        <v>Sunday</v>
      </c>
      <c r="B134" s="13" t="n">
        <f aca="false">Setup!$C$5+265</f>
        <v>46292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TEXT(Setup!$C$5+265,"dddd")</f>
        <v>Sunday</v>
      </c>
      <c r="B135" s="13" t="n">
        <f aca="false">Setup!$C$5+265</f>
        <v>46292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TEXT(Setup!$C$5+265,"dddd")</f>
        <v>Sunday</v>
      </c>
      <c r="B136" s="13" t="n">
        <f aca="false">Setup!$C$5+265</f>
        <v>46292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TEXT(Setup!$C$5+265,"dddd")</f>
        <v>Sunday</v>
      </c>
      <c r="B137" s="13" t="n">
        <f aca="false">Setup!$C$5+265</f>
        <v>46292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TEXT(Setup!$C$5+265,"dddd")</f>
        <v>Sunday</v>
      </c>
      <c r="B138" s="13" t="n">
        <f aca="false">Setup!$C$5+265</f>
        <v>46292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TEXT(Setup!$C$5+265,"dddd")</f>
        <v>Sunday</v>
      </c>
      <c r="B139" s="13" t="n">
        <f aca="false">Setup!$C$5+265</f>
        <v>46292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TEXT(Setup!$C$5+265,"dddd")</f>
        <v>Sunday</v>
      </c>
      <c r="B140" s="13" t="n">
        <f aca="false">Setup!$C$5+265</f>
        <v>46292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TEXT(Setup!$C$5+265,"dddd")</f>
        <v>Sunday</v>
      </c>
      <c r="B141" s="13" t="n">
        <f aca="false">Setup!$C$5+265</f>
        <v>46292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TEXT(Setup!$C$5+265,"dddd")</f>
        <v>Sunday</v>
      </c>
      <c r="B142" s="13" t="n">
        <f aca="false">Setup!$C$5+265</f>
        <v>46292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TEXT(Setup!$C$5+265,"dddd")</f>
        <v>Sunday</v>
      </c>
      <c r="B143" s="13" t="n">
        <f aca="false">Setup!$C$5+265</f>
        <v>46292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TEXT(Setup!$C$5+265,"dddd")</f>
        <v>Sunday</v>
      </c>
      <c r="B144" s="13" t="n">
        <f aca="false">Setup!$C$5+265</f>
        <v>46292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TEXT(Setup!$C$5+265,"dddd")</f>
        <v>Sunday</v>
      </c>
      <c r="B145" s="13" t="n">
        <f aca="false">Setup!$C$5+265</f>
        <v>46292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TEXT(Setup!$C$5+265,"dddd")</f>
        <v>Sunday</v>
      </c>
      <c r="B146" s="13" t="n">
        <f aca="false">Setup!$C$5+265</f>
        <v>46292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TEXT(Setup!$C$5+265,"dddd")</f>
        <v>Sunday</v>
      </c>
      <c r="B147" s="13" t="n">
        <f aca="false">Setup!$C$5+265</f>
        <v>46292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TEXT(Setup!$C$5+265,"dddd")</f>
        <v>Sunday</v>
      </c>
      <c r="B148" s="13" t="n">
        <f aca="false">Setup!$C$5+265</f>
        <v>46292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TEXT(Setup!$C$5+265,"dddd")</f>
        <v>Sunday</v>
      </c>
      <c r="B149" s="13" t="n">
        <f aca="false">Setup!$C$5+265</f>
        <v>46292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TEXT(Setup!$C$5+265,"dddd")</f>
        <v>Sunday</v>
      </c>
      <c r="B150" s="13" t="n">
        <f aca="false">Setup!$C$5+265</f>
        <v>46292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TEXT(Setup!$C$5+265,"dddd")</f>
        <v>Sunday</v>
      </c>
      <c r="B151" s="13" t="n">
        <f aca="false">Setup!$C$5+265</f>
        <v>46292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TEXT(Setup!$C$5+265,"dddd")</f>
        <v>Sunday</v>
      </c>
      <c r="B152" s="13" t="n">
        <f aca="false">Setup!$C$5+265</f>
        <v>46292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TEXT(Setup!$C$5+265,"dddd")</f>
        <v>Sunday</v>
      </c>
      <c r="B153" s="13" t="n">
        <f aca="false">Setup!$C$5+265</f>
        <v>46292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TEXT(Setup!$C$5+265,"dddd")</f>
        <v>Sunday</v>
      </c>
      <c r="B154" s="13" t="n">
        <f aca="false">Setup!$C$5+265</f>
        <v>46292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TEXT(Setup!$C$5+265,"dddd")</f>
        <v>Sunday</v>
      </c>
      <c r="B155" s="23" t="n">
        <f aca="false">Setup!$C$5+265</f>
        <v>46292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IFERROR(H155-Wk37!H155,"")</f>
        <v>0</v>
      </c>
      <c r="O155" s="24" t="n">
        <f aca="false">IFERROR(D155-Wk37!D155,"")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IFERROR(D156-Wk37!D156,"")</f>
        <v>0</v>
      </c>
      <c r="E157" s="34" t="n">
        <f aca="false">IFERROR(E156-Wk37!E156,"")</f>
        <v>0</v>
      </c>
      <c r="H157" s="32" t="n">
        <f aca="false">IFERROR(H156-Wk37!H156,"")</f>
        <v>0</v>
      </c>
      <c r="K157" s="32" t="n">
        <f aca="false">IFERROR(K156-Wk37!K156,"")</f>
        <v>0</v>
      </c>
      <c r="M157" s="32" t="n">
        <f aca="false">IFERROR(M156-Wk37!M156,"")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TEXT(Setup!$C$5+266,"dddd")</f>
        <v>Monday</v>
      </c>
      <c r="B2" s="13" t="n">
        <f aca="false">Setup!$C$5+266</f>
        <v>46293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TEXT(Setup!$C$5+266,"dddd")</f>
        <v>Monday</v>
      </c>
      <c r="B3" s="13" t="n">
        <f aca="false">Setup!$C$5+266</f>
        <v>46293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TEXT(Setup!$C$5+266,"dddd")</f>
        <v>Monday</v>
      </c>
      <c r="B4" s="13" t="n">
        <f aca="false">Setup!$C$5+266</f>
        <v>46293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TEXT(Setup!$C$5+266,"dddd")</f>
        <v>Monday</v>
      </c>
      <c r="B5" s="13" t="n">
        <f aca="false">Setup!$C$5+266</f>
        <v>46293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TEXT(Setup!$C$5+266,"dddd")</f>
        <v>Monday</v>
      </c>
      <c r="B6" s="13" t="n">
        <f aca="false">Setup!$C$5+266</f>
        <v>46293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TEXT(Setup!$C$5+266,"dddd")</f>
        <v>Monday</v>
      </c>
      <c r="B7" s="13" t="n">
        <f aca="false">Setup!$C$5+266</f>
        <v>46293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TEXT(Setup!$C$5+266,"dddd")</f>
        <v>Monday</v>
      </c>
      <c r="B8" s="13" t="n">
        <f aca="false">Setup!$C$5+266</f>
        <v>46293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TEXT(Setup!$C$5+266,"dddd")</f>
        <v>Monday</v>
      </c>
      <c r="B9" s="13" t="n">
        <f aca="false">Setup!$C$5+266</f>
        <v>46293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TEXT(Setup!$C$5+266,"dddd")</f>
        <v>Monday</v>
      </c>
      <c r="B10" s="13" t="n">
        <f aca="false">Setup!$C$5+266</f>
        <v>46293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TEXT(Setup!$C$5+266,"dddd")</f>
        <v>Monday</v>
      </c>
      <c r="B11" s="13" t="n">
        <f aca="false">Setup!$C$5+266</f>
        <v>46293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TEXT(Setup!$C$5+266,"dddd")</f>
        <v>Monday</v>
      </c>
      <c r="B12" s="13" t="n">
        <f aca="false">Setup!$C$5+266</f>
        <v>46293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TEXT(Setup!$C$5+266,"dddd")</f>
        <v>Monday</v>
      </c>
      <c r="B13" s="13" t="n">
        <f aca="false">Setup!$C$5+266</f>
        <v>46293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TEXT(Setup!$C$5+266,"dddd")</f>
        <v>Monday</v>
      </c>
      <c r="B14" s="13" t="n">
        <f aca="false">Setup!$C$5+266</f>
        <v>46293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TEXT(Setup!$C$5+266,"dddd")</f>
        <v>Monday</v>
      </c>
      <c r="B15" s="13" t="n">
        <f aca="false">Setup!$C$5+266</f>
        <v>46293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TEXT(Setup!$C$5+266,"dddd")</f>
        <v>Monday</v>
      </c>
      <c r="B16" s="13" t="n">
        <f aca="false">Setup!$C$5+266</f>
        <v>46293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TEXT(Setup!$C$5+266,"dddd")</f>
        <v>Monday</v>
      </c>
      <c r="B17" s="13" t="n">
        <f aca="false">Setup!$C$5+266</f>
        <v>46293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TEXT(Setup!$C$5+266,"dddd")</f>
        <v>Monday</v>
      </c>
      <c r="B18" s="13" t="n">
        <f aca="false">Setup!$C$5+266</f>
        <v>46293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TEXT(Setup!$C$5+266,"dddd")</f>
        <v>Monday</v>
      </c>
      <c r="B19" s="13" t="n">
        <f aca="false">Setup!$C$5+266</f>
        <v>46293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TEXT(Setup!$C$5+266,"dddd")</f>
        <v>Monday</v>
      </c>
      <c r="B20" s="13" t="n">
        <f aca="false">Setup!$C$5+266</f>
        <v>46293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TEXT(Setup!$C$5+266,"dddd")</f>
        <v>Monday</v>
      </c>
      <c r="B21" s="13" t="n">
        <f aca="false">Setup!$C$5+266</f>
        <v>46293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TEXT(Setup!$C$5+266,"dddd")</f>
        <v>Monday</v>
      </c>
      <c r="B22" s="13" t="n">
        <f aca="false">Setup!$C$5+266</f>
        <v>46293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TEXT(Setup!$C$5+266,"dddd")</f>
        <v>Monday</v>
      </c>
      <c r="B23" s="23" t="n">
        <f aca="false">Setup!$C$5+266</f>
        <v>46293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IFERROR(H23-Wk38!H23,"")</f>
        <v>0</v>
      </c>
      <c r="O23" s="24" t="n">
        <f aca="false">IFERROR(D23-Wk38!D23,"")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TEXT(Setup!$C$5+267,"dddd")</f>
        <v>Tuesday</v>
      </c>
      <c r="B24" s="13" t="n">
        <f aca="false">Setup!$C$5+267</f>
        <v>46294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TEXT(Setup!$C$5+267,"dddd")</f>
        <v>Tuesday</v>
      </c>
      <c r="B25" s="13" t="n">
        <f aca="false">Setup!$C$5+267</f>
        <v>46294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TEXT(Setup!$C$5+267,"dddd")</f>
        <v>Tuesday</v>
      </c>
      <c r="B26" s="13" t="n">
        <f aca="false">Setup!$C$5+267</f>
        <v>46294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TEXT(Setup!$C$5+267,"dddd")</f>
        <v>Tuesday</v>
      </c>
      <c r="B27" s="13" t="n">
        <f aca="false">Setup!$C$5+267</f>
        <v>46294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TEXT(Setup!$C$5+267,"dddd")</f>
        <v>Tuesday</v>
      </c>
      <c r="B28" s="13" t="n">
        <f aca="false">Setup!$C$5+267</f>
        <v>46294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TEXT(Setup!$C$5+267,"dddd")</f>
        <v>Tuesday</v>
      </c>
      <c r="B29" s="13" t="n">
        <f aca="false">Setup!$C$5+267</f>
        <v>46294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TEXT(Setup!$C$5+267,"dddd")</f>
        <v>Tuesday</v>
      </c>
      <c r="B30" s="13" t="n">
        <f aca="false">Setup!$C$5+267</f>
        <v>46294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TEXT(Setup!$C$5+267,"dddd")</f>
        <v>Tuesday</v>
      </c>
      <c r="B31" s="13" t="n">
        <f aca="false">Setup!$C$5+267</f>
        <v>46294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TEXT(Setup!$C$5+267,"dddd")</f>
        <v>Tuesday</v>
      </c>
      <c r="B32" s="13" t="n">
        <f aca="false">Setup!$C$5+267</f>
        <v>46294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TEXT(Setup!$C$5+267,"dddd")</f>
        <v>Tuesday</v>
      </c>
      <c r="B33" s="13" t="n">
        <f aca="false">Setup!$C$5+267</f>
        <v>46294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TEXT(Setup!$C$5+267,"dddd")</f>
        <v>Tuesday</v>
      </c>
      <c r="B34" s="13" t="n">
        <f aca="false">Setup!$C$5+267</f>
        <v>46294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TEXT(Setup!$C$5+267,"dddd")</f>
        <v>Tuesday</v>
      </c>
      <c r="B35" s="13" t="n">
        <f aca="false">Setup!$C$5+267</f>
        <v>46294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TEXT(Setup!$C$5+267,"dddd")</f>
        <v>Tuesday</v>
      </c>
      <c r="B36" s="13" t="n">
        <f aca="false">Setup!$C$5+267</f>
        <v>46294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TEXT(Setup!$C$5+267,"dddd")</f>
        <v>Tuesday</v>
      </c>
      <c r="B37" s="13" t="n">
        <f aca="false">Setup!$C$5+267</f>
        <v>46294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TEXT(Setup!$C$5+267,"dddd")</f>
        <v>Tuesday</v>
      </c>
      <c r="B38" s="13" t="n">
        <f aca="false">Setup!$C$5+267</f>
        <v>46294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TEXT(Setup!$C$5+267,"dddd")</f>
        <v>Tuesday</v>
      </c>
      <c r="B39" s="13" t="n">
        <f aca="false">Setup!$C$5+267</f>
        <v>46294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TEXT(Setup!$C$5+267,"dddd")</f>
        <v>Tuesday</v>
      </c>
      <c r="B40" s="13" t="n">
        <f aca="false">Setup!$C$5+267</f>
        <v>46294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TEXT(Setup!$C$5+267,"dddd")</f>
        <v>Tuesday</v>
      </c>
      <c r="B41" s="13" t="n">
        <f aca="false">Setup!$C$5+267</f>
        <v>46294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TEXT(Setup!$C$5+267,"dddd")</f>
        <v>Tuesday</v>
      </c>
      <c r="B42" s="13" t="n">
        <f aca="false">Setup!$C$5+267</f>
        <v>46294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TEXT(Setup!$C$5+267,"dddd")</f>
        <v>Tuesday</v>
      </c>
      <c r="B43" s="13" t="n">
        <f aca="false">Setup!$C$5+267</f>
        <v>46294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TEXT(Setup!$C$5+267,"dddd")</f>
        <v>Tuesday</v>
      </c>
      <c r="B44" s="13" t="n">
        <f aca="false">Setup!$C$5+267</f>
        <v>46294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TEXT(Setup!$C$5+267,"dddd")</f>
        <v>Tuesday</v>
      </c>
      <c r="B45" s="23" t="n">
        <f aca="false">Setup!$C$5+267</f>
        <v>46294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IFERROR(H45-Wk38!H45,"")</f>
        <v>0</v>
      </c>
      <c r="O45" s="24" t="n">
        <f aca="false">IFERROR(D45-Wk38!D45,"")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TEXT(Setup!$C$5+268,"dddd")</f>
        <v>Wednesday</v>
      </c>
      <c r="B46" s="13" t="n">
        <f aca="false">Setup!$C$5+268</f>
        <v>46295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TEXT(Setup!$C$5+268,"dddd")</f>
        <v>Wednesday</v>
      </c>
      <c r="B47" s="13" t="n">
        <f aca="false">Setup!$C$5+268</f>
        <v>46295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TEXT(Setup!$C$5+268,"dddd")</f>
        <v>Wednesday</v>
      </c>
      <c r="B48" s="13" t="n">
        <f aca="false">Setup!$C$5+268</f>
        <v>46295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TEXT(Setup!$C$5+268,"dddd")</f>
        <v>Wednesday</v>
      </c>
      <c r="B49" s="13" t="n">
        <f aca="false">Setup!$C$5+268</f>
        <v>46295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TEXT(Setup!$C$5+268,"dddd")</f>
        <v>Wednesday</v>
      </c>
      <c r="B50" s="13" t="n">
        <f aca="false">Setup!$C$5+268</f>
        <v>46295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TEXT(Setup!$C$5+268,"dddd")</f>
        <v>Wednesday</v>
      </c>
      <c r="B51" s="13" t="n">
        <f aca="false">Setup!$C$5+268</f>
        <v>46295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TEXT(Setup!$C$5+268,"dddd")</f>
        <v>Wednesday</v>
      </c>
      <c r="B52" s="13" t="n">
        <f aca="false">Setup!$C$5+268</f>
        <v>46295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TEXT(Setup!$C$5+268,"dddd")</f>
        <v>Wednesday</v>
      </c>
      <c r="B53" s="13" t="n">
        <f aca="false">Setup!$C$5+268</f>
        <v>46295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TEXT(Setup!$C$5+268,"dddd")</f>
        <v>Wednesday</v>
      </c>
      <c r="B54" s="13" t="n">
        <f aca="false">Setup!$C$5+268</f>
        <v>46295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TEXT(Setup!$C$5+268,"dddd")</f>
        <v>Wednesday</v>
      </c>
      <c r="B55" s="13" t="n">
        <f aca="false">Setup!$C$5+268</f>
        <v>46295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TEXT(Setup!$C$5+268,"dddd")</f>
        <v>Wednesday</v>
      </c>
      <c r="B56" s="13" t="n">
        <f aca="false">Setup!$C$5+268</f>
        <v>46295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TEXT(Setup!$C$5+268,"dddd")</f>
        <v>Wednesday</v>
      </c>
      <c r="B57" s="13" t="n">
        <f aca="false">Setup!$C$5+268</f>
        <v>46295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TEXT(Setup!$C$5+268,"dddd")</f>
        <v>Wednesday</v>
      </c>
      <c r="B58" s="13" t="n">
        <f aca="false">Setup!$C$5+268</f>
        <v>46295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TEXT(Setup!$C$5+268,"dddd")</f>
        <v>Wednesday</v>
      </c>
      <c r="B59" s="13" t="n">
        <f aca="false">Setup!$C$5+268</f>
        <v>46295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TEXT(Setup!$C$5+268,"dddd")</f>
        <v>Wednesday</v>
      </c>
      <c r="B60" s="13" t="n">
        <f aca="false">Setup!$C$5+268</f>
        <v>46295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TEXT(Setup!$C$5+268,"dddd")</f>
        <v>Wednesday</v>
      </c>
      <c r="B61" s="13" t="n">
        <f aca="false">Setup!$C$5+268</f>
        <v>46295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TEXT(Setup!$C$5+268,"dddd")</f>
        <v>Wednesday</v>
      </c>
      <c r="B62" s="13" t="n">
        <f aca="false">Setup!$C$5+268</f>
        <v>46295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TEXT(Setup!$C$5+268,"dddd")</f>
        <v>Wednesday</v>
      </c>
      <c r="B63" s="13" t="n">
        <f aca="false">Setup!$C$5+268</f>
        <v>46295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TEXT(Setup!$C$5+268,"dddd")</f>
        <v>Wednesday</v>
      </c>
      <c r="B64" s="13" t="n">
        <f aca="false">Setup!$C$5+268</f>
        <v>46295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TEXT(Setup!$C$5+268,"dddd")</f>
        <v>Wednesday</v>
      </c>
      <c r="B65" s="13" t="n">
        <f aca="false">Setup!$C$5+268</f>
        <v>46295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TEXT(Setup!$C$5+268,"dddd")</f>
        <v>Wednesday</v>
      </c>
      <c r="B66" s="13" t="n">
        <f aca="false">Setup!$C$5+268</f>
        <v>46295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TEXT(Setup!$C$5+268,"dddd")</f>
        <v>Wednesday</v>
      </c>
      <c r="B67" s="23" t="n">
        <f aca="false">Setup!$C$5+268</f>
        <v>46295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IFERROR(H67-Wk38!H67,"")</f>
        <v>0</v>
      </c>
      <c r="O67" s="24" t="n">
        <f aca="false">IFERROR(D67-Wk38!D67,"")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TEXT(Setup!$C$5+269,"dddd")</f>
        <v>Thursday</v>
      </c>
      <c r="B68" s="13" t="n">
        <f aca="false">Setup!$C$5+269</f>
        <v>46296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TEXT(Setup!$C$5+269,"dddd")</f>
        <v>Thursday</v>
      </c>
      <c r="B69" s="13" t="n">
        <f aca="false">Setup!$C$5+269</f>
        <v>46296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TEXT(Setup!$C$5+269,"dddd")</f>
        <v>Thursday</v>
      </c>
      <c r="B70" s="13" t="n">
        <f aca="false">Setup!$C$5+269</f>
        <v>46296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TEXT(Setup!$C$5+269,"dddd")</f>
        <v>Thursday</v>
      </c>
      <c r="B71" s="13" t="n">
        <f aca="false">Setup!$C$5+269</f>
        <v>46296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TEXT(Setup!$C$5+269,"dddd")</f>
        <v>Thursday</v>
      </c>
      <c r="B72" s="13" t="n">
        <f aca="false">Setup!$C$5+269</f>
        <v>46296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TEXT(Setup!$C$5+269,"dddd")</f>
        <v>Thursday</v>
      </c>
      <c r="B73" s="13" t="n">
        <f aca="false">Setup!$C$5+269</f>
        <v>46296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TEXT(Setup!$C$5+269,"dddd")</f>
        <v>Thursday</v>
      </c>
      <c r="B74" s="13" t="n">
        <f aca="false">Setup!$C$5+269</f>
        <v>46296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TEXT(Setup!$C$5+269,"dddd")</f>
        <v>Thursday</v>
      </c>
      <c r="B75" s="13" t="n">
        <f aca="false">Setup!$C$5+269</f>
        <v>46296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TEXT(Setup!$C$5+269,"dddd")</f>
        <v>Thursday</v>
      </c>
      <c r="B76" s="13" t="n">
        <f aca="false">Setup!$C$5+269</f>
        <v>46296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TEXT(Setup!$C$5+269,"dddd")</f>
        <v>Thursday</v>
      </c>
      <c r="B77" s="13" t="n">
        <f aca="false">Setup!$C$5+269</f>
        <v>46296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TEXT(Setup!$C$5+269,"dddd")</f>
        <v>Thursday</v>
      </c>
      <c r="B78" s="13" t="n">
        <f aca="false">Setup!$C$5+269</f>
        <v>46296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TEXT(Setup!$C$5+269,"dddd")</f>
        <v>Thursday</v>
      </c>
      <c r="B79" s="13" t="n">
        <f aca="false">Setup!$C$5+269</f>
        <v>46296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TEXT(Setup!$C$5+269,"dddd")</f>
        <v>Thursday</v>
      </c>
      <c r="B80" s="13" t="n">
        <f aca="false">Setup!$C$5+269</f>
        <v>46296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TEXT(Setup!$C$5+269,"dddd")</f>
        <v>Thursday</v>
      </c>
      <c r="B81" s="13" t="n">
        <f aca="false">Setup!$C$5+269</f>
        <v>46296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TEXT(Setup!$C$5+269,"dddd")</f>
        <v>Thursday</v>
      </c>
      <c r="B82" s="13" t="n">
        <f aca="false">Setup!$C$5+269</f>
        <v>46296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TEXT(Setup!$C$5+269,"dddd")</f>
        <v>Thursday</v>
      </c>
      <c r="B83" s="13" t="n">
        <f aca="false">Setup!$C$5+269</f>
        <v>46296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TEXT(Setup!$C$5+269,"dddd")</f>
        <v>Thursday</v>
      </c>
      <c r="B84" s="13" t="n">
        <f aca="false">Setup!$C$5+269</f>
        <v>46296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TEXT(Setup!$C$5+269,"dddd")</f>
        <v>Thursday</v>
      </c>
      <c r="B85" s="13" t="n">
        <f aca="false">Setup!$C$5+269</f>
        <v>46296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TEXT(Setup!$C$5+269,"dddd")</f>
        <v>Thursday</v>
      </c>
      <c r="B86" s="13" t="n">
        <f aca="false">Setup!$C$5+269</f>
        <v>46296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TEXT(Setup!$C$5+269,"dddd")</f>
        <v>Thursday</v>
      </c>
      <c r="B87" s="13" t="n">
        <f aca="false">Setup!$C$5+269</f>
        <v>46296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TEXT(Setup!$C$5+269,"dddd")</f>
        <v>Thursday</v>
      </c>
      <c r="B88" s="13" t="n">
        <f aca="false">Setup!$C$5+269</f>
        <v>46296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TEXT(Setup!$C$5+269,"dddd")</f>
        <v>Thursday</v>
      </c>
      <c r="B89" s="23" t="n">
        <f aca="false">Setup!$C$5+269</f>
        <v>46296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IFERROR(H89-Wk38!H89,"")</f>
        <v>0</v>
      </c>
      <c r="O89" s="24" t="n">
        <f aca="false">IFERROR(D89-Wk38!D89,"")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TEXT(Setup!$C$5+270,"dddd")</f>
        <v>Friday</v>
      </c>
      <c r="B90" s="13" t="n">
        <f aca="false">Setup!$C$5+270</f>
        <v>46297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TEXT(Setup!$C$5+270,"dddd")</f>
        <v>Friday</v>
      </c>
      <c r="B91" s="13" t="n">
        <f aca="false">Setup!$C$5+270</f>
        <v>46297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TEXT(Setup!$C$5+270,"dddd")</f>
        <v>Friday</v>
      </c>
      <c r="B92" s="13" t="n">
        <f aca="false">Setup!$C$5+270</f>
        <v>46297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TEXT(Setup!$C$5+270,"dddd")</f>
        <v>Friday</v>
      </c>
      <c r="B93" s="13" t="n">
        <f aca="false">Setup!$C$5+270</f>
        <v>46297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TEXT(Setup!$C$5+270,"dddd")</f>
        <v>Friday</v>
      </c>
      <c r="B94" s="13" t="n">
        <f aca="false">Setup!$C$5+270</f>
        <v>46297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TEXT(Setup!$C$5+270,"dddd")</f>
        <v>Friday</v>
      </c>
      <c r="B95" s="13" t="n">
        <f aca="false">Setup!$C$5+270</f>
        <v>46297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TEXT(Setup!$C$5+270,"dddd")</f>
        <v>Friday</v>
      </c>
      <c r="B96" s="13" t="n">
        <f aca="false">Setup!$C$5+270</f>
        <v>46297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TEXT(Setup!$C$5+270,"dddd")</f>
        <v>Friday</v>
      </c>
      <c r="B97" s="13" t="n">
        <f aca="false">Setup!$C$5+270</f>
        <v>46297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TEXT(Setup!$C$5+270,"dddd")</f>
        <v>Friday</v>
      </c>
      <c r="B98" s="13" t="n">
        <f aca="false">Setup!$C$5+270</f>
        <v>46297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TEXT(Setup!$C$5+270,"dddd")</f>
        <v>Friday</v>
      </c>
      <c r="B99" s="13" t="n">
        <f aca="false">Setup!$C$5+270</f>
        <v>46297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TEXT(Setup!$C$5+270,"dddd")</f>
        <v>Friday</v>
      </c>
      <c r="B100" s="13" t="n">
        <f aca="false">Setup!$C$5+270</f>
        <v>46297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TEXT(Setup!$C$5+270,"dddd")</f>
        <v>Friday</v>
      </c>
      <c r="B101" s="13" t="n">
        <f aca="false">Setup!$C$5+270</f>
        <v>46297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TEXT(Setup!$C$5+270,"dddd")</f>
        <v>Friday</v>
      </c>
      <c r="B102" s="13" t="n">
        <f aca="false">Setup!$C$5+270</f>
        <v>46297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TEXT(Setup!$C$5+270,"dddd")</f>
        <v>Friday</v>
      </c>
      <c r="B103" s="13" t="n">
        <f aca="false">Setup!$C$5+270</f>
        <v>46297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TEXT(Setup!$C$5+270,"dddd")</f>
        <v>Friday</v>
      </c>
      <c r="B104" s="13" t="n">
        <f aca="false">Setup!$C$5+270</f>
        <v>46297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TEXT(Setup!$C$5+270,"dddd")</f>
        <v>Friday</v>
      </c>
      <c r="B105" s="13" t="n">
        <f aca="false">Setup!$C$5+270</f>
        <v>46297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TEXT(Setup!$C$5+270,"dddd")</f>
        <v>Friday</v>
      </c>
      <c r="B106" s="13" t="n">
        <f aca="false">Setup!$C$5+270</f>
        <v>46297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TEXT(Setup!$C$5+270,"dddd")</f>
        <v>Friday</v>
      </c>
      <c r="B107" s="13" t="n">
        <f aca="false">Setup!$C$5+270</f>
        <v>46297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TEXT(Setup!$C$5+270,"dddd")</f>
        <v>Friday</v>
      </c>
      <c r="B108" s="13" t="n">
        <f aca="false">Setup!$C$5+270</f>
        <v>46297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TEXT(Setup!$C$5+270,"dddd")</f>
        <v>Friday</v>
      </c>
      <c r="B109" s="13" t="n">
        <f aca="false">Setup!$C$5+270</f>
        <v>46297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TEXT(Setup!$C$5+270,"dddd")</f>
        <v>Friday</v>
      </c>
      <c r="B110" s="13" t="n">
        <f aca="false">Setup!$C$5+270</f>
        <v>46297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TEXT(Setup!$C$5+270,"dddd")</f>
        <v>Friday</v>
      </c>
      <c r="B111" s="23" t="n">
        <f aca="false">Setup!$C$5+270</f>
        <v>46297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IFERROR(H111-Wk38!H111,"")</f>
        <v>0</v>
      </c>
      <c r="O111" s="24" t="n">
        <f aca="false">IFERROR(D111-Wk38!D111,"")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TEXT(Setup!$C$5+271,"dddd")</f>
        <v>Saturday</v>
      </c>
      <c r="B112" s="13" t="n">
        <f aca="false">Setup!$C$5+271</f>
        <v>46298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TEXT(Setup!$C$5+271,"dddd")</f>
        <v>Saturday</v>
      </c>
      <c r="B113" s="13" t="n">
        <f aca="false">Setup!$C$5+271</f>
        <v>46298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TEXT(Setup!$C$5+271,"dddd")</f>
        <v>Saturday</v>
      </c>
      <c r="B114" s="13" t="n">
        <f aca="false">Setup!$C$5+271</f>
        <v>46298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TEXT(Setup!$C$5+271,"dddd")</f>
        <v>Saturday</v>
      </c>
      <c r="B115" s="13" t="n">
        <f aca="false">Setup!$C$5+271</f>
        <v>46298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TEXT(Setup!$C$5+271,"dddd")</f>
        <v>Saturday</v>
      </c>
      <c r="B116" s="13" t="n">
        <f aca="false">Setup!$C$5+271</f>
        <v>46298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TEXT(Setup!$C$5+271,"dddd")</f>
        <v>Saturday</v>
      </c>
      <c r="B117" s="13" t="n">
        <f aca="false">Setup!$C$5+271</f>
        <v>46298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TEXT(Setup!$C$5+271,"dddd")</f>
        <v>Saturday</v>
      </c>
      <c r="B118" s="13" t="n">
        <f aca="false">Setup!$C$5+271</f>
        <v>46298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TEXT(Setup!$C$5+271,"dddd")</f>
        <v>Saturday</v>
      </c>
      <c r="B119" s="13" t="n">
        <f aca="false">Setup!$C$5+271</f>
        <v>46298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TEXT(Setup!$C$5+271,"dddd")</f>
        <v>Saturday</v>
      </c>
      <c r="B120" s="13" t="n">
        <f aca="false">Setup!$C$5+271</f>
        <v>46298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TEXT(Setup!$C$5+271,"dddd")</f>
        <v>Saturday</v>
      </c>
      <c r="B121" s="13" t="n">
        <f aca="false">Setup!$C$5+271</f>
        <v>46298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TEXT(Setup!$C$5+271,"dddd")</f>
        <v>Saturday</v>
      </c>
      <c r="B122" s="13" t="n">
        <f aca="false">Setup!$C$5+271</f>
        <v>46298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TEXT(Setup!$C$5+271,"dddd")</f>
        <v>Saturday</v>
      </c>
      <c r="B123" s="13" t="n">
        <f aca="false">Setup!$C$5+271</f>
        <v>46298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TEXT(Setup!$C$5+271,"dddd")</f>
        <v>Saturday</v>
      </c>
      <c r="B124" s="13" t="n">
        <f aca="false">Setup!$C$5+271</f>
        <v>46298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TEXT(Setup!$C$5+271,"dddd")</f>
        <v>Saturday</v>
      </c>
      <c r="B125" s="13" t="n">
        <f aca="false">Setup!$C$5+271</f>
        <v>46298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TEXT(Setup!$C$5+271,"dddd")</f>
        <v>Saturday</v>
      </c>
      <c r="B126" s="13" t="n">
        <f aca="false">Setup!$C$5+271</f>
        <v>46298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TEXT(Setup!$C$5+271,"dddd")</f>
        <v>Saturday</v>
      </c>
      <c r="B127" s="13" t="n">
        <f aca="false">Setup!$C$5+271</f>
        <v>46298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TEXT(Setup!$C$5+271,"dddd")</f>
        <v>Saturday</v>
      </c>
      <c r="B128" s="13" t="n">
        <f aca="false">Setup!$C$5+271</f>
        <v>46298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TEXT(Setup!$C$5+271,"dddd")</f>
        <v>Saturday</v>
      </c>
      <c r="B129" s="13" t="n">
        <f aca="false">Setup!$C$5+271</f>
        <v>46298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TEXT(Setup!$C$5+271,"dddd")</f>
        <v>Saturday</v>
      </c>
      <c r="B130" s="13" t="n">
        <f aca="false">Setup!$C$5+271</f>
        <v>46298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TEXT(Setup!$C$5+271,"dddd")</f>
        <v>Saturday</v>
      </c>
      <c r="B131" s="13" t="n">
        <f aca="false">Setup!$C$5+271</f>
        <v>46298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TEXT(Setup!$C$5+271,"dddd")</f>
        <v>Saturday</v>
      </c>
      <c r="B132" s="13" t="n">
        <f aca="false">Setup!$C$5+271</f>
        <v>46298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TEXT(Setup!$C$5+271,"dddd")</f>
        <v>Saturday</v>
      </c>
      <c r="B133" s="23" t="n">
        <f aca="false">Setup!$C$5+271</f>
        <v>46298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IFERROR(H133-Wk38!H133,"")</f>
        <v>0</v>
      </c>
      <c r="O133" s="24" t="n">
        <f aca="false">IFERROR(D133-Wk38!D133,"")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TEXT(Setup!$C$5+272,"dddd")</f>
        <v>Sunday</v>
      </c>
      <c r="B134" s="13" t="n">
        <f aca="false">Setup!$C$5+272</f>
        <v>46299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TEXT(Setup!$C$5+272,"dddd")</f>
        <v>Sunday</v>
      </c>
      <c r="B135" s="13" t="n">
        <f aca="false">Setup!$C$5+272</f>
        <v>46299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TEXT(Setup!$C$5+272,"dddd")</f>
        <v>Sunday</v>
      </c>
      <c r="B136" s="13" t="n">
        <f aca="false">Setup!$C$5+272</f>
        <v>46299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TEXT(Setup!$C$5+272,"dddd")</f>
        <v>Sunday</v>
      </c>
      <c r="B137" s="13" t="n">
        <f aca="false">Setup!$C$5+272</f>
        <v>46299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TEXT(Setup!$C$5+272,"dddd")</f>
        <v>Sunday</v>
      </c>
      <c r="B138" s="13" t="n">
        <f aca="false">Setup!$C$5+272</f>
        <v>46299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TEXT(Setup!$C$5+272,"dddd")</f>
        <v>Sunday</v>
      </c>
      <c r="B139" s="13" t="n">
        <f aca="false">Setup!$C$5+272</f>
        <v>46299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TEXT(Setup!$C$5+272,"dddd")</f>
        <v>Sunday</v>
      </c>
      <c r="B140" s="13" t="n">
        <f aca="false">Setup!$C$5+272</f>
        <v>46299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TEXT(Setup!$C$5+272,"dddd")</f>
        <v>Sunday</v>
      </c>
      <c r="B141" s="13" t="n">
        <f aca="false">Setup!$C$5+272</f>
        <v>46299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TEXT(Setup!$C$5+272,"dddd")</f>
        <v>Sunday</v>
      </c>
      <c r="B142" s="13" t="n">
        <f aca="false">Setup!$C$5+272</f>
        <v>46299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TEXT(Setup!$C$5+272,"dddd")</f>
        <v>Sunday</v>
      </c>
      <c r="B143" s="13" t="n">
        <f aca="false">Setup!$C$5+272</f>
        <v>46299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TEXT(Setup!$C$5+272,"dddd")</f>
        <v>Sunday</v>
      </c>
      <c r="B144" s="13" t="n">
        <f aca="false">Setup!$C$5+272</f>
        <v>46299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TEXT(Setup!$C$5+272,"dddd")</f>
        <v>Sunday</v>
      </c>
      <c r="B145" s="13" t="n">
        <f aca="false">Setup!$C$5+272</f>
        <v>46299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TEXT(Setup!$C$5+272,"dddd")</f>
        <v>Sunday</v>
      </c>
      <c r="B146" s="13" t="n">
        <f aca="false">Setup!$C$5+272</f>
        <v>46299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TEXT(Setup!$C$5+272,"dddd")</f>
        <v>Sunday</v>
      </c>
      <c r="B147" s="13" t="n">
        <f aca="false">Setup!$C$5+272</f>
        <v>46299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TEXT(Setup!$C$5+272,"dddd")</f>
        <v>Sunday</v>
      </c>
      <c r="B148" s="13" t="n">
        <f aca="false">Setup!$C$5+272</f>
        <v>46299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TEXT(Setup!$C$5+272,"dddd")</f>
        <v>Sunday</v>
      </c>
      <c r="B149" s="13" t="n">
        <f aca="false">Setup!$C$5+272</f>
        <v>46299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TEXT(Setup!$C$5+272,"dddd")</f>
        <v>Sunday</v>
      </c>
      <c r="B150" s="13" t="n">
        <f aca="false">Setup!$C$5+272</f>
        <v>46299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TEXT(Setup!$C$5+272,"dddd")</f>
        <v>Sunday</v>
      </c>
      <c r="B151" s="13" t="n">
        <f aca="false">Setup!$C$5+272</f>
        <v>46299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TEXT(Setup!$C$5+272,"dddd")</f>
        <v>Sunday</v>
      </c>
      <c r="B152" s="13" t="n">
        <f aca="false">Setup!$C$5+272</f>
        <v>46299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TEXT(Setup!$C$5+272,"dddd")</f>
        <v>Sunday</v>
      </c>
      <c r="B153" s="13" t="n">
        <f aca="false">Setup!$C$5+272</f>
        <v>46299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TEXT(Setup!$C$5+272,"dddd")</f>
        <v>Sunday</v>
      </c>
      <c r="B154" s="13" t="n">
        <f aca="false">Setup!$C$5+272</f>
        <v>46299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TEXT(Setup!$C$5+272,"dddd")</f>
        <v>Sunday</v>
      </c>
      <c r="B155" s="23" t="n">
        <f aca="false">Setup!$C$5+272</f>
        <v>46299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IFERROR(H155-Wk38!H155,"")</f>
        <v>0</v>
      </c>
      <c r="O155" s="24" t="n">
        <f aca="false">IFERROR(D155-Wk38!D155,"")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IFERROR(D156-Wk38!D156,"")</f>
        <v>0</v>
      </c>
      <c r="E157" s="34" t="n">
        <f aca="false">IFERROR(E156-Wk38!E156,"")</f>
        <v>0</v>
      </c>
      <c r="H157" s="32" t="n">
        <f aca="false">IFERROR(H156-Wk38!H156,"")</f>
        <v>0</v>
      </c>
      <c r="K157" s="32" t="n">
        <f aca="false">IFERROR(K156-Wk38!K156,"")</f>
        <v>0</v>
      </c>
      <c r="M157" s="32" t="n">
        <f aca="false">IFERROR(M156-Wk38!M156,"")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TEXT(Setup!$C$5+273,"dddd")</f>
        <v>Monday</v>
      </c>
      <c r="B2" s="13" t="n">
        <f aca="false">Setup!$C$5+273</f>
        <v>46300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TEXT(Setup!$C$5+273,"dddd")</f>
        <v>Monday</v>
      </c>
      <c r="B3" s="13" t="n">
        <f aca="false">Setup!$C$5+273</f>
        <v>46300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TEXT(Setup!$C$5+273,"dddd")</f>
        <v>Monday</v>
      </c>
      <c r="B4" s="13" t="n">
        <f aca="false">Setup!$C$5+273</f>
        <v>46300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TEXT(Setup!$C$5+273,"dddd")</f>
        <v>Monday</v>
      </c>
      <c r="B5" s="13" t="n">
        <f aca="false">Setup!$C$5+273</f>
        <v>46300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TEXT(Setup!$C$5+273,"dddd")</f>
        <v>Monday</v>
      </c>
      <c r="B6" s="13" t="n">
        <f aca="false">Setup!$C$5+273</f>
        <v>46300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TEXT(Setup!$C$5+273,"dddd")</f>
        <v>Monday</v>
      </c>
      <c r="B7" s="13" t="n">
        <f aca="false">Setup!$C$5+273</f>
        <v>46300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TEXT(Setup!$C$5+273,"dddd")</f>
        <v>Monday</v>
      </c>
      <c r="B8" s="13" t="n">
        <f aca="false">Setup!$C$5+273</f>
        <v>46300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TEXT(Setup!$C$5+273,"dddd")</f>
        <v>Monday</v>
      </c>
      <c r="B9" s="13" t="n">
        <f aca="false">Setup!$C$5+273</f>
        <v>46300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TEXT(Setup!$C$5+273,"dddd")</f>
        <v>Monday</v>
      </c>
      <c r="B10" s="13" t="n">
        <f aca="false">Setup!$C$5+273</f>
        <v>46300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TEXT(Setup!$C$5+273,"dddd")</f>
        <v>Monday</v>
      </c>
      <c r="B11" s="13" t="n">
        <f aca="false">Setup!$C$5+273</f>
        <v>46300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TEXT(Setup!$C$5+273,"dddd")</f>
        <v>Monday</v>
      </c>
      <c r="B12" s="13" t="n">
        <f aca="false">Setup!$C$5+273</f>
        <v>46300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TEXT(Setup!$C$5+273,"dddd")</f>
        <v>Monday</v>
      </c>
      <c r="B13" s="13" t="n">
        <f aca="false">Setup!$C$5+273</f>
        <v>46300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TEXT(Setup!$C$5+273,"dddd")</f>
        <v>Monday</v>
      </c>
      <c r="B14" s="13" t="n">
        <f aca="false">Setup!$C$5+273</f>
        <v>46300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TEXT(Setup!$C$5+273,"dddd")</f>
        <v>Monday</v>
      </c>
      <c r="B15" s="13" t="n">
        <f aca="false">Setup!$C$5+273</f>
        <v>46300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TEXT(Setup!$C$5+273,"dddd")</f>
        <v>Monday</v>
      </c>
      <c r="B16" s="13" t="n">
        <f aca="false">Setup!$C$5+273</f>
        <v>46300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TEXT(Setup!$C$5+273,"dddd")</f>
        <v>Monday</v>
      </c>
      <c r="B17" s="13" t="n">
        <f aca="false">Setup!$C$5+273</f>
        <v>46300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TEXT(Setup!$C$5+273,"dddd")</f>
        <v>Monday</v>
      </c>
      <c r="B18" s="13" t="n">
        <f aca="false">Setup!$C$5+273</f>
        <v>46300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TEXT(Setup!$C$5+273,"dddd")</f>
        <v>Monday</v>
      </c>
      <c r="B19" s="13" t="n">
        <f aca="false">Setup!$C$5+273</f>
        <v>46300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TEXT(Setup!$C$5+273,"dddd")</f>
        <v>Monday</v>
      </c>
      <c r="B20" s="13" t="n">
        <f aca="false">Setup!$C$5+273</f>
        <v>46300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TEXT(Setup!$C$5+273,"dddd")</f>
        <v>Monday</v>
      </c>
      <c r="B21" s="13" t="n">
        <f aca="false">Setup!$C$5+273</f>
        <v>46300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TEXT(Setup!$C$5+273,"dddd")</f>
        <v>Monday</v>
      </c>
      <c r="B22" s="13" t="n">
        <f aca="false">Setup!$C$5+273</f>
        <v>46300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TEXT(Setup!$C$5+273,"dddd")</f>
        <v>Monday</v>
      </c>
      <c r="B23" s="23" t="n">
        <f aca="false">Setup!$C$5+273</f>
        <v>46300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IFERROR(H23-Wk39!H23,"")</f>
        <v>0</v>
      </c>
      <c r="O23" s="24" t="n">
        <f aca="false">IFERROR(D23-Wk39!D23,"")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TEXT(Setup!$C$5+274,"dddd")</f>
        <v>Tuesday</v>
      </c>
      <c r="B24" s="13" t="n">
        <f aca="false">Setup!$C$5+274</f>
        <v>46301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TEXT(Setup!$C$5+274,"dddd")</f>
        <v>Tuesday</v>
      </c>
      <c r="B25" s="13" t="n">
        <f aca="false">Setup!$C$5+274</f>
        <v>46301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TEXT(Setup!$C$5+274,"dddd")</f>
        <v>Tuesday</v>
      </c>
      <c r="B26" s="13" t="n">
        <f aca="false">Setup!$C$5+274</f>
        <v>46301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TEXT(Setup!$C$5+274,"dddd")</f>
        <v>Tuesday</v>
      </c>
      <c r="B27" s="13" t="n">
        <f aca="false">Setup!$C$5+274</f>
        <v>46301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TEXT(Setup!$C$5+274,"dddd")</f>
        <v>Tuesday</v>
      </c>
      <c r="B28" s="13" t="n">
        <f aca="false">Setup!$C$5+274</f>
        <v>46301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TEXT(Setup!$C$5+274,"dddd")</f>
        <v>Tuesday</v>
      </c>
      <c r="B29" s="13" t="n">
        <f aca="false">Setup!$C$5+274</f>
        <v>46301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TEXT(Setup!$C$5+274,"dddd")</f>
        <v>Tuesday</v>
      </c>
      <c r="B30" s="13" t="n">
        <f aca="false">Setup!$C$5+274</f>
        <v>46301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TEXT(Setup!$C$5+274,"dddd")</f>
        <v>Tuesday</v>
      </c>
      <c r="B31" s="13" t="n">
        <f aca="false">Setup!$C$5+274</f>
        <v>46301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TEXT(Setup!$C$5+274,"dddd")</f>
        <v>Tuesday</v>
      </c>
      <c r="B32" s="13" t="n">
        <f aca="false">Setup!$C$5+274</f>
        <v>46301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TEXT(Setup!$C$5+274,"dddd")</f>
        <v>Tuesday</v>
      </c>
      <c r="B33" s="13" t="n">
        <f aca="false">Setup!$C$5+274</f>
        <v>46301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TEXT(Setup!$C$5+274,"dddd")</f>
        <v>Tuesday</v>
      </c>
      <c r="B34" s="13" t="n">
        <f aca="false">Setup!$C$5+274</f>
        <v>46301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TEXT(Setup!$C$5+274,"dddd")</f>
        <v>Tuesday</v>
      </c>
      <c r="B35" s="13" t="n">
        <f aca="false">Setup!$C$5+274</f>
        <v>46301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TEXT(Setup!$C$5+274,"dddd")</f>
        <v>Tuesday</v>
      </c>
      <c r="B36" s="13" t="n">
        <f aca="false">Setup!$C$5+274</f>
        <v>46301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TEXT(Setup!$C$5+274,"dddd")</f>
        <v>Tuesday</v>
      </c>
      <c r="B37" s="13" t="n">
        <f aca="false">Setup!$C$5+274</f>
        <v>46301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TEXT(Setup!$C$5+274,"dddd")</f>
        <v>Tuesday</v>
      </c>
      <c r="B38" s="13" t="n">
        <f aca="false">Setup!$C$5+274</f>
        <v>46301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TEXT(Setup!$C$5+274,"dddd")</f>
        <v>Tuesday</v>
      </c>
      <c r="B39" s="13" t="n">
        <f aca="false">Setup!$C$5+274</f>
        <v>46301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TEXT(Setup!$C$5+274,"dddd")</f>
        <v>Tuesday</v>
      </c>
      <c r="B40" s="13" t="n">
        <f aca="false">Setup!$C$5+274</f>
        <v>46301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TEXT(Setup!$C$5+274,"dddd")</f>
        <v>Tuesday</v>
      </c>
      <c r="B41" s="13" t="n">
        <f aca="false">Setup!$C$5+274</f>
        <v>46301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TEXT(Setup!$C$5+274,"dddd")</f>
        <v>Tuesday</v>
      </c>
      <c r="B42" s="13" t="n">
        <f aca="false">Setup!$C$5+274</f>
        <v>46301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TEXT(Setup!$C$5+274,"dddd")</f>
        <v>Tuesday</v>
      </c>
      <c r="B43" s="13" t="n">
        <f aca="false">Setup!$C$5+274</f>
        <v>46301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TEXT(Setup!$C$5+274,"dddd")</f>
        <v>Tuesday</v>
      </c>
      <c r="B44" s="13" t="n">
        <f aca="false">Setup!$C$5+274</f>
        <v>46301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TEXT(Setup!$C$5+274,"dddd")</f>
        <v>Tuesday</v>
      </c>
      <c r="B45" s="23" t="n">
        <f aca="false">Setup!$C$5+274</f>
        <v>46301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IFERROR(H45-Wk39!H45,"")</f>
        <v>0</v>
      </c>
      <c r="O45" s="24" t="n">
        <f aca="false">IFERROR(D45-Wk39!D45,"")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TEXT(Setup!$C$5+275,"dddd")</f>
        <v>Wednesday</v>
      </c>
      <c r="B46" s="13" t="n">
        <f aca="false">Setup!$C$5+275</f>
        <v>46302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TEXT(Setup!$C$5+275,"dddd")</f>
        <v>Wednesday</v>
      </c>
      <c r="B47" s="13" t="n">
        <f aca="false">Setup!$C$5+275</f>
        <v>46302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TEXT(Setup!$C$5+275,"dddd")</f>
        <v>Wednesday</v>
      </c>
      <c r="B48" s="13" t="n">
        <f aca="false">Setup!$C$5+275</f>
        <v>46302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TEXT(Setup!$C$5+275,"dddd")</f>
        <v>Wednesday</v>
      </c>
      <c r="B49" s="13" t="n">
        <f aca="false">Setup!$C$5+275</f>
        <v>46302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TEXT(Setup!$C$5+275,"dddd")</f>
        <v>Wednesday</v>
      </c>
      <c r="B50" s="13" t="n">
        <f aca="false">Setup!$C$5+275</f>
        <v>46302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TEXT(Setup!$C$5+275,"dddd")</f>
        <v>Wednesday</v>
      </c>
      <c r="B51" s="13" t="n">
        <f aca="false">Setup!$C$5+275</f>
        <v>46302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TEXT(Setup!$C$5+275,"dddd")</f>
        <v>Wednesday</v>
      </c>
      <c r="B52" s="13" t="n">
        <f aca="false">Setup!$C$5+275</f>
        <v>46302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TEXT(Setup!$C$5+275,"dddd")</f>
        <v>Wednesday</v>
      </c>
      <c r="B53" s="13" t="n">
        <f aca="false">Setup!$C$5+275</f>
        <v>46302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TEXT(Setup!$C$5+275,"dddd")</f>
        <v>Wednesday</v>
      </c>
      <c r="B54" s="13" t="n">
        <f aca="false">Setup!$C$5+275</f>
        <v>46302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TEXT(Setup!$C$5+275,"dddd")</f>
        <v>Wednesday</v>
      </c>
      <c r="B55" s="13" t="n">
        <f aca="false">Setup!$C$5+275</f>
        <v>46302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TEXT(Setup!$C$5+275,"dddd")</f>
        <v>Wednesday</v>
      </c>
      <c r="B56" s="13" t="n">
        <f aca="false">Setup!$C$5+275</f>
        <v>46302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TEXT(Setup!$C$5+275,"dddd")</f>
        <v>Wednesday</v>
      </c>
      <c r="B57" s="13" t="n">
        <f aca="false">Setup!$C$5+275</f>
        <v>46302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TEXT(Setup!$C$5+275,"dddd")</f>
        <v>Wednesday</v>
      </c>
      <c r="B58" s="13" t="n">
        <f aca="false">Setup!$C$5+275</f>
        <v>46302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TEXT(Setup!$C$5+275,"dddd")</f>
        <v>Wednesday</v>
      </c>
      <c r="B59" s="13" t="n">
        <f aca="false">Setup!$C$5+275</f>
        <v>46302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TEXT(Setup!$C$5+275,"dddd")</f>
        <v>Wednesday</v>
      </c>
      <c r="B60" s="13" t="n">
        <f aca="false">Setup!$C$5+275</f>
        <v>46302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TEXT(Setup!$C$5+275,"dddd")</f>
        <v>Wednesday</v>
      </c>
      <c r="B61" s="13" t="n">
        <f aca="false">Setup!$C$5+275</f>
        <v>46302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TEXT(Setup!$C$5+275,"dddd")</f>
        <v>Wednesday</v>
      </c>
      <c r="B62" s="13" t="n">
        <f aca="false">Setup!$C$5+275</f>
        <v>46302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TEXT(Setup!$C$5+275,"dddd")</f>
        <v>Wednesday</v>
      </c>
      <c r="B63" s="13" t="n">
        <f aca="false">Setup!$C$5+275</f>
        <v>46302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TEXT(Setup!$C$5+275,"dddd")</f>
        <v>Wednesday</v>
      </c>
      <c r="B64" s="13" t="n">
        <f aca="false">Setup!$C$5+275</f>
        <v>46302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TEXT(Setup!$C$5+275,"dddd")</f>
        <v>Wednesday</v>
      </c>
      <c r="B65" s="13" t="n">
        <f aca="false">Setup!$C$5+275</f>
        <v>46302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TEXT(Setup!$C$5+275,"dddd")</f>
        <v>Wednesday</v>
      </c>
      <c r="B66" s="13" t="n">
        <f aca="false">Setup!$C$5+275</f>
        <v>46302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TEXT(Setup!$C$5+275,"dddd")</f>
        <v>Wednesday</v>
      </c>
      <c r="B67" s="23" t="n">
        <f aca="false">Setup!$C$5+275</f>
        <v>46302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IFERROR(H67-Wk39!H67,"")</f>
        <v>0</v>
      </c>
      <c r="O67" s="24" t="n">
        <f aca="false">IFERROR(D67-Wk39!D67,"")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TEXT(Setup!$C$5+276,"dddd")</f>
        <v>Thursday</v>
      </c>
      <c r="B68" s="13" t="n">
        <f aca="false">Setup!$C$5+276</f>
        <v>46303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TEXT(Setup!$C$5+276,"dddd")</f>
        <v>Thursday</v>
      </c>
      <c r="B69" s="13" t="n">
        <f aca="false">Setup!$C$5+276</f>
        <v>46303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TEXT(Setup!$C$5+276,"dddd")</f>
        <v>Thursday</v>
      </c>
      <c r="B70" s="13" t="n">
        <f aca="false">Setup!$C$5+276</f>
        <v>46303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TEXT(Setup!$C$5+276,"dddd")</f>
        <v>Thursday</v>
      </c>
      <c r="B71" s="13" t="n">
        <f aca="false">Setup!$C$5+276</f>
        <v>46303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TEXT(Setup!$C$5+276,"dddd")</f>
        <v>Thursday</v>
      </c>
      <c r="B72" s="13" t="n">
        <f aca="false">Setup!$C$5+276</f>
        <v>46303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TEXT(Setup!$C$5+276,"dddd")</f>
        <v>Thursday</v>
      </c>
      <c r="B73" s="13" t="n">
        <f aca="false">Setup!$C$5+276</f>
        <v>46303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TEXT(Setup!$C$5+276,"dddd")</f>
        <v>Thursday</v>
      </c>
      <c r="B74" s="13" t="n">
        <f aca="false">Setup!$C$5+276</f>
        <v>46303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TEXT(Setup!$C$5+276,"dddd")</f>
        <v>Thursday</v>
      </c>
      <c r="B75" s="13" t="n">
        <f aca="false">Setup!$C$5+276</f>
        <v>46303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TEXT(Setup!$C$5+276,"dddd")</f>
        <v>Thursday</v>
      </c>
      <c r="B76" s="13" t="n">
        <f aca="false">Setup!$C$5+276</f>
        <v>46303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TEXT(Setup!$C$5+276,"dddd")</f>
        <v>Thursday</v>
      </c>
      <c r="B77" s="13" t="n">
        <f aca="false">Setup!$C$5+276</f>
        <v>46303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TEXT(Setup!$C$5+276,"dddd")</f>
        <v>Thursday</v>
      </c>
      <c r="B78" s="13" t="n">
        <f aca="false">Setup!$C$5+276</f>
        <v>46303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TEXT(Setup!$C$5+276,"dddd")</f>
        <v>Thursday</v>
      </c>
      <c r="B79" s="13" t="n">
        <f aca="false">Setup!$C$5+276</f>
        <v>46303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TEXT(Setup!$C$5+276,"dddd")</f>
        <v>Thursday</v>
      </c>
      <c r="B80" s="13" t="n">
        <f aca="false">Setup!$C$5+276</f>
        <v>46303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TEXT(Setup!$C$5+276,"dddd")</f>
        <v>Thursday</v>
      </c>
      <c r="B81" s="13" t="n">
        <f aca="false">Setup!$C$5+276</f>
        <v>46303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TEXT(Setup!$C$5+276,"dddd")</f>
        <v>Thursday</v>
      </c>
      <c r="B82" s="13" t="n">
        <f aca="false">Setup!$C$5+276</f>
        <v>46303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TEXT(Setup!$C$5+276,"dddd")</f>
        <v>Thursday</v>
      </c>
      <c r="B83" s="13" t="n">
        <f aca="false">Setup!$C$5+276</f>
        <v>46303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TEXT(Setup!$C$5+276,"dddd")</f>
        <v>Thursday</v>
      </c>
      <c r="B84" s="13" t="n">
        <f aca="false">Setup!$C$5+276</f>
        <v>46303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TEXT(Setup!$C$5+276,"dddd")</f>
        <v>Thursday</v>
      </c>
      <c r="B85" s="13" t="n">
        <f aca="false">Setup!$C$5+276</f>
        <v>46303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TEXT(Setup!$C$5+276,"dddd")</f>
        <v>Thursday</v>
      </c>
      <c r="B86" s="13" t="n">
        <f aca="false">Setup!$C$5+276</f>
        <v>46303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TEXT(Setup!$C$5+276,"dddd")</f>
        <v>Thursday</v>
      </c>
      <c r="B87" s="13" t="n">
        <f aca="false">Setup!$C$5+276</f>
        <v>46303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TEXT(Setup!$C$5+276,"dddd")</f>
        <v>Thursday</v>
      </c>
      <c r="B88" s="13" t="n">
        <f aca="false">Setup!$C$5+276</f>
        <v>46303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TEXT(Setup!$C$5+276,"dddd")</f>
        <v>Thursday</v>
      </c>
      <c r="B89" s="23" t="n">
        <f aca="false">Setup!$C$5+276</f>
        <v>46303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IFERROR(H89-Wk39!H89,"")</f>
        <v>0</v>
      </c>
      <c r="O89" s="24" t="n">
        <f aca="false">IFERROR(D89-Wk39!D89,"")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TEXT(Setup!$C$5+277,"dddd")</f>
        <v>Friday</v>
      </c>
      <c r="B90" s="13" t="n">
        <f aca="false">Setup!$C$5+277</f>
        <v>46304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TEXT(Setup!$C$5+277,"dddd")</f>
        <v>Friday</v>
      </c>
      <c r="B91" s="13" t="n">
        <f aca="false">Setup!$C$5+277</f>
        <v>46304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TEXT(Setup!$C$5+277,"dddd")</f>
        <v>Friday</v>
      </c>
      <c r="B92" s="13" t="n">
        <f aca="false">Setup!$C$5+277</f>
        <v>46304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TEXT(Setup!$C$5+277,"dddd")</f>
        <v>Friday</v>
      </c>
      <c r="B93" s="13" t="n">
        <f aca="false">Setup!$C$5+277</f>
        <v>46304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TEXT(Setup!$C$5+277,"dddd")</f>
        <v>Friday</v>
      </c>
      <c r="B94" s="13" t="n">
        <f aca="false">Setup!$C$5+277</f>
        <v>46304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TEXT(Setup!$C$5+277,"dddd")</f>
        <v>Friday</v>
      </c>
      <c r="B95" s="13" t="n">
        <f aca="false">Setup!$C$5+277</f>
        <v>46304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TEXT(Setup!$C$5+277,"dddd")</f>
        <v>Friday</v>
      </c>
      <c r="B96" s="13" t="n">
        <f aca="false">Setup!$C$5+277</f>
        <v>46304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TEXT(Setup!$C$5+277,"dddd")</f>
        <v>Friday</v>
      </c>
      <c r="B97" s="13" t="n">
        <f aca="false">Setup!$C$5+277</f>
        <v>46304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TEXT(Setup!$C$5+277,"dddd")</f>
        <v>Friday</v>
      </c>
      <c r="B98" s="13" t="n">
        <f aca="false">Setup!$C$5+277</f>
        <v>46304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TEXT(Setup!$C$5+277,"dddd")</f>
        <v>Friday</v>
      </c>
      <c r="B99" s="13" t="n">
        <f aca="false">Setup!$C$5+277</f>
        <v>46304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TEXT(Setup!$C$5+277,"dddd")</f>
        <v>Friday</v>
      </c>
      <c r="B100" s="13" t="n">
        <f aca="false">Setup!$C$5+277</f>
        <v>46304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TEXT(Setup!$C$5+277,"dddd")</f>
        <v>Friday</v>
      </c>
      <c r="B101" s="13" t="n">
        <f aca="false">Setup!$C$5+277</f>
        <v>46304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TEXT(Setup!$C$5+277,"dddd")</f>
        <v>Friday</v>
      </c>
      <c r="B102" s="13" t="n">
        <f aca="false">Setup!$C$5+277</f>
        <v>46304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TEXT(Setup!$C$5+277,"dddd")</f>
        <v>Friday</v>
      </c>
      <c r="B103" s="13" t="n">
        <f aca="false">Setup!$C$5+277</f>
        <v>46304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TEXT(Setup!$C$5+277,"dddd")</f>
        <v>Friday</v>
      </c>
      <c r="B104" s="13" t="n">
        <f aca="false">Setup!$C$5+277</f>
        <v>46304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TEXT(Setup!$C$5+277,"dddd")</f>
        <v>Friday</v>
      </c>
      <c r="B105" s="13" t="n">
        <f aca="false">Setup!$C$5+277</f>
        <v>46304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TEXT(Setup!$C$5+277,"dddd")</f>
        <v>Friday</v>
      </c>
      <c r="B106" s="13" t="n">
        <f aca="false">Setup!$C$5+277</f>
        <v>46304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TEXT(Setup!$C$5+277,"dddd")</f>
        <v>Friday</v>
      </c>
      <c r="B107" s="13" t="n">
        <f aca="false">Setup!$C$5+277</f>
        <v>46304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TEXT(Setup!$C$5+277,"dddd")</f>
        <v>Friday</v>
      </c>
      <c r="B108" s="13" t="n">
        <f aca="false">Setup!$C$5+277</f>
        <v>46304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TEXT(Setup!$C$5+277,"dddd")</f>
        <v>Friday</v>
      </c>
      <c r="B109" s="13" t="n">
        <f aca="false">Setup!$C$5+277</f>
        <v>46304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TEXT(Setup!$C$5+277,"dddd")</f>
        <v>Friday</v>
      </c>
      <c r="B110" s="13" t="n">
        <f aca="false">Setup!$C$5+277</f>
        <v>46304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TEXT(Setup!$C$5+277,"dddd")</f>
        <v>Friday</v>
      </c>
      <c r="B111" s="23" t="n">
        <f aca="false">Setup!$C$5+277</f>
        <v>46304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IFERROR(H111-Wk39!H111,"")</f>
        <v>0</v>
      </c>
      <c r="O111" s="24" t="n">
        <f aca="false">IFERROR(D111-Wk39!D111,"")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TEXT(Setup!$C$5+278,"dddd")</f>
        <v>Saturday</v>
      </c>
      <c r="B112" s="13" t="n">
        <f aca="false">Setup!$C$5+278</f>
        <v>46305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TEXT(Setup!$C$5+278,"dddd")</f>
        <v>Saturday</v>
      </c>
      <c r="B113" s="13" t="n">
        <f aca="false">Setup!$C$5+278</f>
        <v>46305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TEXT(Setup!$C$5+278,"dddd")</f>
        <v>Saturday</v>
      </c>
      <c r="B114" s="13" t="n">
        <f aca="false">Setup!$C$5+278</f>
        <v>46305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TEXT(Setup!$C$5+278,"dddd")</f>
        <v>Saturday</v>
      </c>
      <c r="B115" s="13" t="n">
        <f aca="false">Setup!$C$5+278</f>
        <v>46305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TEXT(Setup!$C$5+278,"dddd")</f>
        <v>Saturday</v>
      </c>
      <c r="B116" s="13" t="n">
        <f aca="false">Setup!$C$5+278</f>
        <v>46305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TEXT(Setup!$C$5+278,"dddd")</f>
        <v>Saturday</v>
      </c>
      <c r="B117" s="13" t="n">
        <f aca="false">Setup!$C$5+278</f>
        <v>46305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TEXT(Setup!$C$5+278,"dddd")</f>
        <v>Saturday</v>
      </c>
      <c r="B118" s="13" t="n">
        <f aca="false">Setup!$C$5+278</f>
        <v>46305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TEXT(Setup!$C$5+278,"dddd")</f>
        <v>Saturday</v>
      </c>
      <c r="B119" s="13" t="n">
        <f aca="false">Setup!$C$5+278</f>
        <v>46305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TEXT(Setup!$C$5+278,"dddd")</f>
        <v>Saturday</v>
      </c>
      <c r="B120" s="13" t="n">
        <f aca="false">Setup!$C$5+278</f>
        <v>46305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TEXT(Setup!$C$5+278,"dddd")</f>
        <v>Saturday</v>
      </c>
      <c r="B121" s="13" t="n">
        <f aca="false">Setup!$C$5+278</f>
        <v>46305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TEXT(Setup!$C$5+278,"dddd")</f>
        <v>Saturday</v>
      </c>
      <c r="B122" s="13" t="n">
        <f aca="false">Setup!$C$5+278</f>
        <v>46305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TEXT(Setup!$C$5+278,"dddd")</f>
        <v>Saturday</v>
      </c>
      <c r="B123" s="13" t="n">
        <f aca="false">Setup!$C$5+278</f>
        <v>46305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TEXT(Setup!$C$5+278,"dddd")</f>
        <v>Saturday</v>
      </c>
      <c r="B124" s="13" t="n">
        <f aca="false">Setup!$C$5+278</f>
        <v>46305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TEXT(Setup!$C$5+278,"dddd")</f>
        <v>Saturday</v>
      </c>
      <c r="B125" s="13" t="n">
        <f aca="false">Setup!$C$5+278</f>
        <v>46305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TEXT(Setup!$C$5+278,"dddd")</f>
        <v>Saturday</v>
      </c>
      <c r="B126" s="13" t="n">
        <f aca="false">Setup!$C$5+278</f>
        <v>46305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TEXT(Setup!$C$5+278,"dddd")</f>
        <v>Saturday</v>
      </c>
      <c r="B127" s="13" t="n">
        <f aca="false">Setup!$C$5+278</f>
        <v>46305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TEXT(Setup!$C$5+278,"dddd")</f>
        <v>Saturday</v>
      </c>
      <c r="B128" s="13" t="n">
        <f aca="false">Setup!$C$5+278</f>
        <v>46305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TEXT(Setup!$C$5+278,"dddd")</f>
        <v>Saturday</v>
      </c>
      <c r="B129" s="13" t="n">
        <f aca="false">Setup!$C$5+278</f>
        <v>46305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TEXT(Setup!$C$5+278,"dddd")</f>
        <v>Saturday</v>
      </c>
      <c r="B130" s="13" t="n">
        <f aca="false">Setup!$C$5+278</f>
        <v>46305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TEXT(Setup!$C$5+278,"dddd")</f>
        <v>Saturday</v>
      </c>
      <c r="B131" s="13" t="n">
        <f aca="false">Setup!$C$5+278</f>
        <v>46305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TEXT(Setup!$C$5+278,"dddd")</f>
        <v>Saturday</v>
      </c>
      <c r="B132" s="13" t="n">
        <f aca="false">Setup!$C$5+278</f>
        <v>46305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TEXT(Setup!$C$5+278,"dddd")</f>
        <v>Saturday</v>
      </c>
      <c r="B133" s="23" t="n">
        <f aca="false">Setup!$C$5+278</f>
        <v>46305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IFERROR(H133-Wk39!H133,"")</f>
        <v>0</v>
      </c>
      <c r="O133" s="24" t="n">
        <f aca="false">IFERROR(D133-Wk39!D133,"")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TEXT(Setup!$C$5+279,"dddd")</f>
        <v>Sunday</v>
      </c>
      <c r="B134" s="13" t="n">
        <f aca="false">Setup!$C$5+279</f>
        <v>46306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TEXT(Setup!$C$5+279,"dddd")</f>
        <v>Sunday</v>
      </c>
      <c r="B135" s="13" t="n">
        <f aca="false">Setup!$C$5+279</f>
        <v>46306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TEXT(Setup!$C$5+279,"dddd")</f>
        <v>Sunday</v>
      </c>
      <c r="B136" s="13" t="n">
        <f aca="false">Setup!$C$5+279</f>
        <v>46306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TEXT(Setup!$C$5+279,"dddd")</f>
        <v>Sunday</v>
      </c>
      <c r="B137" s="13" t="n">
        <f aca="false">Setup!$C$5+279</f>
        <v>46306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TEXT(Setup!$C$5+279,"dddd")</f>
        <v>Sunday</v>
      </c>
      <c r="B138" s="13" t="n">
        <f aca="false">Setup!$C$5+279</f>
        <v>46306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TEXT(Setup!$C$5+279,"dddd")</f>
        <v>Sunday</v>
      </c>
      <c r="B139" s="13" t="n">
        <f aca="false">Setup!$C$5+279</f>
        <v>46306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TEXT(Setup!$C$5+279,"dddd")</f>
        <v>Sunday</v>
      </c>
      <c r="B140" s="13" t="n">
        <f aca="false">Setup!$C$5+279</f>
        <v>46306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TEXT(Setup!$C$5+279,"dddd")</f>
        <v>Sunday</v>
      </c>
      <c r="B141" s="13" t="n">
        <f aca="false">Setup!$C$5+279</f>
        <v>46306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TEXT(Setup!$C$5+279,"dddd")</f>
        <v>Sunday</v>
      </c>
      <c r="B142" s="13" t="n">
        <f aca="false">Setup!$C$5+279</f>
        <v>46306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TEXT(Setup!$C$5+279,"dddd")</f>
        <v>Sunday</v>
      </c>
      <c r="B143" s="13" t="n">
        <f aca="false">Setup!$C$5+279</f>
        <v>46306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TEXT(Setup!$C$5+279,"dddd")</f>
        <v>Sunday</v>
      </c>
      <c r="B144" s="13" t="n">
        <f aca="false">Setup!$C$5+279</f>
        <v>46306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TEXT(Setup!$C$5+279,"dddd")</f>
        <v>Sunday</v>
      </c>
      <c r="B145" s="13" t="n">
        <f aca="false">Setup!$C$5+279</f>
        <v>46306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TEXT(Setup!$C$5+279,"dddd")</f>
        <v>Sunday</v>
      </c>
      <c r="B146" s="13" t="n">
        <f aca="false">Setup!$C$5+279</f>
        <v>46306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TEXT(Setup!$C$5+279,"dddd")</f>
        <v>Sunday</v>
      </c>
      <c r="B147" s="13" t="n">
        <f aca="false">Setup!$C$5+279</f>
        <v>46306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TEXT(Setup!$C$5+279,"dddd")</f>
        <v>Sunday</v>
      </c>
      <c r="B148" s="13" t="n">
        <f aca="false">Setup!$C$5+279</f>
        <v>46306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TEXT(Setup!$C$5+279,"dddd")</f>
        <v>Sunday</v>
      </c>
      <c r="B149" s="13" t="n">
        <f aca="false">Setup!$C$5+279</f>
        <v>46306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TEXT(Setup!$C$5+279,"dddd")</f>
        <v>Sunday</v>
      </c>
      <c r="B150" s="13" t="n">
        <f aca="false">Setup!$C$5+279</f>
        <v>46306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TEXT(Setup!$C$5+279,"dddd")</f>
        <v>Sunday</v>
      </c>
      <c r="B151" s="13" t="n">
        <f aca="false">Setup!$C$5+279</f>
        <v>46306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TEXT(Setup!$C$5+279,"dddd")</f>
        <v>Sunday</v>
      </c>
      <c r="B152" s="13" t="n">
        <f aca="false">Setup!$C$5+279</f>
        <v>46306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TEXT(Setup!$C$5+279,"dddd")</f>
        <v>Sunday</v>
      </c>
      <c r="B153" s="13" t="n">
        <f aca="false">Setup!$C$5+279</f>
        <v>46306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TEXT(Setup!$C$5+279,"dddd")</f>
        <v>Sunday</v>
      </c>
      <c r="B154" s="13" t="n">
        <f aca="false">Setup!$C$5+279</f>
        <v>46306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TEXT(Setup!$C$5+279,"dddd")</f>
        <v>Sunday</v>
      </c>
      <c r="B155" s="23" t="n">
        <f aca="false">Setup!$C$5+279</f>
        <v>46306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IFERROR(H155-Wk39!H155,"")</f>
        <v>0</v>
      </c>
      <c r="O155" s="24" t="n">
        <f aca="false">IFERROR(D155-Wk39!D155,"")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IFERROR(D156-Wk39!D156,"")</f>
        <v>0</v>
      </c>
      <c r="E157" s="34" t="n">
        <f aca="false">IFERROR(E156-Wk39!E156,"")</f>
        <v>0</v>
      </c>
      <c r="H157" s="32" t="n">
        <f aca="false">IFERROR(H156-Wk39!H156,"")</f>
        <v>0</v>
      </c>
      <c r="K157" s="32" t="n">
        <f aca="false">IFERROR(K156-Wk39!K156,"")</f>
        <v>0</v>
      </c>
      <c r="M157" s="32" t="n">
        <f aca="false">IFERROR(M156-Wk39!M156,"")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TEXT(Setup!$C$5+280,"dddd")</f>
        <v>Monday</v>
      </c>
      <c r="B2" s="13" t="n">
        <f aca="false">Setup!$C$5+280</f>
        <v>46307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TEXT(Setup!$C$5+280,"dddd")</f>
        <v>Monday</v>
      </c>
      <c r="B3" s="13" t="n">
        <f aca="false">Setup!$C$5+280</f>
        <v>46307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TEXT(Setup!$C$5+280,"dddd")</f>
        <v>Monday</v>
      </c>
      <c r="B4" s="13" t="n">
        <f aca="false">Setup!$C$5+280</f>
        <v>46307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TEXT(Setup!$C$5+280,"dddd")</f>
        <v>Monday</v>
      </c>
      <c r="B5" s="13" t="n">
        <f aca="false">Setup!$C$5+280</f>
        <v>46307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TEXT(Setup!$C$5+280,"dddd")</f>
        <v>Monday</v>
      </c>
      <c r="B6" s="13" t="n">
        <f aca="false">Setup!$C$5+280</f>
        <v>46307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TEXT(Setup!$C$5+280,"dddd")</f>
        <v>Monday</v>
      </c>
      <c r="B7" s="13" t="n">
        <f aca="false">Setup!$C$5+280</f>
        <v>46307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TEXT(Setup!$C$5+280,"dddd")</f>
        <v>Monday</v>
      </c>
      <c r="B8" s="13" t="n">
        <f aca="false">Setup!$C$5+280</f>
        <v>46307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TEXT(Setup!$C$5+280,"dddd")</f>
        <v>Monday</v>
      </c>
      <c r="B9" s="13" t="n">
        <f aca="false">Setup!$C$5+280</f>
        <v>46307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TEXT(Setup!$C$5+280,"dddd")</f>
        <v>Monday</v>
      </c>
      <c r="B10" s="13" t="n">
        <f aca="false">Setup!$C$5+280</f>
        <v>46307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TEXT(Setup!$C$5+280,"dddd")</f>
        <v>Monday</v>
      </c>
      <c r="B11" s="13" t="n">
        <f aca="false">Setup!$C$5+280</f>
        <v>46307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TEXT(Setup!$C$5+280,"dddd")</f>
        <v>Monday</v>
      </c>
      <c r="B12" s="13" t="n">
        <f aca="false">Setup!$C$5+280</f>
        <v>46307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TEXT(Setup!$C$5+280,"dddd")</f>
        <v>Monday</v>
      </c>
      <c r="B13" s="13" t="n">
        <f aca="false">Setup!$C$5+280</f>
        <v>46307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TEXT(Setup!$C$5+280,"dddd")</f>
        <v>Monday</v>
      </c>
      <c r="B14" s="13" t="n">
        <f aca="false">Setup!$C$5+280</f>
        <v>46307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TEXT(Setup!$C$5+280,"dddd")</f>
        <v>Monday</v>
      </c>
      <c r="B15" s="13" t="n">
        <f aca="false">Setup!$C$5+280</f>
        <v>46307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TEXT(Setup!$C$5+280,"dddd")</f>
        <v>Monday</v>
      </c>
      <c r="B16" s="13" t="n">
        <f aca="false">Setup!$C$5+280</f>
        <v>46307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TEXT(Setup!$C$5+280,"dddd")</f>
        <v>Monday</v>
      </c>
      <c r="B17" s="13" t="n">
        <f aca="false">Setup!$C$5+280</f>
        <v>46307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TEXT(Setup!$C$5+280,"dddd")</f>
        <v>Monday</v>
      </c>
      <c r="B18" s="13" t="n">
        <f aca="false">Setup!$C$5+280</f>
        <v>46307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TEXT(Setup!$C$5+280,"dddd")</f>
        <v>Monday</v>
      </c>
      <c r="B19" s="13" t="n">
        <f aca="false">Setup!$C$5+280</f>
        <v>46307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TEXT(Setup!$C$5+280,"dddd")</f>
        <v>Monday</v>
      </c>
      <c r="B20" s="13" t="n">
        <f aca="false">Setup!$C$5+280</f>
        <v>46307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TEXT(Setup!$C$5+280,"dddd")</f>
        <v>Monday</v>
      </c>
      <c r="B21" s="13" t="n">
        <f aca="false">Setup!$C$5+280</f>
        <v>46307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TEXT(Setup!$C$5+280,"dddd")</f>
        <v>Monday</v>
      </c>
      <c r="B22" s="13" t="n">
        <f aca="false">Setup!$C$5+280</f>
        <v>46307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TEXT(Setup!$C$5+280,"dddd")</f>
        <v>Monday</v>
      </c>
      <c r="B23" s="23" t="n">
        <f aca="false">Setup!$C$5+280</f>
        <v>46307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IFERROR(H23-Wk40!H23,"")</f>
        <v>0</v>
      </c>
      <c r="O23" s="24" t="n">
        <f aca="false">IFERROR(D23-Wk40!D23,"")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TEXT(Setup!$C$5+281,"dddd")</f>
        <v>Tuesday</v>
      </c>
      <c r="B24" s="13" t="n">
        <f aca="false">Setup!$C$5+281</f>
        <v>46308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TEXT(Setup!$C$5+281,"dddd")</f>
        <v>Tuesday</v>
      </c>
      <c r="B25" s="13" t="n">
        <f aca="false">Setup!$C$5+281</f>
        <v>46308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TEXT(Setup!$C$5+281,"dddd")</f>
        <v>Tuesday</v>
      </c>
      <c r="B26" s="13" t="n">
        <f aca="false">Setup!$C$5+281</f>
        <v>46308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TEXT(Setup!$C$5+281,"dddd")</f>
        <v>Tuesday</v>
      </c>
      <c r="B27" s="13" t="n">
        <f aca="false">Setup!$C$5+281</f>
        <v>46308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TEXT(Setup!$C$5+281,"dddd")</f>
        <v>Tuesday</v>
      </c>
      <c r="B28" s="13" t="n">
        <f aca="false">Setup!$C$5+281</f>
        <v>46308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TEXT(Setup!$C$5+281,"dddd")</f>
        <v>Tuesday</v>
      </c>
      <c r="B29" s="13" t="n">
        <f aca="false">Setup!$C$5+281</f>
        <v>46308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TEXT(Setup!$C$5+281,"dddd")</f>
        <v>Tuesday</v>
      </c>
      <c r="B30" s="13" t="n">
        <f aca="false">Setup!$C$5+281</f>
        <v>46308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TEXT(Setup!$C$5+281,"dddd")</f>
        <v>Tuesday</v>
      </c>
      <c r="B31" s="13" t="n">
        <f aca="false">Setup!$C$5+281</f>
        <v>46308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TEXT(Setup!$C$5+281,"dddd")</f>
        <v>Tuesday</v>
      </c>
      <c r="B32" s="13" t="n">
        <f aca="false">Setup!$C$5+281</f>
        <v>46308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TEXT(Setup!$C$5+281,"dddd")</f>
        <v>Tuesday</v>
      </c>
      <c r="B33" s="13" t="n">
        <f aca="false">Setup!$C$5+281</f>
        <v>46308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TEXT(Setup!$C$5+281,"dddd")</f>
        <v>Tuesday</v>
      </c>
      <c r="B34" s="13" t="n">
        <f aca="false">Setup!$C$5+281</f>
        <v>46308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TEXT(Setup!$C$5+281,"dddd")</f>
        <v>Tuesday</v>
      </c>
      <c r="B35" s="13" t="n">
        <f aca="false">Setup!$C$5+281</f>
        <v>46308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TEXT(Setup!$C$5+281,"dddd")</f>
        <v>Tuesday</v>
      </c>
      <c r="B36" s="13" t="n">
        <f aca="false">Setup!$C$5+281</f>
        <v>46308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TEXT(Setup!$C$5+281,"dddd")</f>
        <v>Tuesday</v>
      </c>
      <c r="B37" s="13" t="n">
        <f aca="false">Setup!$C$5+281</f>
        <v>46308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TEXT(Setup!$C$5+281,"dddd")</f>
        <v>Tuesday</v>
      </c>
      <c r="B38" s="13" t="n">
        <f aca="false">Setup!$C$5+281</f>
        <v>46308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TEXT(Setup!$C$5+281,"dddd")</f>
        <v>Tuesday</v>
      </c>
      <c r="B39" s="13" t="n">
        <f aca="false">Setup!$C$5+281</f>
        <v>46308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TEXT(Setup!$C$5+281,"dddd")</f>
        <v>Tuesday</v>
      </c>
      <c r="B40" s="13" t="n">
        <f aca="false">Setup!$C$5+281</f>
        <v>46308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TEXT(Setup!$C$5+281,"dddd")</f>
        <v>Tuesday</v>
      </c>
      <c r="B41" s="13" t="n">
        <f aca="false">Setup!$C$5+281</f>
        <v>46308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TEXT(Setup!$C$5+281,"dddd")</f>
        <v>Tuesday</v>
      </c>
      <c r="B42" s="13" t="n">
        <f aca="false">Setup!$C$5+281</f>
        <v>46308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TEXT(Setup!$C$5+281,"dddd")</f>
        <v>Tuesday</v>
      </c>
      <c r="B43" s="13" t="n">
        <f aca="false">Setup!$C$5+281</f>
        <v>46308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TEXT(Setup!$C$5+281,"dddd")</f>
        <v>Tuesday</v>
      </c>
      <c r="B44" s="13" t="n">
        <f aca="false">Setup!$C$5+281</f>
        <v>46308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TEXT(Setup!$C$5+281,"dddd")</f>
        <v>Tuesday</v>
      </c>
      <c r="B45" s="23" t="n">
        <f aca="false">Setup!$C$5+281</f>
        <v>46308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IFERROR(H45-Wk40!H45,"")</f>
        <v>0</v>
      </c>
      <c r="O45" s="24" t="n">
        <f aca="false">IFERROR(D45-Wk40!D45,"")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TEXT(Setup!$C$5+282,"dddd")</f>
        <v>Wednesday</v>
      </c>
      <c r="B46" s="13" t="n">
        <f aca="false">Setup!$C$5+282</f>
        <v>46309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TEXT(Setup!$C$5+282,"dddd")</f>
        <v>Wednesday</v>
      </c>
      <c r="B47" s="13" t="n">
        <f aca="false">Setup!$C$5+282</f>
        <v>46309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TEXT(Setup!$C$5+282,"dddd")</f>
        <v>Wednesday</v>
      </c>
      <c r="B48" s="13" t="n">
        <f aca="false">Setup!$C$5+282</f>
        <v>46309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TEXT(Setup!$C$5+282,"dddd")</f>
        <v>Wednesday</v>
      </c>
      <c r="B49" s="13" t="n">
        <f aca="false">Setup!$C$5+282</f>
        <v>46309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TEXT(Setup!$C$5+282,"dddd")</f>
        <v>Wednesday</v>
      </c>
      <c r="B50" s="13" t="n">
        <f aca="false">Setup!$C$5+282</f>
        <v>46309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TEXT(Setup!$C$5+282,"dddd")</f>
        <v>Wednesday</v>
      </c>
      <c r="B51" s="13" t="n">
        <f aca="false">Setup!$C$5+282</f>
        <v>46309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TEXT(Setup!$C$5+282,"dddd")</f>
        <v>Wednesday</v>
      </c>
      <c r="B52" s="13" t="n">
        <f aca="false">Setup!$C$5+282</f>
        <v>46309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TEXT(Setup!$C$5+282,"dddd")</f>
        <v>Wednesday</v>
      </c>
      <c r="B53" s="13" t="n">
        <f aca="false">Setup!$C$5+282</f>
        <v>46309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TEXT(Setup!$C$5+282,"dddd")</f>
        <v>Wednesday</v>
      </c>
      <c r="B54" s="13" t="n">
        <f aca="false">Setup!$C$5+282</f>
        <v>46309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TEXT(Setup!$C$5+282,"dddd")</f>
        <v>Wednesday</v>
      </c>
      <c r="B55" s="13" t="n">
        <f aca="false">Setup!$C$5+282</f>
        <v>46309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TEXT(Setup!$C$5+282,"dddd")</f>
        <v>Wednesday</v>
      </c>
      <c r="B56" s="13" t="n">
        <f aca="false">Setup!$C$5+282</f>
        <v>46309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TEXT(Setup!$C$5+282,"dddd")</f>
        <v>Wednesday</v>
      </c>
      <c r="B57" s="13" t="n">
        <f aca="false">Setup!$C$5+282</f>
        <v>46309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TEXT(Setup!$C$5+282,"dddd")</f>
        <v>Wednesday</v>
      </c>
      <c r="B58" s="13" t="n">
        <f aca="false">Setup!$C$5+282</f>
        <v>46309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TEXT(Setup!$C$5+282,"dddd")</f>
        <v>Wednesday</v>
      </c>
      <c r="B59" s="13" t="n">
        <f aca="false">Setup!$C$5+282</f>
        <v>46309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TEXT(Setup!$C$5+282,"dddd")</f>
        <v>Wednesday</v>
      </c>
      <c r="B60" s="13" t="n">
        <f aca="false">Setup!$C$5+282</f>
        <v>46309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TEXT(Setup!$C$5+282,"dddd")</f>
        <v>Wednesday</v>
      </c>
      <c r="B61" s="13" t="n">
        <f aca="false">Setup!$C$5+282</f>
        <v>46309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TEXT(Setup!$C$5+282,"dddd")</f>
        <v>Wednesday</v>
      </c>
      <c r="B62" s="13" t="n">
        <f aca="false">Setup!$C$5+282</f>
        <v>46309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TEXT(Setup!$C$5+282,"dddd")</f>
        <v>Wednesday</v>
      </c>
      <c r="B63" s="13" t="n">
        <f aca="false">Setup!$C$5+282</f>
        <v>46309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TEXT(Setup!$C$5+282,"dddd")</f>
        <v>Wednesday</v>
      </c>
      <c r="B64" s="13" t="n">
        <f aca="false">Setup!$C$5+282</f>
        <v>46309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TEXT(Setup!$C$5+282,"dddd")</f>
        <v>Wednesday</v>
      </c>
      <c r="B65" s="13" t="n">
        <f aca="false">Setup!$C$5+282</f>
        <v>46309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TEXT(Setup!$C$5+282,"dddd")</f>
        <v>Wednesday</v>
      </c>
      <c r="B66" s="13" t="n">
        <f aca="false">Setup!$C$5+282</f>
        <v>46309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TEXT(Setup!$C$5+282,"dddd")</f>
        <v>Wednesday</v>
      </c>
      <c r="B67" s="23" t="n">
        <f aca="false">Setup!$C$5+282</f>
        <v>46309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IFERROR(H67-Wk40!H67,"")</f>
        <v>0</v>
      </c>
      <c r="O67" s="24" t="n">
        <f aca="false">IFERROR(D67-Wk40!D67,"")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TEXT(Setup!$C$5+283,"dddd")</f>
        <v>Thursday</v>
      </c>
      <c r="B68" s="13" t="n">
        <f aca="false">Setup!$C$5+283</f>
        <v>46310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TEXT(Setup!$C$5+283,"dddd")</f>
        <v>Thursday</v>
      </c>
      <c r="B69" s="13" t="n">
        <f aca="false">Setup!$C$5+283</f>
        <v>46310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TEXT(Setup!$C$5+283,"dddd")</f>
        <v>Thursday</v>
      </c>
      <c r="B70" s="13" t="n">
        <f aca="false">Setup!$C$5+283</f>
        <v>46310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TEXT(Setup!$C$5+283,"dddd")</f>
        <v>Thursday</v>
      </c>
      <c r="B71" s="13" t="n">
        <f aca="false">Setup!$C$5+283</f>
        <v>46310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TEXT(Setup!$C$5+283,"dddd")</f>
        <v>Thursday</v>
      </c>
      <c r="B72" s="13" t="n">
        <f aca="false">Setup!$C$5+283</f>
        <v>46310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TEXT(Setup!$C$5+283,"dddd")</f>
        <v>Thursday</v>
      </c>
      <c r="B73" s="13" t="n">
        <f aca="false">Setup!$C$5+283</f>
        <v>46310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TEXT(Setup!$C$5+283,"dddd")</f>
        <v>Thursday</v>
      </c>
      <c r="B74" s="13" t="n">
        <f aca="false">Setup!$C$5+283</f>
        <v>46310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TEXT(Setup!$C$5+283,"dddd")</f>
        <v>Thursday</v>
      </c>
      <c r="B75" s="13" t="n">
        <f aca="false">Setup!$C$5+283</f>
        <v>46310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TEXT(Setup!$C$5+283,"dddd")</f>
        <v>Thursday</v>
      </c>
      <c r="B76" s="13" t="n">
        <f aca="false">Setup!$C$5+283</f>
        <v>46310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TEXT(Setup!$C$5+283,"dddd")</f>
        <v>Thursday</v>
      </c>
      <c r="B77" s="13" t="n">
        <f aca="false">Setup!$C$5+283</f>
        <v>46310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TEXT(Setup!$C$5+283,"dddd")</f>
        <v>Thursday</v>
      </c>
      <c r="B78" s="13" t="n">
        <f aca="false">Setup!$C$5+283</f>
        <v>46310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TEXT(Setup!$C$5+283,"dddd")</f>
        <v>Thursday</v>
      </c>
      <c r="B79" s="13" t="n">
        <f aca="false">Setup!$C$5+283</f>
        <v>46310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TEXT(Setup!$C$5+283,"dddd")</f>
        <v>Thursday</v>
      </c>
      <c r="B80" s="13" t="n">
        <f aca="false">Setup!$C$5+283</f>
        <v>46310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TEXT(Setup!$C$5+283,"dddd")</f>
        <v>Thursday</v>
      </c>
      <c r="B81" s="13" t="n">
        <f aca="false">Setup!$C$5+283</f>
        <v>46310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TEXT(Setup!$C$5+283,"dddd")</f>
        <v>Thursday</v>
      </c>
      <c r="B82" s="13" t="n">
        <f aca="false">Setup!$C$5+283</f>
        <v>46310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TEXT(Setup!$C$5+283,"dddd")</f>
        <v>Thursday</v>
      </c>
      <c r="B83" s="13" t="n">
        <f aca="false">Setup!$C$5+283</f>
        <v>46310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TEXT(Setup!$C$5+283,"dddd")</f>
        <v>Thursday</v>
      </c>
      <c r="B84" s="13" t="n">
        <f aca="false">Setup!$C$5+283</f>
        <v>46310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TEXT(Setup!$C$5+283,"dddd")</f>
        <v>Thursday</v>
      </c>
      <c r="B85" s="13" t="n">
        <f aca="false">Setup!$C$5+283</f>
        <v>46310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TEXT(Setup!$C$5+283,"dddd")</f>
        <v>Thursday</v>
      </c>
      <c r="B86" s="13" t="n">
        <f aca="false">Setup!$C$5+283</f>
        <v>46310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TEXT(Setup!$C$5+283,"dddd")</f>
        <v>Thursday</v>
      </c>
      <c r="B87" s="13" t="n">
        <f aca="false">Setup!$C$5+283</f>
        <v>46310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TEXT(Setup!$C$5+283,"dddd")</f>
        <v>Thursday</v>
      </c>
      <c r="B88" s="13" t="n">
        <f aca="false">Setup!$C$5+283</f>
        <v>46310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TEXT(Setup!$C$5+283,"dddd")</f>
        <v>Thursday</v>
      </c>
      <c r="B89" s="23" t="n">
        <f aca="false">Setup!$C$5+283</f>
        <v>46310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IFERROR(H89-Wk40!H89,"")</f>
        <v>0</v>
      </c>
      <c r="O89" s="24" t="n">
        <f aca="false">IFERROR(D89-Wk40!D89,"")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TEXT(Setup!$C$5+284,"dddd")</f>
        <v>Friday</v>
      </c>
      <c r="B90" s="13" t="n">
        <f aca="false">Setup!$C$5+284</f>
        <v>46311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TEXT(Setup!$C$5+284,"dddd")</f>
        <v>Friday</v>
      </c>
      <c r="B91" s="13" t="n">
        <f aca="false">Setup!$C$5+284</f>
        <v>46311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TEXT(Setup!$C$5+284,"dddd")</f>
        <v>Friday</v>
      </c>
      <c r="B92" s="13" t="n">
        <f aca="false">Setup!$C$5+284</f>
        <v>46311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TEXT(Setup!$C$5+284,"dddd")</f>
        <v>Friday</v>
      </c>
      <c r="B93" s="13" t="n">
        <f aca="false">Setup!$C$5+284</f>
        <v>46311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TEXT(Setup!$C$5+284,"dddd")</f>
        <v>Friday</v>
      </c>
      <c r="B94" s="13" t="n">
        <f aca="false">Setup!$C$5+284</f>
        <v>46311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TEXT(Setup!$C$5+284,"dddd")</f>
        <v>Friday</v>
      </c>
      <c r="B95" s="13" t="n">
        <f aca="false">Setup!$C$5+284</f>
        <v>46311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TEXT(Setup!$C$5+284,"dddd")</f>
        <v>Friday</v>
      </c>
      <c r="B96" s="13" t="n">
        <f aca="false">Setup!$C$5+284</f>
        <v>46311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TEXT(Setup!$C$5+284,"dddd")</f>
        <v>Friday</v>
      </c>
      <c r="B97" s="13" t="n">
        <f aca="false">Setup!$C$5+284</f>
        <v>46311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TEXT(Setup!$C$5+284,"dddd")</f>
        <v>Friday</v>
      </c>
      <c r="B98" s="13" t="n">
        <f aca="false">Setup!$C$5+284</f>
        <v>46311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TEXT(Setup!$C$5+284,"dddd")</f>
        <v>Friday</v>
      </c>
      <c r="B99" s="13" t="n">
        <f aca="false">Setup!$C$5+284</f>
        <v>46311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TEXT(Setup!$C$5+284,"dddd")</f>
        <v>Friday</v>
      </c>
      <c r="B100" s="13" t="n">
        <f aca="false">Setup!$C$5+284</f>
        <v>46311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TEXT(Setup!$C$5+284,"dddd")</f>
        <v>Friday</v>
      </c>
      <c r="B101" s="13" t="n">
        <f aca="false">Setup!$C$5+284</f>
        <v>46311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TEXT(Setup!$C$5+284,"dddd")</f>
        <v>Friday</v>
      </c>
      <c r="B102" s="13" t="n">
        <f aca="false">Setup!$C$5+284</f>
        <v>46311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TEXT(Setup!$C$5+284,"dddd")</f>
        <v>Friday</v>
      </c>
      <c r="B103" s="13" t="n">
        <f aca="false">Setup!$C$5+284</f>
        <v>46311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TEXT(Setup!$C$5+284,"dddd")</f>
        <v>Friday</v>
      </c>
      <c r="B104" s="13" t="n">
        <f aca="false">Setup!$C$5+284</f>
        <v>46311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TEXT(Setup!$C$5+284,"dddd")</f>
        <v>Friday</v>
      </c>
      <c r="B105" s="13" t="n">
        <f aca="false">Setup!$C$5+284</f>
        <v>46311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TEXT(Setup!$C$5+284,"dddd")</f>
        <v>Friday</v>
      </c>
      <c r="B106" s="13" t="n">
        <f aca="false">Setup!$C$5+284</f>
        <v>46311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TEXT(Setup!$C$5+284,"dddd")</f>
        <v>Friday</v>
      </c>
      <c r="B107" s="13" t="n">
        <f aca="false">Setup!$C$5+284</f>
        <v>46311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TEXT(Setup!$C$5+284,"dddd")</f>
        <v>Friday</v>
      </c>
      <c r="B108" s="13" t="n">
        <f aca="false">Setup!$C$5+284</f>
        <v>46311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TEXT(Setup!$C$5+284,"dddd")</f>
        <v>Friday</v>
      </c>
      <c r="B109" s="13" t="n">
        <f aca="false">Setup!$C$5+284</f>
        <v>46311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TEXT(Setup!$C$5+284,"dddd")</f>
        <v>Friday</v>
      </c>
      <c r="B110" s="13" t="n">
        <f aca="false">Setup!$C$5+284</f>
        <v>46311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TEXT(Setup!$C$5+284,"dddd")</f>
        <v>Friday</v>
      </c>
      <c r="B111" s="23" t="n">
        <f aca="false">Setup!$C$5+284</f>
        <v>46311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IFERROR(H111-Wk40!H111,"")</f>
        <v>0</v>
      </c>
      <c r="O111" s="24" t="n">
        <f aca="false">IFERROR(D111-Wk40!D111,"")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TEXT(Setup!$C$5+285,"dddd")</f>
        <v>Saturday</v>
      </c>
      <c r="B112" s="13" t="n">
        <f aca="false">Setup!$C$5+285</f>
        <v>46312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TEXT(Setup!$C$5+285,"dddd")</f>
        <v>Saturday</v>
      </c>
      <c r="B113" s="13" t="n">
        <f aca="false">Setup!$C$5+285</f>
        <v>46312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TEXT(Setup!$C$5+285,"dddd")</f>
        <v>Saturday</v>
      </c>
      <c r="B114" s="13" t="n">
        <f aca="false">Setup!$C$5+285</f>
        <v>46312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TEXT(Setup!$C$5+285,"dddd")</f>
        <v>Saturday</v>
      </c>
      <c r="B115" s="13" t="n">
        <f aca="false">Setup!$C$5+285</f>
        <v>46312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TEXT(Setup!$C$5+285,"dddd")</f>
        <v>Saturday</v>
      </c>
      <c r="B116" s="13" t="n">
        <f aca="false">Setup!$C$5+285</f>
        <v>46312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TEXT(Setup!$C$5+285,"dddd")</f>
        <v>Saturday</v>
      </c>
      <c r="B117" s="13" t="n">
        <f aca="false">Setup!$C$5+285</f>
        <v>46312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TEXT(Setup!$C$5+285,"dddd")</f>
        <v>Saturday</v>
      </c>
      <c r="B118" s="13" t="n">
        <f aca="false">Setup!$C$5+285</f>
        <v>46312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TEXT(Setup!$C$5+285,"dddd")</f>
        <v>Saturday</v>
      </c>
      <c r="B119" s="13" t="n">
        <f aca="false">Setup!$C$5+285</f>
        <v>46312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TEXT(Setup!$C$5+285,"dddd")</f>
        <v>Saturday</v>
      </c>
      <c r="B120" s="13" t="n">
        <f aca="false">Setup!$C$5+285</f>
        <v>46312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TEXT(Setup!$C$5+285,"dddd")</f>
        <v>Saturday</v>
      </c>
      <c r="B121" s="13" t="n">
        <f aca="false">Setup!$C$5+285</f>
        <v>46312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TEXT(Setup!$C$5+285,"dddd")</f>
        <v>Saturday</v>
      </c>
      <c r="B122" s="13" t="n">
        <f aca="false">Setup!$C$5+285</f>
        <v>46312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TEXT(Setup!$C$5+285,"dddd")</f>
        <v>Saturday</v>
      </c>
      <c r="B123" s="13" t="n">
        <f aca="false">Setup!$C$5+285</f>
        <v>46312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TEXT(Setup!$C$5+285,"dddd")</f>
        <v>Saturday</v>
      </c>
      <c r="B124" s="13" t="n">
        <f aca="false">Setup!$C$5+285</f>
        <v>46312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TEXT(Setup!$C$5+285,"dddd")</f>
        <v>Saturday</v>
      </c>
      <c r="B125" s="13" t="n">
        <f aca="false">Setup!$C$5+285</f>
        <v>46312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TEXT(Setup!$C$5+285,"dddd")</f>
        <v>Saturday</v>
      </c>
      <c r="B126" s="13" t="n">
        <f aca="false">Setup!$C$5+285</f>
        <v>46312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TEXT(Setup!$C$5+285,"dddd")</f>
        <v>Saturday</v>
      </c>
      <c r="B127" s="13" t="n">
        <f aca="false">Setup!$C$5+285</f>
        <v>46312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TEXT(Setup!$C$5+285,"dddd")</f>
        <v>Saturday</v>
      </c>
      <c r="B128" s="13" t="n">
        <f aca="false">Setup!$C$5+285</f>
        <v>46312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TEXT(Setup!$C$5+285,"dddd")</f>
        <v>Saturday</v>
      </c>
      <c r="B129" s="13" t="n">
        <f aca="false">Setup!$C$5+285</f>
        <v>46312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TEXT(Setup!$C$5+285,"dddd")</f>
        <v>Saturday</v>
      </c>
      <c r="B130" s="13" t="n">
        <f aca="false">Setup!$C$5+285</f>
        <v>46312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TEXT(Setup!$C$5+285,"dddd")</f>
        <v>Saturday</v>
      </c>
      <c r="B131" s="13" t="n">
        <f aca="false">Setup!$C$5+285</f>
        <v>46312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TEXT(Setup!$C$5+285,"dddd")</f>
        <v>Saturday</v>
      </c>
      <c r="B132" s="13" t="n">
        <f aca="false">Setup!$C$5+285</f>
        <v>46312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TEXT(Setup!$C$5+285,"dddd")</f>
        <v>Saturday</v>
      </c>
      <c r="B133" s="23" t="n">
        <f aca="false">Setup!$C$5+285</f>
        <v>46312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IFERROR(H133-Wk40!H133,"")</f>
        <v>0</v>
      </c>
      <c r="O133" s="24" t="n">
        <f aca="false">IFERROR(D133-Wk40!D133,"")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TEXT(Setup!$C$5+286,"dddd")</f>
        <v>Sunday</v>
      </c>
      <c r="B134" s="13" t="n">
        <f aca="false">Setup!$C$5+286</f>
        <v>46313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TEXT(Setup!$C$5+286,"dddd")</f>
        <v>Sunday</v>
      </c>
      <c r="B135" s="13" t="n">
        <f aca="false">Setup!$C$5+286</f>
        <v>46313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TEXT(Setup!$C$5+286,"dddd")</f>
        <v>Sunday</v>
      </c>
      <c r="B136" s="13" t="n">
        <f aca="false">Setup!$C$5+286</f>
        <v>46313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TEXT(Setup!$C$5+286,"dddd")</f>
        <v>Sunday</v>
      </c>
      <c r="B137" s="13" t="n">
        <f aca="false">Setup!$C$5+286</f>
        <v>46313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TEXT(Setup!$C$5+286,"dddd")</f>
        <v>Sunday</v>
      </c>
      <c r="B138" s="13" t="n">
        <f aca="false">Setup!$C$5+286</f>
        <v>46313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TEXT(Setup!$C$5+286,"dddd")</f>
        <v>Sunday</v>
      </c>
      <c r="B139" s="13" t="n">
        <f aca="false">Setup!$C$5+286</f>
        <v>46313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TEXT(Setup!$C$5+286,"dddd")</f>
        <v>Sunday</v>
      </c>
      <c r="B140" s="13" t="n">
        <f aca="false">Setup!$C$5+286</f>
        <v>46313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TEXT(Setup!$C$5+286,"dddd")</f>
        <v>Sunday</v>
      </c>
      <c r="B141" s="13" t="n">
        <f aca="false">Setup!$C$5+286</f>
        <v>46313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TEXT(Setup!$C$5+286,"dddd")</f>
        <v>Sunday</v>
      </c>
      <c r="B142" s="13" t="n">
        <f aca="false">Setup!$C$5+286</f>
        <v>46313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TEXT(Setup!$C$5+286,"dddd")</f>
        <v>Sunday</v>
      </c>
      <c r="B143" s="13" t="n">
        <f aca="false">Setup!$C$5+286</f>
        <v>46313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TEXT(Setup!$C$5+286,"dddd")</f>
        <v>Sunday</v>
      </c>
      <c r="B144" s="13" t="n">
        <f aca="false">Setup!$C$5+286</f>
        <v>46313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TEXT(Setup!$C$5+286,"dddd")</f>
        <v>Sunday</v>
      </c>
      <c r="B145" s="13" t="n">
        <f aca="false">Setup!$C$5+286</f>
        <v>46313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TEXT(Setup!$C$5+286,"dddd")</f>
        <v>Sunday</v>
      </c>
      <c r="B146" s="13" t="n">
        <f aca="false">Setup!$C$5+286</f>
        <v>46313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TEXT(Setup!$C$5+286,"dddd")</f>
        <v>Sunday</v>
      </c>
      <c r="B147" s="13" t="n">
        <f aca="false">Setup!$C$5+286</f>
        <v>46313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TEXT(Setup!$C$5+286,"dddd")</f>
        <v>Sunday</v>
      </c>
      <c r="B148" s="13" t="n">
        <f aca="false">Setup!$C$5+286</f>
        <v>46313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TEXT(Setup!$C$5+286,"dddd")</f>
        <v>Sunday</v>
      </c>
      <c r="B149" s="13" t="n">
        <f aca="false">Setup!$C$5+286</f>
        <v>46313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TEXT(Setup!$C$5+286,"dddd")</f>
        <v>Sunday</v>
      </c>
      <c r="B150" s="13" t="n">
        <f aca="false">Setup!$C$5+286</f>
        <v>46313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TEXT(Setup!$C$5+286,"dddd")</f>
        <v>Sunday</v>
      </c>
      <c r="B151" s="13" t="n">
        <f aca="false">Setup!$C$5+286</f>
        <v>46313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TEXT(Setup!$C$5+286,"dddd")</f>
        <v>Sunday</v>
      </c>
      <c r="B152" s="13" t="n">
        <f aca="false">Setup!$C$5+286</f>
        <v>46313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TEXT(Setup!$C$5+286,"dddd")</f>
        <v>Sunday</v>
      </c>
      <c r="B153" s="13" t="n">
        <f aca="false">Setup!$C$5+286</f>
        <v>46313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TEXT(Setup!$C$5+286,"dddd")</f>
        <v>Sunday</v>
      </c>
      <c r="B154" s="13" t="n">
        <f aca="false">Setup!$C$5+286</f>
        <v>46313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TEXT(Setup!$C$5+286,"dddd")</f>
        <v>Sunday</v>
      </c>
      <c r="B155" s="23" t="n">
        <f aca="false">Setup!$C$5+286</f>
        <v>46313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IFERROR(H155-Wk40!H155,"")</f>
        <v>0</v>
      </c>
      <c r="O155" s="24" t="n">
        <f aca="false">IFERROR(D155-Wk40!D155,"")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IFERROR(D156-Wk40!D156,"")</f>
        <v>0</v>
      </c>
      <c r="E157" s="34" t="n">
        <f aca="false">IFERROR(E156-Wk40!E156,"")</f>
        <v>0</v>
      </c>
      <c r="H157" s="32" t="n">
        <f aca="false">IFERROR(H156-Wk40!H156,"")</f>
        <v>0</v>
      </c>
      <c r="K157" s="32" t="n">
        <f aca="false">IFERROR(K156-Wk40!K156,"")</f>
        <v>0</v>
      </c>
      <c r="M157" s="32" t="n">
        <f aca="false">IFERROR(M156-Wk40!M156,"")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TEXT(Setup!$C$5+287,"dddd")</f>
        <v>Monday</v>
      </c>
      <c r="B2" s="13" t="n">
        <f aca="false">Setup!$C$5+287</f>
        <v>46314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TEXT(Setup!$C$5+287,"dddd")</f>
        <v>Monday</v>
      </c>
      <c r="B3" s="13" t="n">
        <f aca="false">Setup!$C$5+287</f>
        <v>46314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TEXT(Setup!$C$5+287,"dddd")</f>
        <v>Monday</v>
      </c>
      <c r="B4" s="13" t="n">
        <f aca="false">Setup!$C$5+287</f>
        <v>46314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TEXT(Setup!$C$5+287,"dddd")</f>
        <v>Monday</v>
      </c>
      <c r="B5" s="13" t="n">
        <f aca="false">Setup!$C$5+287</f>
        <v>46314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TEXT(Setup!$C$5+287,"dddd")</f>
        <v>Monday</v>
      </c>
      <c r="B6" s="13" t="n">
        <f aca="false">Setup!$C$5+287</f>
        <v>46314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TEXT(Setup!$C$5+287,"dddd")</f>
        <v>Monday</v>
      </c>
      <c r="B7" s="13" t="n">
        <f aca="false">Setup!$C$5+287</f>
        <v>46314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TEXT(Setup!$C$5+287,"dddd")</f>
        <v>Monday</v>
      </c>
      <c r="B8" s="13" t="n">
        <f aca="false">Setup!$C$5+287</f>
        <v>46314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TEXT(Setup!$C$5+287,"dddd")</f>
        <v>Monday</v>
      </c>
      <c r="B9" s="13" t="n">
        <f aca="false">Setup!$C$5+287</f>
        <v>46314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TEXT(Setup!$C$5+287,"dddd")</f>
        <v>Monday</v>
      </c>
      <c r="B10" s="13" t="n">
        <f aca="false">Setup!$C$5+287</f>
        <v>46314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TEXT(Setup!$C$5+287,"dddd")</f>
        <v>Monday</v>
      </c>
      <c r="B11" s="13" t="n">
        <f aca="false">Setup!$C$5+287</f>
        <v>46314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TEXT(Setup!$C$5+287,"dddd")</f>
        <v>Monday</v>
      </c>
      <c r="B12" s="13" t="n">
        <f aca="false">Setup!$C$5+287</f>
        <v>46314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TEXT(Setup!$C$5+287,"dddd")</f>
        <v>Monday</v>
      </c>
      <c r="B13" s="13" t="n">
        <f aca="false">Setup!$C$5+287</f>
        <v>46314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TEXT(Setup!$C$5+287,"dddd")</f>
        <v>Monday</v>
      </c>
      <c r="B14" s="13" t="n">
        <f aca="false">Setup!$C$5+287</f>
        <v>46314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TEXT(Setup!$C$5+287,"dddd")</f>
        <v>Monday</v>
      </c>
      <c r="B15" s="13" t="n">
        <f aca="false">Setup!$C$5+287</f>
        <v>46314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TEXT(Setup!$C$5+287,"dddd")</f>
        <v>Monday</v>
      </c>
      <c r="B16" s="13" t="n">
        <f aca="false">Setup!$C$5+287</f>
        <v>46314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TEXT(Setup!$C$5+287,"dddd")</f>
        <v>Monday</v>
      </c>
      <c r="B17" s="13" t="n">
        <f aca="false">Setup!$C$5+287</f>
        <v>46314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TEXT(Setup!$C$5+287,"dddd")</f>
        <v>Monday</v>
      </c>
      <c r="B18" s="13" t="n">
        <f aca="false">Setup!$C$5+287</f>
        <v>46314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TEXT(Setup!$C$5+287,"dddd")</f>
        <v>Monday</v>
      </c>
      <c r="B19" s="13" t="n">
        <f aca="false">Setup!$C$5+287</f>
        <v>46314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TEXT(Setup!$C$5+287,"dddd")</f>
        <v>Monday</v>
      </c>
      <c r="B20" s="13" t="n">
        <f aca="false">Setup!$C$5+287</f>
        <v>46314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TEXT(Setup!$C$5+287,"dddd")</f>
        <v>Monday</v>
      </c>
      <c r="B21" s="13" t="n">
        <f aca="false">Setup!$C$5+287</f>
        <v>46314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TEXT(Setup!$C$5+287,"dddd")</f>
        <v>Monday</v>
      </c>
      <c r="B22" s="13" t="n">
        <f aca="false">Setup!$C$5+287</f>
        <v>46314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TEXT(Setup!$C$5+287,"dddd")</f>
        <v>Monday</v>
      </c>
      <c r="B23" s="23" t="n">
        <f aca="false">Setup!$C$5+287</f>
        <v>46314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IFERROR(H23-Wk41!H23,"")</f>
        <v>0</v>
      </c>
      <c r="O23" s="24" t="n">
        <f aca="false">IFERROR(D23-Wk41!D23,"")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TEXT(Setup!$C$5+288,"dddd")</f>
        <v>Tuesday</v>
      </c>
      <c r="B24" s="13" t="n">
        <f aca="false">Setup!$C$5+288</f>
        <v>46315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TEXT(Setup!$C$5+288,"dddd")</f>
        <v>Tuesday</v>
      </c>
      <c r="B25" s="13" t="n">
        <f aca="false">Setup!$C$5+288</f>
        <v>46315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TEXT(Setup!$C$5+288,"dddd")</f>
        <v>Tuesday</v>
      </c>
      <c r="B26" s="13" t="n">
        <f aca="false">Setup!$C$5+288</f>
        <v>46315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TEXT(Setup!$C$5+288,"dddd")</f>
        <v>Tuesday</v>
      </c>
      <c r="B27" s="13" t="n">
        <f aca="false">Setup!$C$5+288</f>
        <v>46315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TEXT(Setup!$C$5+288,"dddd")</f>
        <v>Tuesday</v>
      </c>
      <c r="B28" s="13" t="n">
        <f aca="false">Setup!$C$5+288</f>
        <v>46315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TEXT(Setup!$C$5+288,"dddd")</f>
        <v>Tuesday</v>
      </c>
      <c r="B29" s="13" t="n">
        <f aca="false">Setup!$C$5+288</f>
        <v>46315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TEXT(Setup!$C$5+288,"dddd")</f>
        <v>Tuesday</v>
      </c>
      <c r="B30" s="13" t="n">
        <f aca="false">Setup!$C$5+288</f>
        <v>46315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TEXT(Setup!$C$5+288,"dddd")</f>
        <v>Tuesday</v>
      </c>
      <c r="B31" s="13" t="n">
        <f aca="false">Setup!$C$5+288</f>
        <v>46315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TEXT(Setup!$C$5+288,"dddd")</f>
        <v>Tuesday</v>
      </c>
      <c r="B32" s="13" t="n">
        <f aca="false">Setup!$C$5+288</f>
        <v>46315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TEXT(Setup!$C$5+288,"dddd")</f>
        <v>Tuesday</v>
      </c>
      <c r="B33" s="13" t="n">
        <f aca="false">Setup!$C$5+288</f>
        <v>46315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TEXT(Setup!$C$5+288,"dddd")</f>
        <v>Tuesday</v>
      </c>
      <c r="B34" s="13" t="n">
        <f aca="false">Setup!$C$5+288</f>
        <v>46315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TEXT(Setup!$C$5+288,"dddd")</f>
        <v>Tuesday</v>
      </c>
      <c r="B35" s="13" t="n">
        <f aca="false">Setup!$C$5+288</f>
        <v>46315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TEXT(Setup!$C$5+288,"dddd")</f>
        <v>Tuesday</v>
      </c>
      <c r="B36" s="13" t="n">
        <f aca="false">Setup!$C$5+288</f>
        <v>46315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TEXT(Setup!$C$5+288,"dddd")</f>
        <v>Tuesday</v>
      </c>
      <c r="B37" s="13" t="n">
        <f aca="false">Setup!$C$5+288</f>
        <v>46315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TEXT(Setup!$C$5+288,"dddd")</f>
        <v>Tuesday</v>
      </c>
      <c r="B38" s="13" t="n">
        <f aca="false">Setup!$C$5+288</f>
        <v>46315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TEXT(Setup!$C$5+288,"dddd")</f>
        <v>Tuesday</v>
      </c>
      <c r="B39" s="13" t="n">
        <f aca="false">Setup!$C$5+288</f>
        <v>46315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TEXT(Setup!$C$5+288,"dddd")</f>
        <v>Tuesday</v>
      </c>
      <c r="B40" s="13" t="n">
        <f aca="false">Setup!$C$5+288</f>
        <v>46315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TEXT(Setup!$C$5+288,"dddd")</f>
        <v>Tuesday</v>
      </c>
      <c r="B41" s="13" t="n">
        <f aca="false">Setup!$C$5+288</f>
        <v>46315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TEXT(Setup!$C$5+288,"dddd")</f>
        <v>Tuesday</v>
      </c>
      <c r="B42" s="13" t="n">
        <f aca="false">Setup!$C$5+288</f>
        <v>46315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TEXT(Setup!$C$5+288,"dddd")</f>
        <v>Tuesday</v>
      </c>
      <c r="B43" s="13" t="n">
        <f aca="false">Setup!$C$5+288</f>
        <v>46315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TEXT(Setup!$C$5+288,"dddd")</f>
        <v>Tuesday</v>
      </c>
      <c r="B44" s="13" t="n">
        <f aca="false">Setup!$C$5+288</f>
        <v>46315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TEXT(Setup!$C$5+288,"dddd")</f>
        <v>Tuesday</v>
      </c>
      <c r="B45" s="23" t="n">
        <f aca="false">Setup!$C$5+288</f>
        <v>46315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IFERROR(H45-Wk41!H45,"")</f>
        <v>0</v>
      </c>
      <c r="O45" s="24" t="n">
        <f aca="false">IFERROR(D45-Wk41!D45,"")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TEXT(Setup!$C$5+289,"dddd")</f>
        <v>Wednesday</v>
      </c>
      <c r="B46" s="13" t="n">
        <f aca="false">Setup!$C$5+289</f>
        <v>46316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TEXT(Setup!$C$5+289,"dddd")</f>
        <v>Wednesday</v>
      </c>
      <c r="B47" s="13" t="n">
        <f aca="false">Setup!$C$5+289</f>
        <v>46316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TEXT(Setup!$C$5+289,"dddd")</f>
        <v>Wednesday</v>
      </c>
      <c r="B48" s="13" t="n">
        <f aca="false">Setup!$C$5+289</f>
        <v>46316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TEXT(Setup!$C$5+289,"dddd")</f>
        <v>Wednesday</v>
      </c>
      <c r="B49" s="13" t="n">
        <f aca="false">Setup!$C$5+289</f>
        <v>46316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TEXT(Setup!$C$5+289,"dddd")</f>
        <v>Wednesday</v>
      </c>
      <c r="B50" s="13" t="n">
        <f aca="false">Setup!$C$5+289</f>
        <v>46316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TEXT(Setup!$C$5+289,"dddd")</f>
        <v>Wednesday</v>
      </c>
      <c r="B51" s="13" t="n">
        <f aca="false">Setup!$C$5+289</f>
        <v>46316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TEXT(Setup!$C$5+289,"dddd")</f>
        <v>Wednesday</v>
      </c>
      <c r="B52" s="13" t="n">
        <f aca="false">Setup!$C$5+289</f>
        <v>46316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TEXT(Setup!$C$5+289,"dddd")</f>
        <v>Wednesday</v>
      </c>
      <c r="B53" s="13" t="n">
        <f aca="false">Setup!$C$5+289</f>
        <v>46316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TEXT(Setup!$C$5+289,"dddd")</f>
        <v>Wednesday</v>
      </c>
      <c r="B54" s="13" t="n">
        <f aca="false">Setup!$C$5+289</f>
        <v>46316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TEXT(Setup!$C$5+289,"dddd")</f>
        <v>Wednesday</v>
      </c>
      <c r="B55" s="13" t="n">
        <f aca="false">Setup!$C$5+289</f>
        <v>46316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TEXT(Setup!$C$5+289,"dddd")</f>
        <v>Wednesday</v>
      </c>
      <c r="B56" s="13" t="n">
        <f aca="false">Setup!$C$5+289</f>
        <v>46316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TEXT(Setup!$C$5+289,"dddd")</f>
        <v>Wednesday</v>
      </c>
      <c r="B57" s="13" t="n">
        <f aca="false">Setup!$C$5+289</f>
        <v>46316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TEXT(Setup!$C$5+289,"dddd")</f>
        <v>Wednesday</v>
      </c>
      <c r="B58" s="13" t="n">
        <f aca="false">Setup!$C$5+289</f>
        <v>46316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TEXT(Setup!$C$5+289,"dddd")</f>
        <v>Wednesday</v>
      </c>
      <c r="B59" s="13" t="n">
        <f aca="false">Setup!$C$5+289</f>
        <v>46316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TEXT(Setup!$C$5+289,"dddd")</f>
        <v>Wednesday</v>
      </c>
      <c r="B60" s="13" t="n">
        <f aca="false">Setup!$C$5+289</f>
        <v>46316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TEXT(Setup!$C$5+289,"dddd")</f>
        <v>Wednesday</v>
      </c>
      <c r="B61" s="13" t="n">
        <f aca="false">Setup!$C$5+289</f>
        <v>46316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TEXT(Setup!$C$5+289,"dddd")</f>
        <v>Wednesday</v>
      </c>
      <c r="B62" s="13" t="n">
        <f aca="false">Setup!$C$5+289</f>
        <v>46316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TEXT(Setup!$C$5+289,"dddd")</f>
        <v>Wednesday</v>
      </c>
      <c r="B63" s="13" t="n">
        <f aca="false">Setup!$C$5+289</f>
        <v>46316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TEXT(Setup!$C$5+289,"dddd")</f>
        <v>Wednesday</v>
      </c>
      <c r="B64" s="13" t="n">
        <f aca="false">Setup!$C$5+289</f>
        <v>46316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TEXT(Setup!$C$5+289,"dddd")</f>
        <v>Wednesday</v>
      </c>
      <c r="B65" s="13" t="n">
        <f aca="false">Setup!$C$5+289</f>
        <v>46316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TEXT(Setup!$C$5+289,"dddd")</f>
        <v>Wednesday</v>
      </c>
      <c r="B66" s="13" t="n">
        <f aca="false">Setup!$C$5+289</f>
        <v>46316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TEXT(Setup!$C$5+289,"dddd")</f>
        <v>Wednesday</v>
      </c>
      <c r="B67" s="23" t="n">
        <f aca="false">Setup!$C$5+289</f>
        <v>46316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IFERROR(H67-Wk41!H67,"")</f>
        <v>0</v>
      </c>
      <c r="O67" s="24" t="n">
        <f aca="false">IFERROR(D67-Wk41!D67,"")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TEXT(Setup!$C$5+290,"dddd")</f>
        <v>Thursday</v>
      </c>
      <c r="B68" s="13" t="n">
        <f aca="false">Setup!$C$5+290</f>
        <v>46317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TEXT(Setup!$C$5+290,"dddd")</f>
        <v>Thursday</v>
      </c>
      <c r="B69" s="13" t="n">
        <f aca="false">Setup!$C$5+290</f>
        <v>46317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TEXT(Setup!$C$5+290,"dddd")</f>
        <v>Thursday</v>
      </c>
      <c r="B70" s="13" t="n">
        <f aca="false">Setup!$C$5+290</f>
        <v>46317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TEXT(Setup!$C$5+290,"dddd")</f>
        <v>Thursday</v>
      </c>
      <c r="B71" s="13" t="n">
        <f aca="false">Setup!$C$5+290</f>
        <v>46317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TEXT(Setup!$C$5+290,"dddd")</f>
        <v>Thursday</v>
      </c>
      <c r="B72" s="13" t="n">
        <f aca="false">Setup!$C$5+290</f>
        <v>46317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TEXT(Setup!$C$5+290,"dddd")</f>
        <v>Thursday</v>
      </c>
      <c r="B73" s="13" t="n">
        <f aca="false">Setup!$C$5+290</f>
        <v>46317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TEXT(Setup!$C$5+290,"dddd")</f>
        <v>Thursday</v>
      </c>
      <c r="B74" s="13" t="n">
        <f aca="false">Setup!$C$5+290</f>
        <v>46317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TEXT(Setup!$C$5+290,"dddd")</f>
        <v>Thursday</v>
      </c>
      <c r="B75" s="13" t="n">
        <f aca="false">Setup!$C$5+290</f>
        <v>46317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TEXT(Setup!$C$5+290,"dddd")</f>
        <v>Thursday</v>
      </c>
      <c r="B76" s="13" t="n">
        <f aca="false">Setup!$C$5+290</f>
        <v>46317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TEXT(Setup!$C$5+290,"dddd")</f>
        <v>Thursday</v>
      </c>
      <c r="B77" s="13" t="n">
        <f aca="false">Setup!$C$5+290</f>
        <v>46317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TEXT(Setup!$C$5+290,"dddd")</f>
        <v>Thursday</v>
      </c>
      <c r="B78" s="13" t="n">
        <f aca="false">Setup!$C$5+290</f>
        <v>46317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TEXT(Setup!$C$5+290,"dddd")</f>
        <v>Thursday</v>
      </c>
      <c r="B79" s="13" t="n">
        <f aca="false">Setup!$C$5+290</f>
        <v>46317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TEXT(Setup!$C$5+290,"dddd")</f>
        <v>Thursday</v>
      </c>
      <c r="B80" s="13" t="n">
        <f aca="false">Setup!$C$5+290</f>
        <v>46317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TEXT(Setup!$C$5+290,"dddd")</f>
        <v>Thursday</v>
      </c>
      <c r="B81" s="13" t="n">
        <f aca="false">Setup!$C$5+290</f>
        <v>46317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TEXT(Setup!$C$5+290,"dddd")</f>
        <v>Thursday</v>
      </c>
      <c r="B82" s="13" t="n">
        <f aca="false">Setup!$C$5+290</f>
        <v>46317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TEXT(Setup!$C$5+290,"dddd")</f>
        <v>Thursday</v>
      </c>
      <c r="B83" s="13" t="n">
        <f aca="false">Setup!$C$5+290</f>
        <v>46317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TEXT(Setup!$C$5+290,"dddd")</f>
        <v>Thursday</v>
      </c>
      <c r="B84" s="13" t="n">
        <f aca="false">Setup!$C$5+290</f>
        <v>46317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TEXT(Setup!$C$5+290,"dddd")</f>
        <v>Thursday</v>
      </c>
      <c r="B85" s="13" t="n">
        <f aca="false">Setup!$C$5+290</f>
        <v>46317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TEXT(Setup!$C$5+290,"dddd")</f>
        <v>Thursday</v>
      </c>
      <c r="B86" s="13" t="n">
        <f aca="false">Setup!$C$5+290</f>
        <v>46317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TEXT(Setup!$C$5+290,"dddd")</f>
        <v>Thursday</v>
      </c>
      <c r="B87" s="13" t="n">
        <f aca="false">Setup!$C$5+290</f>
        <v>46317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TEXT(Setup!$C$5+290,"dddd")</f>
        <v>Thursday</v>
      </c>
      <c r="B88" s="13" t="n">
        <f aca="false">Setup!$C$5+290</f>
        <v>46317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TEXT(Setup!$C$5+290,"dddd")</f>
        <v>Thursday</v>
      </c>
      <c r="B89" s="23" t="n">
        <f aca="false">Setup!$C$5+290</f>
        <v>46317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IFERROR(H89-Wk41!H89,"")</f>
        <v>0</v>
      </c>
      <c r="O89" s="24" t="n">
        <f aca="false">IFERROR(D89-Wk41!D89,"")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TEXT(Setup!$C$5+291,"dddd")</f>
        <v>Friday</v>
      </c>
      <c r="B90" s="13" t="n">
        <f aca="false">Setup!$C$5+291</f>
        <v>46318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TEXT(Setup!$C$5+291,"dddd")</f>
        <v>Friday</v>
      </c>
      <c r="B91" s="13" t="n">
        <f aca="false">Setup!$C$5+291</f>
        <v>46318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TEXT(Setup!$C$5+291,"dddd")</f>
        <v>Friday</v>
      </c>
      <c r="B92" s="13" t="n">
        <f aca="false">Setup!$C$5+291</f>
        <v>46318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TEXT(Setup!$C$5+291,"dddd")</f>
        <v>Friday</v>
      </c>
      <c r="B93" s="13" t="n">
        <f aca="false">Setup!$C$5+291</f>
        <v>46318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TEXT(Setup!$C$5+291,"dddd")</f>
        <v>Friday</v>
      </c>
      <c r="B94" s="13" t="n">
        <f aca="false">Setup!$C$5+291</f>
        <v>46318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TEXT(Setup!$C$5+291,"dddd")</f>
        <v>Friday</v>
      </c>
      <c r="B95" s="13" t="n">
        <f aca="false">Setup!$C$5+291</f>
        <v>46318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TEXT(Setup!$C$5+291,"dddd")</f>
        <v>Friday</v>
      </c>
      <c r="B96" s="13" t="n">
        <f aca="false">Setup!$C$5+291</f>
        <v>46318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TEXT(Setup!$C$5+291,"dddd")</f>
        <v>Friday</v>
      </c>
      <c r="B97" s="13" t="n">
        <f aca="false">Setup!$C$5+291</f>
        <v>46318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TEXT(Setup!$C$5+291,"dddd")</f>
        <v>Friday</v>
      </c>
      <c r="B98" s="13" t="n">
        <f aca="false">Setup!$C$5+291</f>
        <v>46318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TEXT(Setup!$C$5+291,"dddd")</f>
        <v>Friday</v>
      </c>
      <c r="B99" s="13" t="n">
        <f aca="false">Setup!$C$5+291</f>
        <v>46318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TEXT(Setup!$C$5+291,"dddd")</f>
        <v>Friday</v>
      </c>
      <c r="B100" s="13" t="n">
        <f aca="false">Setup!$C$5+291</f>
        <v>46318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TEXT(Setup!$C$5+291,"dddd")</f>
        <v>Friday</v>
      </c>
      <c r="B101" s="13" t="n">
        <f aca="false">Setup!$C$5+291</f>
        <v>46318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TEXT(Setup!$C$5+291,"dddd")</f>
        <v>Friday</v>
      </c>
      <c r="B102" s="13" t="n">
        <f aca="false">Setup!$C$5+291</f>
        <v>46318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TEXT(Setup!$C$5+291,"dddd")</f>
        <v>Friday</v>
      </c>
      <c r="B103" s="13" t="n">
        <f aca="false">Setup!$C$5+291</f>
        <v>46318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TEXT(Setup!$C$5+291,"dddd")</f>
        <v>Friday</v>
      </c>
      <c r="B104" s="13" t="n">
        <f aca="false">Setup!$C$5+291</f>
        <v>46318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TEXT(Setup!$C$5+291,"dddd")</f>
        <v>Friday</v>
      </c>
      <c r="B105" s="13" t="n">
        <f aca="false">Setup!$C$5+291</f>
        <v>46318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TEXT(Setup!$C$5+291,"dddd")</f>
        <v>Friday</v>
      </c>
      <c r="B106" s="13" t="n">
        <f aca="false">Setup!$C$5+291</f>
        <v>46318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TEXT(Setup!$C$5+291,"dddd")</f>
        <v>Friday</v>
      </c>
      <c r="B107" s="13" t="n">
        <f aca="false">Setup!$C$5+291</f>
        <v>46318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TEXT(Setup!$C$5+291,"dddd")</f>
        <v>Friday</v>
      </c>
      <c r="B108" s="13" t="n">
        <f aca="false">Setup!$C$5+291</f>
        <v>46318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TEXT(Setup!$C$5+291,"dddd")</f>
        <v>Friday</v>
      </c>
      <c r="B109" s="13" t="n">
        <f aca="false">Setup!$C$5+291</f>
        <v>46318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TEXT(Setup!$C$5+291,"dddd")</f>
        <v>Friday</v>
      </c>
      <c r="B110" s="13" t="n">
        <f aca="false">Setup!$C$5+291</f>
        <v>46318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TEXT(Setup!$C$5+291,"dddd")</f>
        <v>Friday</v>
      </c>
      <c r="B111" s="23" t="n">
        <f aca="false">Setup!$C$5+291</f>
        <v>46318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IFERROR(H111-Wk41!H111,"")</f>
        <v>0</v>
      </c>
      <c r="O111" s="24" t="n">
        <f aca="false">IFERROR(D111-Wk41!D111,"")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TEXT(Setup!$C$5+292,"dddd")</f>
        <v>Saturday</v>
      </c>
      <c r="B112" s="13" t="n">
        <f aca="false">Setup!$C$5+292</f>
        <v>46319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TEXT(Setup!$C$5+292,"dddd")</f>
        <v>Saturday</v>
      </c>
      <c r="B113" s="13" t="n">
        <f aca="false">Setup!$C$5+292</f>
        <v>46319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TEXT(Setup!$C$5+292,"dddd")</f>
        <v>Saturday</v>
      </c>
      <c r="B114" s="13" t="n">
        <f aca="false">Setup!$C$5+292</f>
        <v>46319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TEXT(Setup!$C$5+292,"dddd")</f>
        <v>Saturday</v>
      </c>
      <c r="B115" s="13" t="n">
        <f aca="false">Setup!$C$5+292</f>
        <v>46319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TEXT(Setup!$C$5+292,"dddd")</f>
        <v>Saturday</v>
      </c>
      <c r="B116" s="13" t="n">
        <f aca="false">Setup!$C$5+292</f>
        <v>46319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TEXT(Setup!$C$5+292,"dddd")</f>
        <v>Saturday</v>
      </c>
      <c r="B117" s="13" t="n">
        <f aca="false">Setup!$C$5+292</f>
        <v>46319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TEXT(Setup!$C$5+292,"dddd")</f>
        <v>Saturday</v>
      </c>
      <c r="B118" s="13" t="n">
        <f aca="false">Setup!$C$5+292</f>
        <v>46319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TEXT(Setup!$C$5+292,"dddd")</f>
        <v>Saturday</v>
      </c>
      <c r="B119" s="13" t="n">
        <f aca="false">Setup!$C$5+292</f>
        <v>46319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TEXT(Setup!$C$5+292,"dddd")</f>
        <v>Saturday</v>
      </c>
      <c r="B120" s="13" t="n">
        <f aca="false">Setup!$C$5+292</f>
        <v>46319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TEXT(Setup!$C$5+292,"dddd")</f>
        <v>Saturday</v>
      </c>
      <c r="B121" s="13" t="n">
        <f aca="false">Setup!$C$5+292</f>
        <v>46319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TEXT(Setup!$C$5+292,"dddd")</f>
        <v>Saturday</v>
      </c>
      <c r="B122" s="13" t="n">
        <f aca="false">Setup!$C$5+292</f>
        <v>46319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TEXT(Setup!$C$5+292,"dddd")</f>
        <v>Saturday</v>
      </c>
      <c r="B123" s="13" t="n">
        <f aca="false">Setup!$C$5+292</f>
        <v>46319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TEXT(Setup!$C$5+292,"dddd")</f>
        <v>Saturday</v>
      </c>
      <c r="B124" s="13" t="n">
        <f aca="false">Setup!$C$5+292</f>
        <v>46319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TEXT(Setup!$C$5+292,"dddd")</f>
        <v>Saturday</v>
      </c>
      <c r="B125" s="13" t="n">
        <f aca="false">Setup!$C$5+292</f>
        <v>46319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TEXT(Setup!$C$5+292,"dddd")</f>
        <v>Saturday</v>
      </c>
      <c r="B126" s="13" t="n">
        <f aca="false">Setup!$C$5+292</f>
        <v>46319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TEXT(Setup!$C$5+292,"dddd")</f>
        <v>Saturday</v>
      </c>
      <c r="B127" s="13" t="n">
        <f aca="false">Setup!$C$5+292</f>
        <v>46319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TEXT(Setup!$C$5+292,"dddd")</f>
        <v>Saturday</v>
      </c>
      <c r="B128" s="13" t="n">
        <f aca="false">Setup!$C$5+292</f>
        <v>46319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TEXT(Setup!$C$5+292,"dddd")</f>
        <v>Saturday</v>
      </c>
      <c r="B129" s="13" t="n">
        <f aca="false">Setup!$C$5+292</f>
        <v>46319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TEXT(Setup!$C$5+292,"dddd")</f>
        <v>Saturday</v>
      </c>
      <c r="B130" s="13" t="n">
        <f aca="false">Setup!$C$5+292</f>
        <v>46319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TEXT(Setup!$C$5+292,"dddd")</f>
        <v>Saturday</v>
      </c>
      <c r="B131" s="13" t="n">
        <f aca="false">Setup!$C$5+292</f>
        <v>46319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TEXT(Setup!$C$5+292,"dddd")</f>
        <v>Saturday</v>
      </c>
      <c r="B132" s="13" t="n">
        <f aca="false">Setup!$C$5+292</f>
        <v>46319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TEXT(Setup!$C$5+292,"dddd")</f>
        <v>Saturday</v>
      </c>
      <c r="B133" s="23" t="n">
        <f aca="false">Setup!$C$5+292</f>
        <v>46319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IFERROR(H133-Wk41!H133,"")</f>
        <v>0</v>
      </c>
      <c r="O133" s="24" t="n">
        <f aca="false">IFERROR(D133-Wk41!D133,"")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TEXT(Setup!$C$5+293,"dddd")</f>
        <v>Sunday</v>
      </c>
      <c r="B134" s="13" t="n">
        <f aca="false">Setup!$C$5+293</f>
        <v>46320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TEXT(Setup!$C$5+293,"dddd")</f>
        <v>Sunday</v>
      </c>
      <c r="B135" s="13" t="n">
        <f aca="false">Setup!$C$5+293</f>
        <v>46320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TEXT(Setup!$C$5+293,"dddd")</f>
        <v>Sunday</v>
      </c>
      <c r="B136" s="13" t="n">
        <f aca="false">Setup!$C$5+293</f>
        <v>46320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TEXT(Setup!$C$5+293,"dddd")</f>
        <v>Sunday</v>
      </c>
      <c r="B137" s="13" t="n">
        <f aca="false">Setup!$C$5+293</f>
        <v>46320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TEXT(Setup!$C$5+293,"dddd")</f>
        <v>Sunday</v>
      </c>
      <c r="B138" s="13" t="n">
        <f aca="false">Setup!$C$5+293</f>
        <v>46320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TEXT(Setup!$C$5+293,"dddd")</f>
        <v>Sunday</v>
      </c>
      <c r="B139" s="13" t="n">
        <f aca="false">Setup!$C$5+293</f>
        <v>46320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TEXT(Setup!$C$5+293,"dddd")</f>
        <v>Sunday</v>
      </c>
      <c r="B140" s="13" t="n">
        <f aca="false">Setup!$C$5+293</f>
        <v>46320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TEXT(Setup!$C$5+293,"dddd")</f>
        <v>Sunday</v>
      </c>
      <c r="B141" s="13" t="n">
        <f aca="false">Setup!$C$5+293</f>
        <v>46320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TEXT(Setup!$C$5+293,"dddd")</f>
        <v>Sunday</v>
      </c>
      <c r="B142" s="13" t="n">
        <f aca="false">Setup!$C$5+293</f>
        <v>46320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TEXT(Setup!$C$5+293,"dddd")</f>
        <v>Sunday</v>
      </c>
      <c r="B143" s="13" t="n">
        <f aca="false">Setup!$C$5+293</f>
        <v>46320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TEXT(Setup!$C$5+293,"dddd")</f>
        <v>Sunday</v>
      </c>
      <c r="B144" s="13" t="n">
        <f aca="false">Setup!$C$5+293</f>
        <v>46320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TEXT(Setup!$C$5+293,"dddd")</f>
        <v>Sunday</v>
      </c>
      <c r="B145" s="13" t="n">
        <f aca="false">Setup!$C$5+293</f>
        <v>46320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TEXT(Setup!$C$5+293,"dddd")</f>
        <v>Sunday</v>
      </c>
      <c r="B146" s="13" t="n">
        <f aca="false">Setup!$C$5+293</f>
        <v>46320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TEXT(Setup!$C$5+293,"dddd")</f>
        <v>Sunday</v>
      </c>
      <c r="B147" s="13" t="n">
        <f aca="false">Setup!$C$5+293</f>
        <v>46320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TEXT(Setup!$C$5+293,"dddd")</f>
        <v>Sunday</v>
      </c>
      <c r="B148" s="13" t="n">
        <f aca="false">Setup!$C$5+293</f>
        <v>46320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TEXT(Setup!$C$5+293,"dddd")</f>
        <v>Sunday</v>
      </c>
      <c r="B149" s="13" t="n">
        <f aca="false">Setup!$C$5+293</f>
        <v>46320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TEXT(Setup!$C$5+293,"dddd")</f>
        <v>Sunday</v>
      </c>
      <c r="B150" s="13" t="n">
        <f aca="false">Setup!$C$5+293</f>
        <v>46320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TEXT(Setup!$C$5+293,"dddd")</f>
        <v>Sunday</v>
      </c>
      <c r="B151" s="13" t="n">
        <f aca="false">Setup!$C$5+293</f>
        <v>46320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TEXT(Setup!$C$5+293,"dddd")</f>
        <v>Sunday</v>
      </c>
      <c r="B152" s="13" t="n">
        <f aca="false">Setup!$C$5+293</f>
        <v>46320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TEXT(Setup!$C$5+293,"dddd")</f>
        <v>Sunday</v>
      </c>
      <c r="B153" s="13" t="n">
        <f aca="false">Setup!$C$5+293</f>
        <v>46320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TEXT(Setup!$C$5+293,"dddd")</f>
        <v>Sunday</v>
      </c>
      <c r="B154" s="13" t="n">
        <f aca="false">Setup!$C$5+293</f>
        <v>46320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TEXT(Setup!$C$5+293,"dddd")</f>
        <v>Sunday</v>
      </c>
      <c r="B155" s="23" t="n">
        <f aca="false">Setup!$C$5+293</f>
        <v>46320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IFERROR(H155-Wk41!H155,"")</f>
        <v>0</v>
      </c>
      <c r="O155" s="24" t="n">
        <f aca="false">IFERROR(D155-Wk41!D155,"")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IFERROR(D156-Wk41!D156,"")</f>
        <v>0</v>
      </c>
      <c r="E157" s="34" t="n">
        <f aca="false">IFERROR(E156-Wk41!E156,"")</f>
        <v>0</v>
      </c>
      <c r="H157" s="32" t="n">
        <f aca="false">IFERROR(H156-Wk41!H156,"")</f>
        <v>0</v>
      </c>
      <c r="K157" s="32" t="n">
        <f aca="false">IFERROR(K156-Wk41!K156,"")</f>
        <v>0</v>
      </c>
      <c r="M157" s="32" t="n">
        <f aca="false">IFERROR(M156-Wk41!M156,"")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TEXT(Setup!$C$5+294,"dddd")</f>
        <v>Monday</v>
      </c>
      <c r="B2" s="13" t="n">
        <f aca="false">Setup!$C$5+294</f>
        <v>46321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TEXT(Setup!$C$5+294,"dddd")</f>
        <v>Monday</v>
      </c>
      <c r="B3" s="13" t="n">
        <f aca="false">Setup!$C$5+294</f>
        <v>46321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TEXT(Setup!$C$5+294,"dddd")</f>
        <v>Monday</v>
      </c>
      <c r="B4" s="13" t="n">
        <f aca="false">Setup!$C$5+294</f>
        <v>46321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TEXT(Setup!$C$5+294,"dddd")</f>
        <v>Monday</v>
      </c>
      <c r="B5" s="13" t="n">
        <f aca="false">Setup!$C$5+294</f>
        <v>46321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TEXT(Setup!$C$5+294,"dddd")</f>
        <v>Monday</v>
      </c>
      <c r="B6" s="13" t="n">
        <f aca="false">Setup!$C$5+294</f>
        <v>46321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TEXT(Setup!$C$5+294,"dddd")</f>
        <v>Monday</v>
      </c>
      <c r="B7" s="13" t="n">
        <f aca="false">Setup!$C$5+294</f>
        <v>46321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TEXT(Setup!$C$5+294,"dddd")</f>
        <v>Monday</v>
      </c>
      <c r="B8" s="13" t="n">
        <f aca="false">Setup!$C$5+294</f>
        <v>46321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TEXT(Setup!$C$5+294,"dddd")</f>
        <v>Monday</v>
      </c>
      <c r="B9" s="13" t="n">
        <f aca="false">Setup!$C$5+294</f>
        <v>46321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TEXT(Setup!$C$5+294,"dddd")</f>
        <v>Monday</v>
      </c>
      <c r="B10" s="13" t="n">
        <f aca="false">Setup!$C$5+294</f>
        <v>46321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TEXT(Setup!$C$5+294,"dddd")</f>
        <v>Monday</v>
      </c>
      <c r="B11" s="13" t="n">
        <f aca="false">Setup!$C$5+294</f>
        <v>46321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TEXT(Setup!$C$5+294,"dddd")</f>
        <v>Monday</v>
      </c>
      <c r="B12" s="13" t="n">
        <f aca="false">Setup!$C$5+294</f>
        <v>46321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TEXT(Setup!$C$5+294,"dddd")</f>
        <v>Monday</v>
      </c>
      <c r="B13" s="13" t="n">
        <f aca="false">Setup!$C$5+294</f>
        <v>46321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TEXT(Setup!$C$5+294,"dddd")</f>
        <v>Monday</v>
      </c>
      <c r="B14" s="13" t="n">
        <f aca="false">Setup!$C$5+294</f>
        <v>46321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TEXT(Setup!$C$5+294,"dddd")</f>
        <v>Monday</v>
      </c>
      <c r="B15" s="13" t="n">
        <f aca="false">Setup!$C$5+294</f>
        <v>46321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TEXT(Setup!$C$5+294,"dddd")</f>
        <v>Monday</v>
      </c>
      <c r="B16" s="13" t="n">
        <f aca="false">Setup!$C$5+294</f>
        <v>46321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TEXT(Setup!$C$5+294,"dddd")</f>
        <v>Monday</v>
      </c>
      <c r="B17" s="13" t="n">
        <f aca="false">Setup!$C$5+294</f>
        <v>46321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TEXT(Setup!$C$5+294,"dddd")</f>
        <v>Monday</v>
      </c>
      <c r="B18" s="13" t="n">
        <f aca="false">Setup!$C$5+294</f>
        <v>46321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TEXT(Setup!$C$5+294,"dddd")</f>
        <v>Monday</v>
      </c>
      <c r="B19" s="13" t="n">
        <f aca="false">Setup!$C$5+294</f>
        <v>46321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TEXT(Setup!$C$5+294,"dddd")</f>
        <v>Monday</v>
      </c>
      <c r="B20" s="13" t="n">
        <f aca="false">Setup!$C$5+294</f>
        <v>46321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TEXT(Setup!$C$5+294,"dddd")</f>
        <v>Monday</v>
      </c>
      <c r="B21" s="13" t="n">
        <f aca="false">Setup!$C$5+294</f>
        <v>46321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TEXT(Setup!$C$5+294,"dddd")</f>
        <v>Monday</v>
      </c>
      <c r="B22" s="13" t="n">
        <f aca="false">Setup!$C$5+294</f>
        <v>46321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TEXT(Setup!$C$5+294,"dddd")</f>
        <v>Monday</v>
      </c>
      <c r="B23" s="23" t="n">
        <f aca="false">Setup!$C$5+294</f>
        <v>46321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IFERROR(H23-Wk42!H23,"")</f>
        <v>0</v>
      </c>
      <c r="O23" s="24" t="n">
        <f aca="false">IFERROR(D23-Wk42!D23,"")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TEXT(Setup!$C$5+295,"dddd")</f>
        <v>Tuesday</v>
      </c>
      <c r="B24" s="13" t="n">
        <f aca="false">Setup!$C$5+295</f>
        <v>46322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TEXT(Setup!$C$5+295,"dddd")</f>
        <v>Tuesday</v>
      </c>
      <c r="B25" s="13" t="n">
        <f aca="false">Setup!$C$5+295</f>
        <v>46322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TEXT(Setup!$C$5+295,"dddd")</f>
        <v>Tuesday</v>
      </c>
      <c r="B26" s="13" t="n">
        <f aca="false">Setup!$C$5+295</f>
        <v>46322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TEXT(Setup!$C$5+295,"dddd")</f>
        <v>Tuesday</v>
      </c>
      <c r="B27" s="13" t="n">
        <f aca="false">Setup!$C$5+295</f>
        <v>46322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TEXT(Setup!$C$5+295,"dddd")</f>
        <v>Tuesday</v>
      </c>
      <c r="B28" s="13" t="n">
        <f aca="false">Setup!$C$5+295</f>
        <v>46322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TEXT(Setup!$C$5+295,"dddd")</f>
        <v>Tuesday</v>
      </c>
      <c r="B29" s="13" t="n">
        <f aca="false">Setup!$C$5+295</f>
        <v>46322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TEXT(Setup!$C$5+295,"dddd")</f>
        <v>Tuesday</v>
      </c>
      <c r="B30" s="13" t="n">
        <f aca="false">Setup!$C$5+295</f>
        <v>46322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TEXT(Setup!$C$5+295,"dddd")</f>
        <v>Tuesday</v>
      </c>
      <c r="B31" s="13" t="n">
        <f aca="false">Setup!$C$5+295</f>
        <v>46322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TEXT(Setup!$C$5+295,"dddd")</f>
        <v>Tuesday</v>
      </c>
      <c r="B32" s="13" t="n">
        <f aca="false">Setup!$C$5+295</f>
        <v>46322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TEXT(Setup!$C$5+295,"dddd")</f>
        <v>Tuesday</v>
      </c>
      <c r="B33" s="13" t="n">
        <f aca="false">Setup!$C$5+295</f>
        <v>46322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TEXT(Setup!$C$5+295,"dddd")</f>
        <v>Tuesday</v>
      </c>
      <c r="B34" s="13" t="n">
        <f aca="false">Setup!$C$5+295</f>
        <v>46322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TEXT(Setup!$C$5+295,"dddd")</f>
        <v>Tuesday</v>
      </c>
      <c r="B35" s="13" t="n">
        <f aca="false">Setup!$C$5+295</f>
        <v>46322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TEXT(Setup!$C$5+295,"dddd")</f>
        <v>Tuesday</v>
      </c>
      <c r="B36" s="13" t="n">
        <f aca="false">Setup!$C$5+295</f>
        <v>46322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TEXT(Setup!$C$5+295,"dddd")</f>
        <v>Tuesday</v>
      </c>
      <c r="B37" s="13" t="n">
        <f aca="false">Setup!$C$5+295</f>
        <v>46322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TEXT(Setup!$C$5+295,"dddd")</f>
        <v>Tuesday</v>
      </c>
      <c r="B38" s="13" t="n">
        <f aca="false">Setup!$C$5+295</f>
        <v>46322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TEXT(Setup!$C$5+295,"dddd")</f>
        <v>Tuesday</v>
      </c>
      <c r="B39" s="13" t="n">
        <f aca="false">Setup!$C$5+295</f>
        <v>46322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TEXT(Setup!$C$5+295,"dddd")</f>
        <v>Tuesday</v>
      </c>
      <c r="B40" s="13" t="n">
        <f aca="false">Setup!$C$5+295</f>
        <v>46322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TEXT(Setup!$C$5+295,"dddd")</f>
        <v>Tuesday</v>
      </c>
      <c r="B41" s="13" t="n">
        <f aca="false">Setup!$C$5+295</f>
        <v>46322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TEXT(Setup!$C$5+295,"dddd")</f>
        <v>Tuesday</v>
      </c>
      <c r="B42" s="13" t="n">
        <f aca="false">Setup!$C$5+295</f>
        <v>46322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TEXT(Setup!$C$5+295,"dddd")</f>
        <v>Tuesday</v>
      </c>
      <c r="B43" s="13" t="n">
        <f aca="false">Setup!$C$5+295</f>
        <v>46322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TEXT(Setup!$C$5+295,"dddd")</f>
        <v>Tuesday</v>
      </c>
      <c r="B44" s="13" t="n">
        <f aca="false">Setup!$C$5+295</f>
        <v>46322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TEXT(Setup!$C$5+295,"dddd")</f>
        <v>Tuesday</v>
      </c>
      <c r="B45" s="23" t="n">
        <f aca="false">Setup!$C$5+295</f>
        <v>46322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IFERROR(H45-Wk42!H45,"")</f>
        <v>0</v>
      </c>
      <c r="O45" s="24" t="n">
        <f aca="false">IFERROR(D45-Wk42!D45,"")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TEXT(Setup!$C$5+296,"dddd")</f>
        <v>Wednesday</v>
      </c>
      <c r="B46" s="13" t="n">
        <f aca="false">Setup!$C$5+296</f>
        <v>46323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TEXT(Setup!$C$5+296,"dddd")</f>
        <v>Wednesday</v>
      </c>
      <c r="B47" s="13" t="n">
        <f aca="false">Setup!$C$5+296</f>
        <v>46323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TEXT(Setup!$C$5+296,"dddd")</f>
        <v>Wednesday</v>
      </c>
      <c r="B48" s="13" t="n">
        <f aca="false">Setup!$C$5+296</f>
        <v>46323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TEXT(Setup!$C$5+296,"dddd")</f>
        <v>Wednesday</v>
      </c>
      <c r="B49" s="13" t="n">
        <f aca="false">Setup!$C$5+296</f>
        <v>46323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TEXT(Setup!$C$5+296,"dddd")</f>
        <v>Wednesday</v>
      </c>
      <c r="B50" s="13" t="n">
        <f aca="false">Setup!$C$5+296</f>
        <v>46323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TEXT(Setup!$C$5+296,"dddd")</f>
        <v>Wednesday</v>
      </c>
      <c r="B51" s="13" t="n">
        <f aca="false">Setup!$C$5+296</f>
        <v>46323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TEXT(Setup!$C$5+296,"dddd")</f>
        <v>Wednesday</v>
      </c>
      <c r="B52" s="13" t="n">
        <f aca="false">Setup!$C$5+296</f>
        <v>46323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TEXT(Setup!$C$5+296,"dddd")</f>
        <v>Wednesday</v>
      </c>
      <c r="B53" s="13" t="n">
        <f aca="false">Setup!$C$5+296</f>
        <v>46323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TEXT(Setup!$C$5+296,"dddd")</f>
        <v>Wednesday</v>
      </c>
      <c r="B54" s="13" t="n">
        <f aca="false">Setup!$C$5+296</f>
        <v>46323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TEXT(Setup!$C$5+296,"dddd")</f>
        <v>Wednesday</v>
      </c>
      <c r="B55" s="13" t="n">
        <f aca="false">Setup!$C$5+296</f>
        <v>46323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TEXT(Setup!$C$5+296,"dddd")</f>
        <v>Wednesday</v>
      </c>
      <c r="B56" s="13" t="n">
        <f aca="false">Setup!$C$5+296</f>
        <v>46323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TEXT(Setup!$C$5+296,"dddd")</f>
        <v>Wednesday</v>
      </c>
      <c r="B57" s="13" t="n">
        <f aca="false">Setup!$C$5+296</f>
        <v>46323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TEXT(Setup!$C$5+296,"dddd")</f>
        <v>Wednesday</v>
      </c>
      <c r="B58" s="13" t="n">
        <f aca="false">Setup!$C$5+296</f>
        <v>46323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TEXT(Setup!$C$5+296,"dddd")</f>
        <v>Wednesday</v>
      </c>
      <c r="B59" s="13" t="n">
        <f aca="false">Setup!$C$5+296</f>
        <v>46323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TEXT(Setup!$C$5+296,"dddd")</f>
        <v>Wednesday</v>
      </c>
      <c r="B60" s="13" t="n">
        <f aca="false">Setup!$C$5+296</f>
        <v>46323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TEXT(Setup!$C$5+296,"dddd")</f>
        <v>Wednesday</v>
      </c>
      <c r="B61" s="13" t="n">
        <f aca="false">Setup!$C$5+296</f>
        <v>46323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TEXT(Setup!$C$5+296,"dddd")</f>
        <v>Wednesday</v>
      </c>
      <c r="B62" s="13" t="n">
        <f aca="false">Setup!$C$5+296</f>
        <v>46323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TEXT(Setup!$C$5+296,"dddd")</f>
        <v>Wednesday</v>
      </c>
      <c r="B63" s="13" t="n">
        <f aca="false">Setup!$C$5+296</f>
        <v>46323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TEXT(Setup!$C$5+296,"dddd")</f>
        <v>Wednesday</v>
      </c>
      <c r="B64" s="13" t="n">
        <f aca="false">Setup!$C$5+296</f>
        <v>46323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TEXT(Setup!$C$5+296,"dddd")</f>
        <v>Wednesday</v>
      </c>
      <c r="B65" s="13" t="n">
        <f aca="false">Setup!$C$5+296</f>
        <v>46323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TEXT(Setup!$C$5+296,"dddd")</f>
        <v>Wednesday</v>
      </c>
      <c r="B66" s="13" t="n">
        <f aca="false">Setup!$C$5+296</f>
        <v>46323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TEXT(Setup!$C$5+296,"dddd")</f>
        <v>Wednesday</v>
      </c>
      <c r="B67" s="23" t="n">
        <f aca="false">Setup!$C$5+296</f>
        <v>46323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IFERROR(H67-Wk42!H67,"")</f>
        <v>0</v>
      </c>
      <c r="O67" s="24" t="n">
        <f aca="false">IFERROR(D67-Wk42!D67,"")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TEXT(Setup!$C$5+297,"dddd")</f>
        <v>Thursday</v>
      </c>
      <c r="B68" s="13" t="n">
        <f aca="false">Setup!$C$5+297</f>
        <v>46324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TEXT(Setup!$C$5+297,"dddd")</f>
        <v>Thursday</v>
      </c>
      <c r="B69" s="13" t="n">
        <f aca="false">Setup!$C$5+297</f>
        <v>46324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TEXT(Setup!$C$5+297,"dddd")</f>
        <v>Thursday</v>
      </c>
      <c r="B70" s="13" t="n">
        <f aca="false">Setup!$C$5+297</f>
        <v>46324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TEXT(Setup!$C$5+297,"dddd")</f>
        <v>Thursday</v>
      </c>
      <c r="B71" s="13" t="n">
        <f aca="false">Setup!$C$5+297</f>
        <v>46324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TEXT(Setup!$C$5+297,"dddd")</f>
        <v>Thursday</v>
      </c>
      <c r="B72" s="13" t="n">
        <f aca="false">Setup!$C$5+297</f>
        <v>46324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TEXT(Setup!$C$5+297,"dddd")</f>
        <v>Thursday</v>
      </c>
      <c r="B73" s="13" t="n">
        <f aca="false">Setup!$C$5+297</f>
        <v>46324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TEXT(Setup!$C$5+297,"dddd")</f>
        <v>Thursday</v>
      </c>
      <c r="B74" s="13" t="n">
        <f aca="false">Setup!$C$5+297</f>
        <v>46324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TEXT(Setup!$C$5+297,"dddd")</f>
        <v>Thursday</v>
      </c>
      <c r="B75" s="13" t="n">
        <f aca="false">Setup!$C$5+297</f>
        <v>46324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TEXT(Setup!$C$5+297,"dddd")</f>
        <v>Thursday</v>
      </c>
      <c r="B76" s="13" t="n">
        <f aca="false">Setup!$C$5+297</f>
        <v>46324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TEXT(Setup!$C$5+297,"dddd")</f>
        <v>Thursday</v>
      </c>
      <c r="B77" s="13" t="n">
        <f aca="false">Setup!$C$5+297</f>
        <v>46324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TEXT(Setup!$C$5+297,"dddd")</f>
        <v>Thursday</v>
      </c>
      <c r="B78" s="13" t="n">
        <f aca="false">Setup!$C$5+297</f>
        <v>46324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TEXT(Setup!$C$5+297,"dddd")</f>
        <v>Thursday</v>
      </c>
      <c r="B79" s="13" t="n">
        <f aca="false">Setup!$C$5+297</f>
        <v>46324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TEXT(Setup!$C$5+297,"dddd")</f>
        <v>Thursday</v>
      </c>
      <c r="B80" s="13" t="n">
        <f aca="false">Setup!$C$5+297</f>
        <v>46324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TEXT(Setup!$C$5+297,"dddd")</f>
        <v>Thursday</v>
      </c>
      <c r="B81" s="13" t="n">
        <f aca="false">Setup!$C$5+297</f>
        <v>46324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TEXT(Setup!$C$5+297,"dddd")</f>
        <v>Thursday</v>
      </c>
      <c r="B82" s="13" t="n">
        <f aca="false">Setup!$C$5+297</f>
        <v>46324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TEXT(Setup!$C$5+297,"dddd")</f>
        <v>Thursday</v>
      </c>
      <c r="B83" s="13" t="n">
        <f aca="false">Setup!$C$5+297</f>
        <v>46324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TEXT(Setup!$C$5+297,"dddd")</f>
        <v>Thursday</v>
      </c>
      <c r="B84" s="13" t="n">
        <f aca="false">Setup!$C$5+297</f>
        <v>46324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TEXT(Setup!$C$5+297,"dddd")</f>
        <v>Thursday</v>
      </c>
      <c r="B85" s="13" t="n">
        <f aca="false">Setup!$C$5+297</f>
        <v>46324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TEXT(Setup!$C$5+297,"dddd")</f>
        <v>Thursday</v>
      </c>
      <c r="B86" s="13" t="n">
        <f aca="false">Setup!$C$5+297</f>
        <v>46324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TEXT(Setup!$C$5+297,"dddd")</f>
        <v>Thursday</v>
      </c>
      <c r="B87" s="13" t="n">
        <f aca="false">Setup!$C$5+297</f>
        <v>46324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TEXT(Setup!$C$5+297,"dddd")</f>
        <v>Thursday</v>
      </c>
      <c r="B88" s="13" t="n">
        <f aca="false">Setup!$C$5+297</f>
        <v>46324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TEXT(Setup!$C$5+297,"dddd")</f>
        <v>Thursday</v>
      </c>
      <c r="B89" s="23" t="n">
        <f aca="false">Setup!$C$5+297</f>
        <v>46324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IFERROR(H89-Wk42!H89,"")</f>
        <v>0</v>
      </c>
      <c r="O89" s="24" t="n">
        <f aca="false">IFERROR(D89-Wk42!D89,"")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TEXT(Setup!$C$5+298,"dddd")</f>
        <v>Friday</v>
      </c>
      <c r="B90" s="13" t="n">
        <f aca="false">Setup!$C$5+298</f>
        <v>46325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TEXT(Setup!$C$5+298,"dddd")</f>
        <v>Friday</v>
      </c>
      <c r="B91" s="13" t="n">
        <f aca="false">Setup!$C$5+298</f>
        <v>46325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TEXT(Setup!$C$5+298,"dddd")</f>
        <v>Friday</v>
      </c>
      <c r="B92" s="13" t="n">
        <f aca="false">Setup!$C$5+298</f>
        <v>46325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TEXT(Setup!$C$5+298,"dddd")</f>
        <v>Friday</v>
      </c>
      <c r="B93" s="13" t="n">
        <f aca="false">Setup!$C$5+298</f>
        <v>46325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TEXT(Setup!$C$5+298,"dddd")</f>
        <v>Friday</v>
      </c>
      <c r="B94" s="13" t="n">
        <f aca="false">Setup!$C$5+298</f>
        <v>46325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TEXT(Setup!$C$5+298,"dddd")</f>
        <v>Friday</v>
      </c>
      <c r="B95" s="13" t="n">
        <f aca="false">Setup!$C$5+298</f>
        <v>46325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TEXT(Setup!$C$5+298,"dddd")</f>
        <v>Friday</v>
      </c>
      <c r="B96" s="13" t="n">
        <f aca="false">Setup!$C$5+298</f>
        <v>46325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TEXT(Setup!$C$5+298,"dddd")</f>
        <v>Friday</v>
      </c>
      <c r="B97" s="13" t="n">
        <f aca="false">Setup!$C$5+298</f>
        <v>46325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TEXT(Setup!$C$5+298,"dddd")</f>
        <v>Friday</v>
      </c>
      <c r="B98" s="13" t="n">
        <f aca="false">Setup!$C$5+298</f>
        <v>46325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TEXT(Setup!$C$5+298,"dddd")</f>
        <v>Friday</v>
      </c>
      <c r="B99" s="13" t="n">
        <f aca="false">Setup!$C$5+298</f>
        <v>46325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TEXT(Setup!$C$5+298,"dddd")</f>
        <v>Friday</v>
      </c>
      <c r="B100" s="13" t="n">
        <f aca="false">Setup!$C$5+298</f>
        <v>46325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TEXT(Setup!$C$5+298,"dddd")</f>
        <v>Friday</v>
      </c>
      <c r="B101" s="13" t="n">
        <f aca="false">Setup!$C$5+298</f>
        <v>46325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TEXT(Setup!$C$5+298,"dddd")</f>
        <v>Friday</v>
      </c>
      <c r="B102" s="13" t="n">
        <f aca="false">Setup!$C$5+298</f>
        <v>46325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TEXT(Setup!$C$5+298,"dddd")</f>
        <v>Friday</v>
      </c>
      <c r="B103" s="13" t="n">
        <f aca="false">Setup!$C$5+298</f>
        <v>46325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TEXT(Setup!$C$5+298,"dddd")</f>
        <v>Friday</v>
      </c>
      <c r="B104" s="13" t="n">
        <f aca="false">Setup!$C$5+298</f>
        <v>46325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TEXT(Setup!$C$5+298,"dddd")</f>
        <v>Friday</v>
      </c>
      <c r="B105" s="13" t="n">
        <f aca="false">Setup!$C$5+298</f>
        <v>46325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TEXT(Setup!$C$5+298,"dddd")</f>
        <v>Friday</v>
      </c>
      <c r="B106" s="13" t="n">
        <f aca="false">Setup!$C$5+298</f>
        <v>46325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TEXT(Setup!$C$5+298,"dddd")</f>
        <v>Friday</v>
      </c>
      <c r="B107" s="13" t="n">
        <f aca="false">Setup!$C$5+298</f>
        <v>46325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TEXT(Setup!$C$5+298,"dddd")</f>
        <v>Friday</v>
      </c>
      <c r="B108" s="13" t="n">
        <f aca="false">Setup!$C$5+298</f>
        <v>46325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TEXT(Setup!$C$5+298,"dddd")</f>
        <v>Friday</v>
      </c>
      <c r="B109" s="13" t="n">
        <f aca="false">Setup!$C$5+298</f>
        <v>46325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TEXT(Setup!$C$5+298,"dddd")</f>
        <v>Friday</v>
      </c>
      <c r="B110" s="13" t="n">
        <f aca="false">Setup!$C$5+298</f>
        <v>46325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TEXT(Setup!$C$5+298,"dddd")</f>
        <v>Friday</v>
      </c>
      <c r="B111" s="23" t="n">
        <f aca="false">Setup!$C$5+298</f>
        <v>46325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IFERROR(H111-Wk42!H111,"")</f>
        <v>0</v>
      </c>
      <c r="O111" s="24" t="n">
        <f aca="false">IFERROR(D111-Wk42!D111,"")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TEXT(Setup!$C$5+299,"dddd")</f>
        <v>Saturday</v>
      </c>
      <c r="B112" s="13" t="n">
        <f aca="false">Setup!$C$5+299</f>
        <v>46326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TEXT(Setup!$C$5+299,"dddd")</f>
        <v>Saturday</v>
      </c>
      <c r="B113" s="13" t="n">
        <f aca="false">Setup!$C$5+299</f>
        <v>46326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TEXT(Setup!$C$5+299,"dddd")</f>
        <v>Saturday</v>
      </c>
      <c r="B114" s="13" t="n">
        <f aca="false">Setup!$C$5+299</f>
        <v>46326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TEXT(Setup!$C$5+299,"dddd")</f>
        <v>Saturday</v>
      </c>
      <c r="B115" s="13" t="n">
        <f aca="false">Setup!$C$5+299</f>
        <v>46326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TEXT(Setup!$C$5+299,"dddd")</f>
        <v>Saturday</v>
      </c>
      <c r="B116" s="13" t="n">
        <f aca="false">Setup!$C$5+299</f>
        <v>46326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TEXT(Setup!$C$5+299,"dddd")</f>
        <v>Saturday</v>
      </c>
      <c r="B117" s="13" t="n">
        <f aca="false">Setup!$C$5+299</f>
        <v>46326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TEXT(Setup!$C$5+299,"dddd")</f>
        <v>Saturday</v>
      </c>
      <c r="B118" s="13" t="n">
        <f aca="false">Setup!$C$5+299</f>
        <v>46326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TEXT(Setup!$C$5+299,"dddd")</f>
        <v>Saturday</v>
      </c>
      <c r="B119" s="13" t="n">
        <f aca="false">Setup!$C$5+299</f>
        <v>46326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TEXT(Setup!$C$5+299,"dddd")</f>
        <v>Saturday</v>
      </c>
      <c r="B120" s="13" t="n">
        <f aca="false">Setup!$C$5+299</f>
        <v>46326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TEXT(Setup!$C$5+299,"dddd")</f>
        <v>Saturday</v>
      </c>
      <c r="B121" s="13" t="n">
        <f aca="false">Setup!$C$5+299</f>
        <v>46326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TEXT(Setup!$C$5+299,"dddd")</f>
        <v>Saturday</v>
      </c>
      <c r="B122" s="13" t="n">
        <f aca="false">Setup!$C$5+299</f>
        <v>46326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TEXT(Setup!$C$5+299,"dddd")</f>
        <v>Saturday</v>
      </c>
      <c r="B123" s="13" t="n">
        <f aca="false">Setup!$C$5+299</f>
        <v>46326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TEXT(Setup!$C$5+299,"dddd")</f>
        <v>Saturday</v>
      </c>
      <c r="B124" s="13" t="n">
        <f aca="false">Setup!$C$5+299</f>
        <v>46326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TEXT(Setup!$C$5+299,"dddd")</f>
        <v>Saturday</v>
      </c>
      <c r="B125" s="13" t="n">
        <f aca="false">Setup!$C$5+299</f>
        <v>46326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TEXT(Setup!$C$5+299,"dddd")</f>
        <v>Saturday</v>
      </c>
      <c r="B126" s="13" t="n">
        <f aca="false">Setup!$C$5+299</f>
        <v>46326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TEXT(Setup!$C$5+299,"dddd")</f>
        <v>Saturday</v>
      </c>
      <c r="B127" s="13" t="n">
        <f aca="false">Setup!$C$5+299</f>
        <v>46326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TEXT(Setup!$C$5+299,"dddd")</f>
        <v>Saturday</v>
      </c>
      <c r="B128" s="13" t="n">
        <f aca="false">Setup!$C$5+299</f>
        <v>46326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TEXT(Setup!$C$5+299,"dddd")</f>
        <v>Saturday</v>
      </c>
      <c r="B129" s="13" t="n">
        <f aca="false">Setup!$C$5+299</f>
        <v>46326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TEXT(Setup!$C$5+299,"dddd")</f>
        <v>Saturday</v>
      </c>
      <c r="B130" s="13" t="n">
        <f aca="false">Setup!$C$5+299</f>
        <v>46326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TEXT(Setup!$C$5+299,"dddd")</f>
        <v>Saturday</v>
      </c>
      <c r="B131" s="13" t="n">
        <f aca="false">Setup!$C$5+299</f>
        <v>46326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TEXT(Setup!$C$5+299,"dddd")</f>
        <v>Saturday</v>
      </c>
      <c r="B132" s="13" t="n">
        <f aca="false">Setup!$C$5+299</f>
        <v>46326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TEXT(Setup!$C$5+299,"dddd")</f>
        <v>Saturday</v>
      </c>
      <c r="B133" s="23" t="n">
        <f aca="false">Setup!$C$5+299</f>
        <v>46326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IFERROR(H133-Wk42!H133,"")</f>
        <v>0</v>
      </c>
      <c r="O133" s="24" t="n">
        <f aca="false">IFERROR(D133-Wk42!D133,"")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TEXT(Setup!$C$5+300,"dddd")</f>
        <v>Sunday</v>
      </c>
      <c r="B134" s="13" t="n">
        <f aca="false">Setup!$C$5+300</f>
        <v>46327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TEXT(Setup!$C$5+300,"dddd")</f>
        <v>Sunday</v>
      </c>
      <c r="B135" s="13" t="n">
        <f aca="false">Setup!$C$5+300</f>
        <v>46327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TEXT(Setup!$C$5+300,"dddd")</f>
        <v>Sunday</v>
      </c>
      <c r="B136" s="13" t="n">
        <f aca="false">Setup!$C$5+300</f>
        <v>46327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TEXT(Setup!$C$5+300,"dddd")</f>
        <v>Sunday</v>
      </c>
      <c r="B137" s="13" t="n">
        <f aca="false">Setup!$C$5+300</f>
        <v>46327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TEXT(Setup!$C$5+300,"dddd")</f>
        <v>Sunday</v>
      </c>
      <c r="B138" s="13" t="n">
        <f aca="false">Setup!$C$5+300</f>
        <v>46327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TEXT(Setup!$C$5+300,"dddd")</f>
        <v>Sunday</v>
      </c>
      <c r="B139" s="13" t="n">
        <f aca="false">Setup!$C$5+300</f>
        <v>46327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TEXT(Setup!$C$5+300,"dddd")</f>
        <v>Sunday</v>
      </c>
      <c r="B140" s="13" t="n">
        <f aca="false">Setup!$C$5+300</f>
        <v>46327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TEXT(Setup!$C$5+300,"dddd")</f>
        <v>Sunday</v>
      </c>
      <c r="B141" s="13" t="n">
        <f aca="false">Setup!$C$5+300</f>
        <v>46327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TEXT(Setup!$C$5+300,"dddd")</f>
        <v>Sunday</v>
      </c>
      <c r="B142" s="13" t="n">
        <f aca="false">Setup!$C$5+300</f>
        <v>46327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TEXT(Setup!$C$5+300,"dddd")</f>
        <v>Sunday</v>
      </c>
      <c r="B143" s="13" t="n">
        <f aca="false">Setup!$C$5+300</f>
        <v>46327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TEXT(Setup!$C$5+300,"dddd")</f>
        <v>Sunday</v>
      </c>
      <c r="B144" s="13" t="n">
        <f aca="false">Setup!$C$5+300</f>
        <v>46327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TEXT(Setup!$C$5+300,"dddd")</f>
        <v>Sunday</v>
      </c>
      <c r="B145" s="13" t="n">
        <f aca="false">Setup!$C$5+300</f>
        <v>46327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TEXT(Setup!$C$5+300,"dddd")</f>
        <v>Sunday</v>
      </c>
      <c r="B146" s="13" t="n">
        <f aca="false">Setup!$C$5+300</f>
        <v>46327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TEXT(Setup!$C$5+300,"dddd")</f>
        <v>Sunday</v>
      </c>
      <c r="B147" s="13" t="n">
        <f aca="false">Setup!$C$5+300</f>
        <v>46327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TEXT(Setup!$C$5+300,"dddd")</f>
        <v>Sunday</v>
      </c>
      <c r="B148" s="13" t="n">
        <f aca="false">Setup!$C$5+300</f>
        <v>46327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TEXT(Setup!$C$5+300,"dddd")</f>
        <v>Sunday</v>
      </c>
      <c r="B149" s="13" t="n">
        <f aca="false">Setup!$C$5+300</f>
        <v>46327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TEXT(Setup!$C$5+300,"dddd")</f>
        <v>Sunday</v>
      </c>
      <c r="B150" s="13" t="n">
        <f aca="false">Setup!$C$5+300</f>
        <v>46327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TEXT(Setup!$C$5+300,"dddd")</f>
        <v>Sunday</v>
      </c>
      <c r="B151" s="13" t="n">
        <f aca="false">Setup!$C$5+300</f>
        <v>46327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TEXT(Setup!$C$5+300,"dddd")</f>
        <v>Sunday</v>
      </c>
      <c r="B152" s="13" t="n">
        <f aca="false">Setup!$C$5+300</f>
        <v>46327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TEXT(Setup!$C$5+300,"dddd")</f>
        <v>Sunday</v>
      </c>
      <c r="B153" s="13" t="n">
        <f aca="false">Setup!$C$5+300</f>
        <v>46327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TEXT(Setup!$C$5+300,"dddd")</f>
        <v>Sunday</v>
      </c>
      <c r="B154" s="13" t="n">
        <f aca="false">Setup!$C$5+300</f>
        <v>46327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TEXT(Setup!$C$5+300,"dddd")</f>
        <v>Sunday</v>
      </c>
      <c r="B155" s="23" t="n">
        <f aca="false">Setup!$C$5+300</f>
        <v>46327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IFERROR(H155-Wk42!H155,"")</f>
        <v>0</v>
      </c>
      <c r="O155" s="24" t="n">
        <f aca="false">IFERROR(D155-Wk42!D155,"")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IFERROR(D156-Wk42!D156,"")</f>
        <v>0</v>
      </c>
      <c r="E157" s="34" t="n">
        <f aca="false">IFERROR(E156-Wk42!E156,"")</f>
        <v>0</v>
      </c>
      <c r="H157" s="32" t="n">
        <f aca="false">IFERROR(H156-Wk42!H156,"")</f>
        <v>0</v>
      </c>
      <c r="K157" s="32" t="n">
        <f aca="false">IFERROR(K156-Wk42!K156,"")</f>
        <v>0</v>
      </c>
      <c r="M157" s="32" t="n">
        <f aca="false">IFERROR(M156-Wk42!M156,"")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TEXT(Setup!$C$5+301,"dddd")</f>
        <v>Monday</v>
      </c>
      <c r="B2" s="13" t="n">
        <f aca="false">Setup!$C$5+301</f>
        <v>46328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TEXT(Setup!$C$5+301,"dddd")</f>
        <v>Monday</v>
      </c>
      <c r="B3" s="13" t="n">
        <f aca="false">Setup!$C$5+301</f>
        <v>46328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TEXT(Setup!$C$5+301,"dddd")</f>
        <v>Monday</v>
      </c>
      <c r="B4" s="13" t="n">
        <f aca="false">Setup!$C$5+301</f>
        <v>46328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TEXT(Setup!$C$5+301,"dddd")</f>
        <v>Monday</v>
      </c>
      <c r="B5" s="13" t="n">
        <f aca="false">Setup!$C$5+301</f>
        <v>46328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TEXT(Setup!$C$5+301,"dddd")</f>
        <v>Monday</v>
      </c>
      <c r="B6" s="13" t="n">
        <f aca="false">Setup!$C$5+301</f>
        <v>46328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TEXT(Setup!$C$5+301,"dddd")</f>
        <v>Monday</v>
      </c>
      <c r="B7" s="13" t="n">
        <f aca="false">Setup!$C$5+301</f>
        <v>46328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TEXT(Setup!$C$5+301,"dddd")</f>
        <v>Monday</v>
      </c>
      <c r="B8" s="13" t="n">
        <f aca="false">Setup!$C$5+301</f>
        <v>46328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TEXT(Setup!$C$5+301,"dddd")</f>
        <v>Monday</v>
      </c>
      <c r="B9" s="13" t="n">
        <f aca="false">Setup!$C$5+301</f>
        <v>46328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TEXT(Setup!$C$5+301,"dddd")</f>
        <v>Monday</v>
      </c>
      <c r="B10" s="13" t="n">
        <f aca="false">Setup!$C$5+301</f>
        <v>46328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TEXT(Setup!$C$5+301,"dddd")</f>
        <v>Monday</v>
      </c>
      <c r="B11" s="13" t="n">
        <f aca="false">Setup!$C$5+301</f>
        <v>46328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TEXT(Setup!$C$5+301,"dddd")</f>
        <v>Monday</v>
      </c>
      <c r="B12" s="13" t="n">
        <f aca="false">Setup!$C$5+301</f>
        <v>46328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TEXT(Setup!$C$5+301,"dddd")</f>
        <v>Monday</v>
      </c>
      <c r="B13" s="13" t="n">
        <f aca="false">Setup!$C$5+301</f>
        <v>46328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TEXT(Setup!$C$5+301,"dddd")</f>
        <v>Monday</v>
      </c>
      <c r="B14" s="13" t="n">
        <f aca="false">Setup!$C$5+301</f>
        <v>46328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TEXT(Setup!$C$5+301,"dddd")</f>
        <v>Monday</v>
      </c>
      <c r="B15" s="13" t="n">
        <f aca="false">Setup!$C$5+301</f>
        <v>46328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TEXT(Setup!$C$5+301,"dddd")</f>
        <v>Monday</v>
      </c>
      <c r="B16" s="13" t="n">
        <f aca="false">Setup!$C$5+301</f>
        <v>46328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TEXT(Setup!$C$5+301,"dddd")</f>
        <v>Monday</v>
      </c>
      <c r="B17" s="13" t="n">
        <f aca="false">Setup!$C$5+301</f>
        <v>46328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TEXT(Setup!$C$5+301,"dddd")</f>
        <v>Monday</v>
      </c>
      <c r="B18" s="13" t="n">
        <f aca="false">Setup!$C$5+301</f>
        <v>46328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TEXT(Setup!$C$5+301,"dddd")</f>
        <v>Monday</v>
      </c>
      <c r="B19" s="13" t="n">
        <f aca="false">Setup!$C$5+301</f>
        <v>46328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TEXT(Setup!$C$5+301,"dddd")</f>
        <v>Monday</v>
      </c>
      <c r="B20" s="13" t="n">
        <f aca="false">Setup!$C$5+301</f>
        <v>46328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TEXT(Setup!$C$5+301,"dddd")</f>
        <v>Monday</v>
      </c>
      <c r="B21" s="13" t="n">
        <f aca="false">Setup!$C$5+301</f>
        <v>46328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TEXT(Setup!$C$5+301,"dddd")</f>
        <v>Monday</v>
      </c>
      <c r="B22" s="13" t="n">
        <f aca="false">Setup!$C$5+301</f>
        <v>46328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TEXT(Setup!$C$5+301,"dddd")</f>
        <v>Monday</v>
      </c>
      <c r="B23" s="23" t="n">
        <f aca="false">Setup!$C$5+301</f>
        <v>46328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IFERROR(H23-Wk43!H23,"")</f>
        <v>0</v>
      </c>
      <c r="O23" s="24" t="n">
        <f aca="false">IFERROR(D23-Wk43!D23,"")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TEXT(Setup!$C$5+302,"dddd")</f>
        <v>Tuesday</v>
      </c>
      <c r="B24" s="13" t="n">
        <f aca="false">Setup!$C$5+302</f>
        <v>46329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TEXT(Setup!$C$5+302,"dddd")</f>
        <v>Tuesday</v>
      </c>
      <c r="B25" s="13" t="n">
        <f aca="false">Setup!$C$5+302</f>
        <v>46329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TEXT(Setup!$C$5+302,"dddd")</f>
        <v>Tuesday</v>
      </c>
      <c r="B26" s="13" t="n">
        <f aca="false">Setup!$C$5+302</f>
        <v>46329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TEXT(Setup!$C$5+302,"dddd")</f>
        <v>Tuesday</v>
      </c>
      <c r="B27" s="13" t="n">
        <f aca="false">Setup!$C$5+302</f>
        <v>46329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TEXT(Setup!$C$5+302,"dddd")</f>
        <v>Tuesday</v>
      </c>
      <c r="B28" s="13" t="n">
        <f aca="false">Setup!$C$5+302</f>
        <v>46329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TEXT(Setup!$C$5+302,"dddd")</f>
        <v>Tuesday</v>
      </c>
      <c r="B29" s="13" t="n">
        <f aca="false">Setup!$C$5+302</f>
        <v>46329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TEXT(Setup!$C$5+302,"dddd")</f>
        <v>Tuesday</v>
      </c>
      <c r="B30" s="13" t="n">
        <f aca="false">Setup!$C$5+302</f>
        <v>46329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TEXT(Setup!$C$5+302,"dddd")</f>
        <v>Tuesday</v>
      </c>
      <c r="B31" s="13" t="n">
        <f aca="false">Setup!$C$5+302</f>
        <v>46329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TEXT(Setup!$C$5+302,"dddd")</f>
        <v>Tuesday</v>
      </c>
      <c r="B32" s="13" t="n">
        <f aca="false">Setup!$C$5+302</f>
        <v>46329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TEXT(Setup!$C$5+302,"dddd")</f>
        <v>Tuesday</v>
      </c>
      <c r="B33" s="13" t="n">
        <f aca="false">Setup!$C$5+302</f>
        <v>46329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TEXT(Setup!$C$5+302,"dddd")</f>
        <v>Tuesday</v>
      </c>
      <c r="B34" s="13" t="n">
        <f aca="false">Setup!$C$5+302</f>
        <v>46329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TEXT(Setup!$C$5+302,"dddd")</f>
        <v>Tuesday</v>
      </c>
      <c r="B35" s="13" t="n">
        <f aca="false">Setup!$C$5+302</f>
        <v>46329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TEXT(Setup!$C$5+302,"dddd")</f>
        <v>Tuesday</v>
      </c>
      <c r="B36" s="13" t="n">
        <f aca="false">Setup!$C$5+302</f>
        <v>46329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TEXT(Setup!$C$5+302,"dddd")</f>
        <v>Tuesday</v>
      </c>
      <c r="B37" s="13" t="n">
        <f aca="false">Setup!$C$5+302</f>
        <v>46329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TEXT(Setup!$C$5+302,"dddd")</f>
        <v>Tuesday</v>
      </c>
      <c r="B38" s="13" t="n">
        <f aca="false">Setup!$C$5+302</f>
        <v>46329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TEXT(Setup!$C$5+302,"dddd")</f>
        <v>Tuesday</v>
      </c>
      <c r="B39" s="13" t="n">
        <f aca="false">Setup!$C$5+302</f>
        <v>46329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TEXT(Setup!$C$5+302,"dddd")</f>
        <v>Tuesday</v>
      </c>
      <c r="B40" s="13" t="n">
        <f aca="false">Setup!$C$5+302</f>
        <v>46329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TEXT(Setup!$C$5+302,"dddd")</f>
        <v>Tuesday</v>
      </c>
      <c r="B41" s="13" t="n">
        <f aca="false">Setup!$C$5+302</f>
        <v>46329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TEXT(Setup!$C$5+302,"dddd")</f>
        <v>Tuesday</v>
      </c>
      <c r="B42" s="13" t="n">
        <f aca="false">Setup!$C$5+302</f>
        <v>46329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TEXT(Setup!$C$5+302,"dddd")</f>
        <v>Tuesday</v>
      </c>
      <c r="B43" s="13" t="n">
        <f aca="false">Setup!$C$5+302</f>
        <v>46329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TEXT(Setup!$C$5+302,"dddd")</f>
        <v>Tuesday</v>
      </c>
      <c r="B44" s="13" t="n">
        <f aca="false">Setup!$C$5+302</f>
        <v>46329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TEXT(Setup!$C$5+302,"dddd")</f>
        <v>Tuesday</v>
      </c>
      <c r="B45" s="23" t="n">
        <f aca="false">Setup!$C$5+302</f>
        <v>46329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IFERROR(H45-Wk43!H45,"")</f>
        <v>0</v>
      </c>
      <c r="O45" s="24" t="n">
        <f aca="false">IFERROR(D45-Wk43!D45,"")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TEXT(Setup!$C$5+303,"dddd")</f>
        <v>Wednesday</v>
      </c>
      <c r="B46" s="13" t="n">
        <f aca="false">Setup!$C$5+303</f>
        <v>46330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TEXT(Setup!$C$5+303,"dddd")</f>
        <v>Wednesday</v>
      </c>
      <c r="B47" s="13" t="n">
        <f aca="false">Setup!$C$5+303</f>
        <v>46330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TEXT(Setup!$C$5+303,"dddd")</f>
        <v>Wednesday</v>
      </c>
      <c r="B48" s="13" t="n">
        <f aca="false">Setup!$C$5+303</f>
        <v>46330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TEXT(Setup!$C$5+303,"dddd")</f>
        <v>Wednesday</v>
      </c>
      <c r="B49" s="13" t="n">
        <f aca="false">Setup!$C$5+303</f>
        <v>46330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TEXT(Setup!$C$5+303,"dddd")</f>
        <v>Wednesday</v>
      </c>
      <c r="B50" s="13" t="n">
        <f aca="false">Setup!$C$5+303</f>
        <v>46330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TEXT(Setup!$C$5+303,"dddd")</f>
        <v>Wednesday</v>
      </c>
      <c r="B51" s="13" t="n">
        <f aca="false">Setup!$C$5+303</f>
        <v>46330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TEXT(Setup!$C$5+303,"dddd")</f>
        <v>Wednesday</v>
      </c>
      <c r="B52" s="13" t="n">
        <f aca="false">Setup!$C$5+303</f>
        <v>46330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TEXT(Setup!$C$5+303,"dddd")</f>
        <v>Wednesday</v>
      </c>
      <c r="B53" s="13" t="n">
        <f aca="false">Setup!$C$5+303</f>
        <v>46330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TEXT(Setup!$C$5+303,"dddd")</f>
        <v>Wednesday</v>
      </c>
      <c r="B54" s="13" t="n">
        <f aca="false">Setup!$C$5+303</f>
        <v>46330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TEXT(Setup!$C$5+303,"dddd")</f>
        <v>Wednesday</v>
      </c>
      <c r="B55" s="13" t="n">
        <f aca="false">Setup!$C$5+303</f>
        <v>46330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TEXT(Setup!$C$5+303,"dddd")</f>
        <v>Wednesday</v>
      </c>
      <c r="B56" s="13" t="n">
        <f aca="false">Setup!$C$5+303</f>
        <v>46330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TEXT(Setup!$C$5+303,"dddd")</f>
        <v>Wednesday</v>
      </c>
      <c r="B57" s="13" t="n">
        <f aca="false">Setup!$C$5+303</f>
        <v>46330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TEXT(Setup!$C$5+303,"dddd")</f>
        <v>Wednesday</v>
      </c>
      <c r="B58" s="13" t="n">
        <f aca="false">Setup!$C$5+303</f>
        <v>46330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TEXT(Setup!$C$5+303,"dddd")</f>
        <v>Wednesday</v>
      </c>
      <c r="B59" s="13" t="n">
        <f aca="false">Setup!$C$5+303</f>
        <v>46330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TEXT(Setup!$C$5+303,"dddd")</f>
        <v>Wednesday</v>
      </c>
      <c r="B60" s="13" t="n">
        <f aca="false">Setup!$C$5+303</f>
        <v>46330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TEXT(Setup!$C$5+303,"dddd")</f>
        <v>Wednesday</v>
      </c>
      <c r="B61" s="13" t="n">
        <f aca="false">Setup!$C$5+303</f>
        <v>46330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TEXT(Setup!$C$5+303,"dddd")</f>
        <v>Wednesday</v>
      </c>
      <c r="B62" s="13" t="n">
        <f aca="false">Setup!$C$5+303</f>
        <v>46330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TEXT(Setup!$C$5+303,"dddd")</f>
        <v>Wednesday</v>
      </c>
      <c r="B63" s="13" t="n">
        <f aca="false">Setup!$C$5+303</f>
        <v>46330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TEXT(Setup!$C$5+303,"dddd")</f>
        <v>Wednesday</v>
      </c>
      <c r="B64" s="13" t="n">
        <f aca="false">Setup!$C$5+303</f>
        <v>46330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TEXT(Setup!$C$5+303,"dddd")</f>
        <v>Wednesday</v>
      </c>
      <c r="B65" s="13" t="n">
        <f aca="false">Setup!$C$5+303</f>
        <v>46330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TEXT(Setup!$C$5+303,"dddd")</f>
        <v>Wednesday</v>
      </c>
      <c r="B66" s="13" t="n">
        <f aca="false">Setup!$C$5+303</f>
        <v>46330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TEXT(Setup!$C$5+303,"dddd")</f>
        <v>Wednesday</v>
      </c>
      <c r="B67" s="23" t="n">
        <f aca="false">Setup!$C$5+303</f>
        <v>46330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IFERROR(H67-Wk43!H67,"")</f>
        <v>0</v>
      </c>
      <c r="O67" s="24" t="n">
        <f aca="false">IFERROR(D67-Wk43!D67,"")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TEXT(Setup!$C$5+304,"dddd")</f>
        <v>Thursday</v>
      </c>
      <c r="B68" s="13" t="n">
        <f aca="false">Setup!$C$5+304</f>
        <v>46331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TEXT(Setup!$C$5+304,"dddd")</f>
        <v>Thursday</v>
      </c>
      <c r="B69" s="13" t="n">
        <f aca="false">Setup!$C$5+304</f>
        <v>46331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TEXT(Setup!$C$5+304,"dddd")</f>
        <v>Thursday</v>
      </c>
      <c r="B70" s="13" t="n">
        <f aca="false">Setup!$C$5+304</f>
        <v>46331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TEXT(Setup!$C$5+304,"dddd")</f>
        <v>Thursday</v>
      </c>
      <c r="B71" s="13" t="n">
        <f aca="false">Setup!$C$5+304</f>
        <v>46331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TEXT(Setup!$C$5+304,"dddd")</f>
        <v>Thursday</v>
      </c>
      <c r="B72" s="13" t="n">
        <f aca="false">Setup!$C$5+304</f>
        <v>46331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TEXT(Setup!$C$5+304,"dddd")</f>
        <v>Thursday</v>
      </c>
      <c r="B73" s="13" t="n">
        <f aca="false">Setup!$C$5+304</f>
        <v>46331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TEXT(Setup!$C$5+304,"dddd")</f>
        <v>Thursday</v>
      </c>
      <c r="B74" s="13" t="n">
        <f aca="false">Setup!$C$5+304</f>
        <v>46331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TEXT(Setup!$C$5+304,"dddd")</f>
        <v>Thursday</v>
      </c>
      <c r="B75" s="13" t="n">
        <f aca="false">Setup!$C$5+304</f>
        <v>46331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TEXT(Setup!$C$5+304,"dddd")</f>
        <v>Thursday</v>
      </c>
      <c r="B76" s="13" t="n">
        <f aca="false">Setup!$C$5+304</f>
        <v>46331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TEXT(Setup!$C$5+304,"dddd")</f>
        <v>Thursday</v>
      </c>
      <c r="B77" s="13" t="n">
        <f aca="false">Setup!$C$5+304</f>
        <v>46331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TEXT(Setup!$C$5+304,"dddd")</f>
        <v>Thursday</v>
      </c>
      <c r="B78" s="13" t="n">
        <f aca="false">Setup!$C$5+304</f>
        <v>46331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TEXT(Setup!$C$5+304,"dddd")</f>
        <v>Thursday</v>
      </c>
      <c r="B79" s="13" t="n">
        <f aca="false">Setup!$C$5+304</f>
        <v>46331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TEXT(Setup!$C$5+304,"dddd")</f>
        <v>Thursday</v>
      </c>
      <c r="B80" s="13" t="n">
        <f aca="false">Setup!$C$5+304</f>
        <v>46331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TEXT(Setup!$C$5+304,"dddd")</f>
        <v>Thursday</v>
      </c>
      <c r="B81" s="13" t="n">
        <f aca="false">Setup!$C$5+304</f>
        <v>46331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TEXT(Setup!$C$5+304,"dddd")</f>
        <v>Thursday</v>
      </c>
      <c r="B82" s="13" t="n">
        <f aca="false">Setup!$C$5+304</f>
        <v>46331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TEXT(Setup!$C$5+304,"dddd")</f>
        <v>Thursday</v>
      </c>
      <c r="B83" s="13" t="n">
        <f aca="false">Setup!$C$5+304</f>
        <v>46331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TEXT(Setup!$C$5+304,"dddd")</f>
        <v>Thursday</v>
      </c>
      <c r="B84" s="13" t="n">
        <f aca="false">Setup!$C$5+304</f>
        <v>46331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TEXT(Setup!$C$5+304,"dddd")</f>
        <v>Thursday</v>
      </c>
      <c r="B85" s="13" t="n">
        <f aca="false">Setup!$C$5+304</f>
        <v>46331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TEXT(Setup!$C$5+304,"dddd")</f>
        <v>Thursday</v>
      </c>
      <c r="B86" s="13" t="n">
        <f aca="false">Setup!$C$5+304</f>
        <v>46331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TEXT(Setup!$C$5+304,"dddd")</f>
        <v>Thursday</v>
      </c>
      <c r="B87" s="13" t="n">
        <f aca="false">Setup!$C$5+304</f>
        <v>46331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TEXT(Setup!$C$5+304,"dddd")</f>
        <v>Thursday</v>
      </c>
      <c r="B88" s="13" t="n">
        <f aca="false">Setup!$C$5+304</f>
        <v>46331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TEXT(Setup!$C$5+304,"dddd")</f>
        <v>Thursday</v>
      </c>
      <c r="B89" s="23" t="n">
        <f aca="false">Setup!$C$5+304</f>
        <v>46331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IFERROR(H89-Wk43!H89,"")</f>
        <v>0</v>
      </c>
      <c r="O89" s="24" t="n">
        <f aca="false">IFERROR(D89-Wk43!D89,"")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TEXT(Setup!$C$5+305,"dddd")</f>
        <v>Friday</v>
      </c>
      <c r="B90" s="13" t="n">
        <f aca="false">Setup!$C$5+305</f>
        <v>46332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TEXT(Setup!$C$5+305,"dddd")</f>
        <v>Friday</v>
      </c>
      <c r="B91" s="13" t="n">
        <f aca="false">Setup!$C$5+305</f>
        <v>46332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TEXT(Setup!$C$5+305,"dddd")</f>
        <v>Friday</v>
      </c>
      <c r="B92" s="13" t="n">
        <f aca="false">Setup!$C$5+305</f>
        <v>46332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TEXT(Setup!$C$5+305,"dddd")</f>
        <v>Friday</v>
      </c>
      <c r="B93" s="13" t="n">
        <f aca="false">Setup!$C$5+305</f>
        <v>46332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TEXT(Setup!$C$5+305,"dddd")</f>
        <v>Friday</v>
      </c>
      <c r="B94" s="13" t="n">
        <f aca="false">Setup!$C$5+305</f>
        <v>46332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TEXT(Setup!$C$5+305,"dddd")</f>
        <v>Friday</v>
      </c>
      <c r="B95" s="13" t="n">
        <f aca="false">Setup!$C$5+305</f>
        <v>46332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TEXT(Setup!$C$5+305,"dddd")</f>
        <v>Friday</v>
      </c>
      <c r="B96" s="13" t="n">
        <f aca="false">Setup!$C$5+305</f>
        <v>46332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TEXT(Setup!$C$5+305,"dddd")</f>
        <v>Friday</v>
      </c>
      <c r="B97" s="13" t="n">
        <f aca="false">Setup!$C$5+305</f>
        <v>46332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TEXT(Setup!$C$5+305,"dddd")</f>
        <v>Friday</v>
      </c>
      <c r="B98" s="13" t="n">
        <f aca="false">Setup!$C$5+305</f>
        <v>46332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TEXT(Setup!$C$5+305,"dddd")</f>
        <v>Friday</v>
      </c>
      <c r="B99" s="13" t="n">
        <f aca="false">Setup!$C$5+305</f>
        <v>46332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TEXT(Setup!$C$5+305,"dddd")</f>
        <v>Friday</v>
      </c>
      <c r="B100" s="13" t="n">
        <f aca="false">Setup!$C$5+305</f>
        <v>46332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TEXT(Setup!$C$5+305,"dddd")</f>
        <v>Friday</v>
      </c>
      <c r="B101" s="13" t="n">
        <f aca="false">Setup!$C$5+305</f>
        <v>46332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TEXT(Setup!$C$5+305,"dddd")</f>
        <v>Friday</v>
      </c>
      <c r="B102" s="13" t="n">
        <f aca="false">Setup!$C$5+305</f>
        <v>46332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TEXT(Setup!$C$5+305,"dddd")</f>
        <v>Friday</v>
      </c>
      <c r="B103" s="13" t="n">
        <f aca="false">Setup!$C$5+305</f>
        <v>46332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TEXT(Setup!$C$5+305,"dddd")</f>
        <v>Friday</v>
      </c>
      <c r="B104" s="13" t="n">
        <f aca="false">Setup!$C$5+305</f>
        <v>46332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TEXT(Setup!$C$5+305,"dddd")</f>
        <v>Friday</v>
      </c>
      <c r="B105" s="13" t="n">
        <f aca="false">Setup!$C$5+305</f>
        <v>46332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TEXT(Setup!$C$5+305,"dddd")</f>
        <v>Friday</v>
      </c>
      <c r="B106" s="13" t="n">
        <f aca="false">Setup!$C$5+305</f>
        <v>46332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TEXT(Setup!$C$5+305,"dddd")</f>
        <v>Friday</v>
      </c>
      <c r="B107" s="13" t="n">
        <f aca="false">Setup!$C$5+305</f>
        <v>46332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TEXT(Setup!$C$5+305,"dddd")</f>
        <v>Friday</v>
      </c>
      <c r="B108" s="13" t="n">
        <f aca="false">Setup!$C$5+305</f>
        <v>46332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TEXT(Setup!$C$5+305,"dddd")</f>
        <v>Friday</v>
      </c>
      <c r="B109" s="13" t="n">
        <f aca="false">Setup!$C$5+305</f>
        <v>46332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TEXT(Setup!$C$5+305,"dddd")</f>
        <v>Friday</v>
      </c>
      <c r="B110" s="13" t="n">
        <f aca="false">Setup!$C$5+305</f>
        <v>46332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TEXT(Setup!$C$5+305,"dddd")</f>
        <v>Friday</v>
      </c>
      <c r="B111" s="23" t="n">
        <f aca="false">Setup!$C$5+305</f>
        <v>46332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IFERROR(H111-Wk43!H111,"")</f>
        <v>0</v>
      </c>
      <c r="O111" s="24" t="n">
        <f aca="false">IFERROR(D111-Wk43!D111,"")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TEXT(Setup!$C$5+306,"dddd")</f>
        <v>Saturday</v>
      </c>
      <c r="B112" s="13" t="n">
        <f aca="false">Setup!$C$5+306</f>
        <v>46333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TEXT(Setup!$C$5+306,"dddd")</f>
        <v>Saturday</v>
      </c>
      <c r="B113" s="13" t="n">
        <f aca="false">Setup!$C$5+306</f>
        <v>46333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TEXT(Setup!$C$5+306,"dddd")</f>
        <v>Saturday</v>
      </c>
      <c r="B114" s="13" t="n">
        <f aca="false">Setup!$C$5+306</f>
        <v>46333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TEXT(Setup!$C$5+306,"dddd")</f>
        <v>Saturday</v>
      </c>
      <c r="B115" s="13" t="n">
        <f aca="false">Setup!$C$5+306</f>
        <v>46333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TEXT(Setup!$C$5+306,"dddd")</f>
        <v>Saturday</v>
      </c>
      <c r="B116" s="13" t="n">
        <f aca="false">Setup!$C$5+306</f>
        <v>46333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TEXT(Setup!$C$5+306,"dddd")</f>
        <v>Saturday</v>
      </c>
      <c r="B117" s="13" t="n">
        <f aca="false">Setup!$C$5+306</f>
        <v>46333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TEXT(Setup!$C$5+306,"dddd")</f>
        <v>Saturday</v>
      </c>
      <c r="B118" s="13" t="n">
        <f aca="false">Setup!$C$5+306</f>
        <v>46333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TEXT(Setup!$C$5+306,"dddd")</f>
        <v>Saturday</v>
      </c>
      <c r="B119" s="13" t="n">
        <f aca="false">Setup!$C$5+306</f>
        <v>46333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TEXT(Setup!$C$5+306,"dddd")</f>
        <v>Saturday</v>
      </c>
      <c r="B120" s="13" t="n">
        <f aca="false">Setup!$C$5+306</f>
        <v>46333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TEXT(Setup!$C$5+306,"dddd")</f>
        <v>Saturday</v>
      </c>
      <c r="B121" s="13" t="n">
        <f aca="false">Setup!$C$5+306</f>
        <v>46333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TEXT(Setup!$C$5+306,"dddd")</f>
        <v>Saturday</v>
      </c>
      <c r="B122" s="13" t="n">
        <f aca="false">Setup!$C$5+306</f>
        <v>46333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TEXT(Setup!$C$5+306,"dddd")</f>
        <v>Saturday</v>
      </c>
      <c r="B123" s="13" t="n">
        <f aca="false">Setup!$C$5+306</f>
        <v>46333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TEXT(Setup!$C$5+306,"dddd")</f>
        <v>Saturday</v>
      </c>
      <c r="B124" s="13" t="n">
        <f aca="false">Setup!$C$5+306</f>
        <v>46333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TEXT(Setup!$C$5+306,"dddd")</f>
        <v>Saturday</v>
      </c>
      <c r="B125" s="13" t="n">
        <f aca="false">Setup!$C$5+306</f>
        <v>46333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TEXT(Setup!$C$5+306,"dddd")</f>
        <v>Saturday</v>
      </c>
      <c r="B126" s="13" t="n">
        <f aca="false">Setup!$C$5+306</f>
        <v>46333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TEXT(Setup!$C$5+306,"dddd")</f>
        <v>Saturday</v>
      </c>
      <c r="B127" s="13" t="n">
        <f aca="false">Setup!$C$5+306</f>
        <v>46333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TEXT(Setup!$C$5+306,"dddd")</f>
        <v>Saturday</v>
      </c>
      <c r="B128" s="13" t="n">
        <f aca="false">Setup!$C$5+306</f>
        <v>46333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TEXT(Setup!$C$5+306,"dddd")</f>
        <v>Saturday</v>
      </c>
      <c r="B129" s="13" t="n">
        <f aca="false">Setup!$C$5+306</f>
        <v>46333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TEXT(Setup!$C$5+306,"dddd")</f>
        <v>Saturday</v>
      </c>
      <c r="B130" s="13" t="n">
        <f aca="false">Setup!$C$5+306</f>
        <v>46333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TEXT(Setup!$C$5+306,"dddd")</f>
        <v>Saturday</v>
      </c>
      <c r="B131" s="13" t="n">
        <f aca="false">Setup!$C$5+306</f>
        <v>46333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TEXT(Setup!$C$5+306,"dddd")</f>
        <v>Saturday</v>
      </c>
      <c r="B132" s="13" t="n">
        <f aca="false">Setup!$C$5+306</f>
        <v>46333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TEXT(Setup!$C$5+306,"dddd")</f>
        <v>Saturday</v>
      </c>
      <c r="B133" s="23" t="n">
        <f aca="false">Setup!$C$5+306</f>
        <v>46333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IFERROR(H133-Wk43!H133,"")</f>
        <v>0</v>
      </c>
      <c r="O133" s="24" t="n">
        <f aca="false">IFERROR(D133-Wk43!D133,"")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TEXT(Setup!$C$5+307,"dddd")</f>
        <v>Sunday</v>
      </c>
      <c r="B134" s="13" t="n">
        <f aca="false">Setup!$C$5+307</f>
        <v>46334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TEXT(Setup!$C$5+307,"dddd")</f>
        <v>Sunday</v>
      </c>
      <c r="B135" s="13" t="n">
        <f aca="false">Setup!$C$5+307</f>
        <v>46334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TEXT(Setup!$C$5+307,"dddd")</f>
        <v>Sunday</v>
      </c>
      <c r="B136" s="13" t="n">
        <f aca="false">Setup!$C$5+307</f>
        <v>46334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TEXT(Setup!$C$5+307,"dddd")</f>
        <v>Sunday</v>
      </c>
      <c r="B137" s="13" t="n">
        <f aca="false">Setup!$C$5+307</f>
        <v>46334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TEXT(Setup!$C$5+307,"dddd")</f>
        <v>Sunday</v>
      </c>
      <c r="B138" s="13" t="n">
        <f aca="false">Setup!$C$5+307</f>
        <v>46334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TEXT(Setup!$C$5+307,"dddd")</f>
        <v>Sunday</v>
      </c>
      <c r="B139" s="13" t="n">
        <f aca="false">Setup!$C$5+307</f>
        <v>46334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TEXT(Setup!$C$5+307,"dddd")</f>
        <v>Sunday</v>
      </c>
      <c r="B140" s="13" t="n">
        <f aca="false">Setup!$C$5+307</f>
        <v>46334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TEXT(Setup!$C$5+307,"dddd")</f>
        <v>Sunday</v>
      </c>
      <c r="B141" s="13" t="n">
        <f aca="false">Setup!$C$5+307</f>
        <v>46334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TEXT(Setup!$C$5+307,"dddd")</f>
        <v>Sunday</v>
      </c>
      <c r="B142" s="13" t="n">
        <f aca="false">Setup!$C$5+307</f>
        <v>46334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TEXT(Setup!$C$5+307,"dddd")</f>
        <v>Sunday</v>
      </c>
      <c r="B143" s="13" t="n">
        <f aca="false">Setup!$C$5+307</f>
        <v>46334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TEXT(Setup!$C$5+307,"dddd")</f>
        <v>Sunday</v>
      </c>
      <c r="B144" s="13" t="n">
        <f aca="false">Setup!$C$5+307</f>
        <v>46334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TEXT(Setup!$C$5+307,"dddd")</f>
        <v>Sunday</v>
      </c>
      <c r="B145" s="13" t="n">
        <f aca="false">Setup!$C$5+307</f>
        <v>46334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TEXT(Setup!$C$5+307,"dddd")</f>
        <v>Sunday</v>
      </c>
      <c r="B146" s="13" t="n">
        <f aca="false">Setup!$C$5+307</f>
        <v>46334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TEXT(Setup!$C$5+307,"dddd")</f>
        <v>Sunday</v>
      </c>
      <c r="B147" s="13" t="n">
        <f aca="false">Setup!$C$5+307</f>
        <v>46334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TEXT(Setup!$C$5+307,"dddd")</f>
        <v>Sunday</v>
      </c>
      <c r="B148" s="13" t="n">
        <f aca="false">Setup!$C$5+307</f>
        <v>46334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TEXT(Setup!$C$5+307,"dddd")</f>
        <v>Sunday</v>
      </c>
      <c r="B149" s="13" t="n">
        <f aca="false">Setup!$C$5+307</f>
        <v>46334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TEXT(Setup!$C$5+307,"dddd")</f>
        <v>Sunday</v>
      </c>
      <c r="B150" s="13" t="n">
        <f aca="false">Setup!$C$5+307</f>
        <v>46334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TEXT(Setup!$C$5+307,"dddd")</f>
        <v>Sunday</v>
      </c>
      <c r="B151" s="13" t="n">
        <f aca="false">Setup!$C$5+307</f>
        <v>46334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TEXT(Setup!$C$5+307,"dddd")</f>
        <v>Sunday</v>
      </c>
      <c r="B152" s="13" t="n">
        <f aca="false">Setup!$C$5+307</f>
        <v>46334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TEXT(Setup!$C$5+307,"dddd")</f>
        <v>Sunday</v>
      </c>
      <c r="B153" s="13" t="n">
        <f aca="false">Setup!$C$5+307</f>
        <v>46334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TEXT(Setup!$C$5+307,"dddd")</f>
        <v>Sunday</v>
      </c>
      <c r="B154" s="13" t="n">
        <f aca="false">Setup!$C$5+307</f>
        <v>46334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TEXT(Setup!$C$5+307,"dddd")</f>
        <v>Sunday</v>
      </c>
      <c r="B155" s="23" t="n">
        <f aca="false">Setup!$C$5+307</f>
        <v>46334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IFERROR(H155-Wk43!H155,"")</f>
        <v>0</v>
      </c>
      <c r="O155" s="24" t="n">
        <f aca="false">IFERROR(D155-Wk43!D155,"")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IFERROR(D156-Wk43!D156,"")</f>
        <v>0</v>
      </c>
      <c r="E157" s="34" t="n">
        <f aca="false">IFERROR(E156-Wk43!E156,"")</f>
        <v>0</v>
      </c>
      <c r="H157" s="32" t="n">
        <f aca="false">IFERROR(H156-Wk43!H156,"")</f>
        <v>0</v>
      </c>
      <c r="K157" s="32" t="n">
        <f aca="false">IFERROR(K156-Wk43!K156,"")</f>
        <v>0</v>
      </c>
      <c r="M157" s="32" t="n">
        <f aca="false">IFERROR(M156-Wk43!M156,"")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TEXT(Setup!$C$5+308,"dddd")</f>
        <v>Monday</v>
      </c>
      <c r="B2" s="13" t="n">
        <f aca="false">Setup!$C$5+308</f>
        <v>46335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TEXT(Setup!$C$5+308,"dddd")</f>
        <v>Monday</v>
      </c>
      <c r="B3" s="13" t="n">
        <f aca="false">Setup!$C$5+308</f>
        <v>46335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TEXT(Setup!$C$5+308,"dddd")</f>
        <v>Monday</v>
      </c>
      <c r="B4" s="13" t="n">
        <f aca="false">Setup!$C$5+308</f>
        <v>46335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TEXT(Setup!$C$5+308,"dddd")</f>
        <v>Monday</v>
      </c>
      <c r="B5" s="13" t="n">
        <f aca="false">Setup!$C$5+308</f>
        <v>46335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TEXT(Setup!$C$5+308,"dddd")</f>
        <v>Monday</v>
      </c>
      <c r="B6" s="13" t="n">
        <f aca="false">Setup!$C$5+308</f>
        <v>46335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TEXT(Setup!$C$5+308,"dddd")</f>
        <v>Monday</v>
      </c>
      <c r="B7" s="13" t="n">
        <f aca="false">Setup!$C$5+308</f>
        <v>46335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TEXT(Setup!$C$5+308,"dddd")</f>
        <v>Monday</v>
      </c>
      <c r="B8" s="13" t="n">
        <f aca="false">Setup!$C$5+308</f>
        <v>46335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TEXT(Setup!$C$5+308,"dddd")</f>
        <v>Monday</v>
      </c>
      <c r="B9" s="13" t="n">
        <f aca="false">Setup!$C$5+308</f>
        <v>46335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TEXT(Setup!$C$5+308,"dddd")</f>
        <v>Monday</v>
      </c>
      <c r="B10" s="13" t="n">
        <f aca="false">Setup!$C$5+308</f>
        <v>46335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TEXT(Setup!$C$5+308,"dddd")</f>
        <v>Monday</v>
      </c>
      <c r="B11" s="13" t="n">
        <f aca="false">Setup!$C$5+308</f>
        <v>46335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TEXT(Setup!$C$5+308,"dddd")</f>
        <v>Monday</v>
      </c>
      <c r="B12" s="13" t="n">
        <f aca="false">Setup!$C$5+308</f>
        <v>46335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TEXT(Setup!$C$5+308,"dddd")</f>
        <v>Monday</v>
      </c>
      <c r="B13" s="13" t="n">
        <f aca="false">Setup!$C$5+308</f>
        <v>46335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TEXT(Setup!$C$5+308,"dddd")</f>
        <v>Monday</v>
      </c>
      <c r="B14" s="13" t="n">
        <f aca="false">Setup!$C$5+308</f>
        <v>46335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TEXT(Setup!$C$5+308,"dddd")</f>
        <v>Monday</v>
      </c>
      <c r="B15" s="13" t="n">
        <f aca="false">Setup!$C$5+308</f>
        <v>46335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TEXT(Setup!$C$5+308,"dddd")</f>
        <v>Monday</v>
      </c>
      <c r="B16" s="13" t="n">
        <f aca="false">Setup!$C$5+308</f>
        <v>46335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TEXT(Setup!$C$5+308,"dddd")</f>
        <v>Monday</v>
      </c>
      <c r="B17" s="13" t="n">
        <f aca="false">Setup!$C$5+308</f>
        <v>46335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TEXT(Setup!$C$5+308,"dddd")</f>
        <v>Monday</v>
      </c>
      <c r="B18" s="13" t="n">
        <f aca="false">Setup!$C$5+308</f>
        <v>46335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TEXT(Setup!$C$5+308,"dddd")</f>
        <v>Monday</v>
      </c>
      <c r="B19" s="13" t="n">
        <f aca="false">Setup!$C$5+308</f>
        <v>46335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TEXT(Setup!$C$5+308,"dddd")</f>
        <v>Monday</v>
      </c>
      <c r="B20" s="13" t="n">
        <f aca="false">Setup!$C$5+308</f>
        <v>46335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TEXT(Setup!$C$5+308,"dddd")</f>
        <v>Monday</v>
      </c>
      <c r="B21" s="13" t="n">
        <f aca="false">Setup!$C$5+308</f>
        <v>46335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TEXT(Setup!$C$5+308,"dddd")</f>
        <v>Monday</v>
      </c>
      <c r="B22" s="13" t="n">
        <f aca="false">Setup!$C$5+308</f>
        <v>46335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TEXT(Setup!$C$5+308,"dddd")</f>
        <v>Monday</v>
      </c>
      <c r="B23" s="23" t="n">
        <f aca="false">Setup!$C$5+308</f>
        <v>46335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IFERROR(H23-Wk44!H23,"")</f>
        <v>0</v>
      </c>
      <c r="O23" s="24" t="n">
        <f aca="false">IFERROR(D23-Wk44!D23,"")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TEXT(Setup!$C$5+309,"dddd")</f>
        <v>Tuesday</v>
      </c>
      <c r="B24" s="13" t="n">
        <f aca="false">Setup!$C$5+309</f>
        <v>46336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TEXT(Setup!$C$5+309,"dddd")</f>
        <v>Tuesday</v>
      </c>
      <c r="B25" s="13" t="n">
        <f aca="false">Setup!$C$5+309</f>
        <v>46336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TEXT(Setup!$C$5+309,"dddd")</f>
        <v>Tuesday</v>
      </c>
      <c r="B26" s="13" t="n">
        <f aca="false">Setup!$C$5+309</f>
        <v>46336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TEXT(Setup!$C$5+309,"dddd")</f>
        <v>Tuesday</v>
      </c>
      <c r="B27" s="13" t="n">
        <f aca="false">Setup!$C$5+309</f>
        <v>46336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TEXT(Setup!$C$5+309,"dddd")</f>
        <v>Tuesday</v>
      </c>
      <c r="B28" s="13" t="n">
        <f aca="false">Setup!$C$5+309</f>
        <v>46336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TEXT(Setup!$C$5+309,"dddd")</f>
        <v>Tuesday</v>
      </c>
      <c r="B29" s="13" t="n">
        <f aca="false">Setup!$C$5+309</f>
        <v>46336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TEXT(Setup!$C$5+309,"dddd")</f>
        <v>Tuesday</v>
      </c>
      <c r="B30" s="13" t="n">
        <f aca="false">Setup!$C$5+309</f>
        <v>46336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TEXT(Setup!$C$5+309,"dddd")</f>
        <v>Tuesday</v>
      </c>
      <c r="B31" s="13" t="n">
        <f aca="false">Setup!$C$5+309</f>
        <v>46336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TEXT(Setup!$C$5+309,"dddd")</f>
        <v>Tuesday</v>
      </c>
      <c r="B32" s="13" t="n">
        <f aca="false">Setup!$C$5+309</f>
        <v>46336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TEXT(Setup!$C$5+309,"dddd")</f>
        <v>Tuesday</v>
      </c>
      <c r="B33" s="13" t="n">
        <f aca="false">Setup!$C$5+309</f>
        <v>46336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TEXT(Setup!$C$5+309,"dddd")</f>
        <v>Tuesday</v>
      </c>
      <c r="B34" s="13" t="n">
        <f aca="false">Setup!$C$5+309</f>
        <v>46336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TEXT(Setup!$C$5+309,"dddd")</f>
        <v>Tuesday</v>
      </c>
      <c r="B35" s="13" t="n">
        <f aca="false">Setup!$C$5+309</f>
        <v>46336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TEXT(Setup!$C$5+309,"dddd")</f>
        <v>Tuesday</v>
      </c>
      <c r="B36" s="13" t="n">
        <f aca="false">Setup!$C$5+309</f>
        <v>46336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TEXT(Setup!$C$5+309,"dddd")</f>
        <v>Tuesday</v>
      </c>
      <c r="B37" s="13" t="n">
        <f aca="false">Setup!$C$5+309</f>
        <v>46336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TEXT(Setup!$C$5+309,"dddd")</f>
        <v>Tuesday</v>
      </c>
      <c r="B38" s="13" t="n">
        <f aca="false">Setup!$C$5+309</f>
        <v>46336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TEXT(Setup!$C$5+309,"dddd")</f>
        <v>Tuesday</v>
      </c>
      <c r="B39" s="13" t="n">
        <f aca="false">Setup!$C$5+309</f>
        <v>46336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TEXT(Setup!$C$5+309,"dddd")</f>
        <v>Tuesday</v>
      </c>
      <c r="B40" s="13" t="n">
        <f aca="false">Setup!$C$5+309</f>
        <v>46336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TEXT(Setup!$C$5+309,"dddd")</f>
        <v>Tuesday</v>
      </c>
      <c r="B41" s="13" t="n">
        <f aca="false">Setup!$C$5+309</f>
        <v>46336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TEXT(Setup!$C$5+309,"dddd")</f>
        <v>Tuesday</v>
      </c>
      <c r="B42" s="13" t="n">
        <f aca="false">Setup!$C$5+309</f>
        <v>46336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TEXT(Setup!$C$5+309,"dddd")</f>
        <v>Tuesday</v>
      </c>
      <c r="B43" s="13" t="n">
        <f aca="false">Setup!$C$5+309</f>
        <v>46336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TEXT(Setup!$C$5+309,"dddd")</f>
        <v>Tuesday</v>
      </c>
      <c r="B44" s="13" t="n">
        <f aca="false">Setup!$C$5+309</f>
        <v>46336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TEXT(Setup!$C$5+309,"dddd")</f>
        <v>Tuesday</v>
      </c>
      <c r="B45" s="23" t="n">
        <f aca="false">Setup!$C$5+309</f>
        <v>46336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IFERROR(H45-Wk44!H45,"")</f>
        <v>0</v>
      </c>
      <c r="O45" s="24" t="n">
        <f aca="false">IFERROR(D45-Wk44!D45,"")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TEXT(Setup!$C$5+310,"dddd")</f>
        <v>Wednesday</v>
      </c>
      <c r="B46" s="13" t="n">
        <f aca="false">Setup!$C$5+310</f>
        <v>46337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TEXT(Setup!$C$5+310,"dddd")</f>
        <v>Wednesday</v>
      </c>
      <c r="B47" s="13" t="n">
        <f aca="false">Setup!$C$5+310</f>
        <v>46337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TEXT(Setup!$C$5+310,"dddd")</f>
        <v>Wednesday</v>
      </c>
      <c r="B48" s="13" t="n">
        <f aca="false">Setup!$C$5+310</f>
        <v>46337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TEXT(Setup!$C$5+310,"dddd")</f>
        <v>Wednesday</v>
      </c>
      <c r="B49" s="13" t="n">
        <f aca="false">Setup!$C$5+310</f>
        <v>46337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TEXT(Setup!$C$5+310,"dddd")</f>
        <v>Wednesday</v>
      </c>
      <c r="B50" s="13" t="n">
        <f aca="false">Setup!$C$5+310</f>
        <v>46337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TEXT(Setup!$C$5+310,"dddd")</f>
        <v>Wednesday</v>
      </c>
      <c r="B51" s="13" t="n">
        <f aca="false">Setup!$C$5+310</f>
        <v>46337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TEXT(Setup!$C$5+310,"dddd")</f>
        <v>Wednesday</v>
      </c>
      <c r="B52" s="13" t="n">
        <f aca="false">Setup!$C$5+310</f>
        <v>46337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TEXT(Setup!$C$5+310,"dddd")</f>
        <v>Wednesday</v>
      </c>
      <c r="B53" s="13" t="n">
        <f aca="false">Setup!$C$5+310</f>
        <v>46337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TEXT(Setup!$C$5+310,"dddd")</f>
        <v>Wednesday</v>
      </c>
      <c r="B54" s="13" t="n">
        <f aca="false">Setup!$C$5+310</f>
        <v>46337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TEXT(Setup!$C$5+310,"dddd")</f>
        <v>Wednesday</v>
      </c>
      <c r="B55" s="13" t="n">
        <f aca="false">Setup!$C$5+310</f>
        <v>46337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TEXT(Setup!$C$5+310,"dddd")</f>
        <v>Wednesday</v>
      </c>
      <c r="B56" s="13" t="n">
        <f aca="false">Setup!$C$5+310</f>
        <v>46337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TEXT(Setup!$C$5+310,"dddd")</f>
        <v>Wednesday</v>
      </c>
      <c r="B57" s="13" t="n">
        <f aca="false">Setup!$C$5+310</f>
        <v>46337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TEXT(Setup!$C$5+310,"dddd")</f>
        <v>Wednesday</v>
      </c>
      <c r="B58" s="13" t="n">
        <f aca="false">Setup!$C$5+310</f>
        <v>46337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TEXT(Setup!$C$5+310,"dddd")</f>
        <v>Wednesday</v>
      </c>
      <c r="B59" s="13" t="n">
        <f aca="false">Setup!$C$5+310</f>
        <v>46337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TEXT(Setup!$C$5+310,"dddd")</f>
        <v>Wednesday</v>
      </c>
      <c r="B60" s="13" t="n">
        <f aca="false">Setup!$C$5+310</f>
        <v>46337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TEXT(Setup!$C$5+310,"dddd")</f>
        <v>Wednesday</v>
      </c>
      <c r="B61" s="13" t="n">
        <f aca="false">Setup!$C$5+310</f>
        <v>46337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TEXT(Setup!$C$5+310,"dddd")</f>
        <v>Wednesday</v>
      </c>
      <c r="B62" s="13" t="n">
        <f aca="false">Setup!$C$5+310</f>
        <v>46337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TEXT(Setup!$C$5+310,"dddd")</f>
        <v>Wednesday</v>
      </c>
      <c r="B63" s="13" t="n">
        <f aca="false">Setup!$C$5+310</f>
        <v>46337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TEXT(Setup!$C$5+310,"dddd")</f>
        <v>Wednesday</v>
      </c>
      <c r="B64" s="13" t="n">
        <f aca="false">Setup!$C$5+310</f>
        <v>46337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TEXT(Setup!$C$5+310,"dddd")</f>
        <v>Wednesday</v>
      </c>
      <c r="B65" s="13" t="n">
        <f aca="false">Setup!$C$5+310</f>
        <v>46337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TEXT(Setup!$C$5+310,"dddd")</f>
        <v>Wednesday</v>
      </c>
      <c r="B66" s="13" t="n">
        <f aca="false">Setup!$C$5+310</f>
        <v>46337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TEXT(Setup!$C$5+310,"dddd")</f>
        <v>Wednesday</v>
      </c>
      <c r="B67" s="23" t="n">
        <f aca="false">Setup!$C$5+310</f>
        <v>46337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IFERROR(H67-Wk44!H67,"")</f>
        <v>0</v>
      </c>
      <c r="O67" s="24" t="n">
        <f aca="false">IFERROR(D67-Wk44!D67,"")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TEXT(Setup!$C$5+311,"dddd")</f>
        <v>Thursday</v>
      </c>
      <c r="B68" s="13" t="n">
        <f aca="false">Setup!$C$5+311</f>
        <v>46338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TEXT(Setup!$C$5+311,"dddd")</f>
        <v>Thursday</v>
      </c>
      <c r="B69" s="13" t="n">
        <f aca="false">Setup!$C$5+311</f>
        <v>46338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TEXT(Setup!$C$5+311,"dddd")</f>
        <v>Thursday</v>
      </c>
      <c r="B70" s="13" t="n">
        <f aca="false">Setup!$C$5+311</f>
        <v>46338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TEXT(Setup!$C$5+311,"dddd")</f>
        <v>Thursday</v>
      </c>
      <c r="B71" s="13" t="n">
        <f aca="false">Setup!$C$5+311</f>
        <v>46338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TEXT(Setup!$C$5+311,"dddd")</f>
        <v>Thursday</v>
      </c>
      <c r="B72" s="13" t="n">
        <f aca="false">Setup!$C$5+311</f>
        <v>46338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TEXT(Setup!$C$5+311,"dddd")</f>
        <v>Thursday</v>
      </c>
      <c r="B73" s="13" t="n">
        <f aca="false">Setup!$C$5+311</f>
        <v>46338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TEXT(Setup!$C$5+311,"dddd")</f>
        <v>Thursday</v>
      </c>
      <c r="B74" s="13" t="n">
        <f aca="false">Setup!$C$5+311</f>
        <v>46338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TEXT(Setup!$C$5+311,"dddd")</f>
        <v>Thursday</v>
      </c>
      <c r="B75" s="13" t="n">
        <f aca="false">Setup!$C$5+311</f>
        <v>46338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TEXT(Setup!$C$5+311,"dddd")</f>
        <v>Thursday</v>
      </c>
      <c r="B76" s="13" t="n">
        <f aca="false">Setup!$C$5+311</f>
        <v>46338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TEXT(Setup!$C$5+311,"dddd")</f>
        <v>Thursday</v>
      </c>
      <c r="B77" s="13" t="n">
        <f aca="false">Setup!$C$5+311</f>
        <v>46338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TEXT(Setup!$C$5+311,"dddd")</f>
        <v>Thursday</v>
      </c>
      <c r="B78" s="13" t="n">
        <f aca="false">Setup!$C$5+311</f>
        <v>46338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TEXT(Setup!$C$5+311,"dddd")</f>
        <v>Thursday</v>
      </c>
      <c r="B79" s="13" t="n">
        <f aca="false">Setup!$C$5+311</f>
        <v>46338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TEXT(Setup!$C$5+311,"dddd")</f>
        <v>Thursday</v>
      </c>
      <c r="B80" s="13" t="n">
        <f aca="false">Setup!$C$5+311</f>
        <v>46338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TEXT(Setup!$C$5+311,"dddd")</f>
        <v>Thursday</v>
      </c>
      <c r="B81" s="13" t="n">
        <f aca="false">Setup!$C$5+311</f>
        <v>46338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TEXT(Setup!$C$5+311,"dddd")</f>
        <v>Thursday</v>
      </c>
      <c r="B82" s="13" t="n">
        <f aca="false">Setup!$C$5+311</f>
        <v>46338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TEXT(Setup!$C$5+311,"dddd")</f>
        <v>Thursday</v>
      </c>
      <c r="B83" s="13" t="n">
        <f aca="false">Setup!$C$5+311</f>
        <v>46338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TEXT(Setup!$C$5+311,"dddd")</f>
        <v>Thursday</v>
      </c>
      <c r="B84" s="13" t="n">
        <f aca="false">Setup!$C$5+311</f>
        <v>46338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TEXT(Setup!$C$5+311,"dddd")</f>
        <v>Thursday</v>
      </c>
      <c r="B85" s="13" t="n">
        <f aca="false">Setup!$C$5+311</f>
        <v>46338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TEXT(Setup!$C$5+311,"dddd")</f>
        <v>Thursday</v>
      </c>
      <c r="B86" s="13" t="n">
        <f aca="false">Setup!$C$5+311</f>
        <v>46338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TEXT(Setup!$C$5+311,"dddd")</f>
        <v>Thursday</v>
      </c>
      <c r="B87" s="13" t="n">
        <f aca="false">Setup!$C$5+311</f>
        <v>46338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TEXT(Setup!$C$5+311,"dddd")</f>
        <v>Thursday</v>
      </c>
      <c r="B88" s="13" t="n">
        <f aca="false">Setup!$C$5+311</f>
        <v>46338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TEXT(Setup!$C$5+311,"dddd")</f>
        <v>Thursday</v>
      </c>
      <c r="B89" s="23" t="n">
        <f aca="false">Setup!$C$5+311</f>
        <v>46338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IFERROR(H89-Wk44!H89,"")</f>
        <v>0</v>
      </c>
      <c r="O89" s="24" t="n">
        <f aca="false">IFERROR(D89-Wk44!D89,"")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TEXT(Setup!$C$5+312,"dddd")</f>
        <v>Friday</v>
      </c>
      <c r="B90" s="13" t="n">
        <f aca="false">Setup!$C$5+312</f>
        <v>46339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TEXT(Setup!$C$5+312,"dddd")</f>
        <v>Friday</v>
      </c>
      <c r="B91" s="13" t="n">
        <f aca="false">Setup!$C$5+312</f>
        <v>46339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TEXT(Setup!$C$5+312,"dddd")</f>
        <v>Friday</v>
      </c>
      <c r="B92" s="13" t="n">
        <f aca="false">Setup!$C$5+312</f>
        <v>46339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TEXT(Setup!$C$5+312,"dddd")</f>
        <v>Friday</v>
      </c>
      <c r="B93" s="13" t="n">
        <f aca="false">Setup!$C$5+312</f>
        <v>46339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TEXT(Setup!$C$5+312,"dddd")</f>
        <v>Friday</v>
      </c>
      <c r="B94" s="13" t="n">
        <f aca="false">Setup!$C$5+312</f>
        <v>46339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TEXT(Setup!$C$5+312,"dddd")</f>
        <v>Friday</v>
      </c>
      <c r="B95" s="13" t="n">
        <f aca="false">Setup!$C$5+312</f>
        <v>46339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TEXT(Setup!$C$5+312,"dddd")</f>
        <v>Friday</v>
      </c>
      <c r="B96" s="13" t="n">
        <f aca="false">Setup!$C$5+312</f>
        <v>46339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TEXT(Setup!$C$5+312,"dddd")</f>
        <v>Friday</v>
      </c>
      <c r="B97" s="13" t="n">
        <f aca="false">Setup!$C$5+312</f>
        <v>46339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TEXT(Setup!$C$5+312,"dddd")</f>
        <v>Friday</v>
      </c>
      <c r="B98" s="13" t="n">
        <f aca="false">Setup!$C$5+312</f>
        <v>46339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TEXT(Setup!$C$5+312,"dddd")</f>
        <v>Friday</v>
      </c>
      <c r="B99" s="13" t="n">
        <f aca="false">Setup!$C$5+312</f>
        <v>46339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TEXT(Setup!$C$5+312,"dddd")</f>
        <v>Friday</v>
      </c>
      <c r="B100" s="13" t="n">
        <f aca="false">Setup!$C$5+312</f>
        <v>46339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TEXT(Setup!$C$5+312,"dddd")</f>
        <v>Friday</v>
      </c>
      <c r="B101" s="13" t="n">
        <f aca="false">Setup!$C$5+312</f>
        <v>46339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TEXT(Setup!$C$5+312,"dddd")</f>
        <v>Friday</v>
      </c>
      <c r="B102" s="13" t="n">
        <f aca="false">Setup!$C$5+312</f>
        <v>46339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TEXT(Setup!$C$5+312,"dddd")</f>
        <v>Friday</v>
      </c>
      <c r="B103" s="13" t="n">
        <f aca="false">Setup!$C$5+312</f>
        <v>46339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TEXT(Setup!$C$5+312,"dddd")</f>
        <v>Friday</v>
      </c>
      <c r="B104" s="13" t="n">
        <f aca="false">Setup!$C$5+312</f>
        <v>46339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TEXT(Setup!$C$5+312,"dddd")</f>
        <v>Friday</v>
      </c>
      <c r="B105" s="13" t="n">
        <f aca="false">Setup!$C$5+312</f>
        <v>46339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TEXT(Setup!$C$5+312,"dddd")</f>
        <v>Friday</v>
      </c>
      <c r="B106" s="13" t="n">
        <f aca="false">Setup!$C$5+312</f>
        <v>46339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TEXT(Setup!$C$5+312,"dddd")</f>
        <v>Friday</v>
      </c>
      <c r="B107" s="13" t="n">
        <f aca="false">Setup!$C$5+312</f>
        <v>46339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TEXT(Setup!$C$5+312,"dddd")</f>
        <v>Friday</v>
      </c>
      <c r="B108" s="13" t="n">
        <f aca="false">Setup!$C$5+312</f>
        <v>46339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TEXT(Setup!$C$5+312,"dddd")</f>
        <v>Friday</v>
      </c>
      <c r="B109" s="13" t="n">
        <f aca="false">Setup!$C$5+312</f>
        <v>46339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TEXT(Setup!$C$5+312,"dddd")</f>
        <v>Friday</v>
      </c>
      <c r="B110" s="13" t="n">
        <f aca="false">Setup!$C$5+312</f>
        <v>46339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TEXT(Setup!$C$5+312,"dddd")</f>
        <v>Friday</v>
      </c>
      <c r="B111" s="23" t="n">
        <f aca="false">Setup!$C$5+312</f>
        <v>46339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IFERROR(H111-Wk44!H111,"")</f>
        <v>0</v>
      </c>
      <c r="O111" s="24" t="n">
        <f aca="false">IFERROR(D111-Wk44!D111,"")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TEXT(Setup!$C$5+313,"dddd")</f>
        <v>Saturday</v>
      </c>
      <c r="B112" s="13" t="n">
        <f aca="false">Setup!$C$5+313</f>
        <v>46340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TEXT(Setup!$C$5+313,"dddd")</f>
        <v>Saturday</v>
      </c>
      <c r="B113" s="13" t="n">
        <f aca="false">Setup!$C$5+313</f>
        <v>46340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TEXT(Setup!$C$5+313,"dddd")</f>
        <v>Saturday</v>
      </c>
      <c r="B114" s="13" t="n">
        <f aca="false">Setup!$C$5+313</f>
        <v>46340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TEXT(Setup!$C$5+313,"dddd")</f>
        <v>Saturday</v>
      </c>
      <c r="B115" s="13" t="n">
        <f aca="false">Setup!$C$5+313</f>
        <v>46340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TEXT(Setup!$C$5+313,"dddd")</f>
        <v>Saturday</v>
      </c>
      <c r="B116" s="13" t="n">
        <f aca="false">Setup!$C$5+313</f>
        <v>46340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TEXT(Setup!$C$5+313,"dddd")</f>
        <v>Saturday</v>
      </c>
      <c r="B117" s="13" t="n">
        <f aca="false">Setup!$C$5+313</f>
        <v>46340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TEXT(Setup!$C$5+313,"dddd")</f>
        <v>Saturday</v>
      </c>
      <c r="B118" s="13" t="n">
        <f aca="false">Setup!$C$5+313</f>
        <v>46340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TEXT(Setup!$C$5+313,"dddd")</f>
        <v>Saturday</v>
      </c>
      <c r="B119" s="13" t="n">
        <f aca="false">Setup!$C$5+313</f>
        <v>46340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TEXT(Setup!$C$5+313,"dddd")</f>
        <v>Saturday</v>
      </c>
      <c r="B120" s="13" t="n">
        <f aca="false">Setup!$C$5+313</f>
        <v>46340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TEXT(Setup!$C$5+313,"dddd")</f>
        <v>Saturday</v>
      </c>
      <c r="B121" s="13" t="n">
        <f aca="false">Setup!$C$5+313</f>
        <v>46340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TEXT(Setup!$C$5+313,"dddd")</f>
        <v>Saturday</v>
      </c>
      <c r="B122" s="13" t="n">
        <f aca="false">Setup!$C$5+313</f>
        <v>46340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TEXT(Setup!$C$5+313,"dddd")</f>
        <v>Saturday</v>
      </c>
      <c r="B123" s="13" t="n">
        <f aca="false">Setup!$C$5+313</f>
        <v>46340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TEXT(Setup!$C$5+313,"dddd")</f>
        <v>Saturday</v>
      </c>
      <c r="B124" s="13" t="n">
        <f aca="false">Setup!$C$5+313</f>
        <v>46340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TEXT(Setup!$C$5+313,"dddd")</f>
        <v>Saturday</v>
      </c>
      <c r="B125" s="13" t="n">
        <f aca="false">Setup!$C$5+313</f>
        <v>46340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TEXT(Setup!$C$5+313,"dddd")</f>
        <v>Saturday</v>
      </c>
      <c r="B126" s="13" t="n">
        <f aca="false">Setup!$C$5+313</f>
        <v>46340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TEXT(Setup!$C$5+313,"dddd")</f>
        <v>Saturday</v>
      </c>
      <c r="B127" s="13" t="n">
        <f aca="false">Setup!$C$5+313</f>
        <v>46340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TEXT(Setup!$C$5+313,"dddd")</f>
        <v>Saturday</v>
      </c>
      <c r="B128" s="13" t="n">
        <f aca="false">Setup!$C$5+313</f>
        <v>46340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TEXT(Setup!$C$5+313,"dddd")</f>
        <v>Saturday</v>
      </c>
      <c r="B129" s="13" t="n">
        <f aca="false">Setup!$C$5+313</f>
        <v>46340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TEXT(Setup!$C$5+313,"dddd")</f>
        <v>Saturday</v>
      </c>
      <c r="B130" s="13" t="n">
        <f aca="false">Setup!$C$5+313</f>
        <v>46340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TEXT(Setup!$C$5+313,"dddd")</f>
        <v>Saturday</v>
      </c>
      <c r="B131" s="13" t="n">
        <f aca="false">Setup!$C$5+313</f>
        <v>46340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TEXT(Setup!$C$5+313,"dddd")</f>
        <v>Saturday</v>
      </c>
      <c r="B132" s="13" t="n">
        <f aca="false">Setup!$C$5+313</f>
        <v>46340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TEXT(Setup!$C$5+313,"dddd")</f>
        <v>Saturday</v>
      </c>
      <c r="B133" s="23" t="n">
        <f aca="false">Setup!$C$5+313</f>
        <v>46340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IFERROR(H133-Wk44!H133,"")</f>
        <v>0</v>
      </c>
      <c r="O133" s="24" t="n">
        <f aca="false">IFERROR(D133-Wk44!D133,"")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TEXT(Setup!$C$5+314,"dddd")</f>
        <v>Sunday</v>
      </c>
      <c r="B134" s="13" t="n">
        <f aca="false">Setup!$C$5+314</f>
        <v>46341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TEXT(Setup!$C$5+314,"dddd")</f>
        <v>Sunday</v>
      </c>
      <c r="B135" s="13" t="n">
        <f aca="false">Setup!$C$5+314</f>
        <v>46341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TEXT(Setup!$C$5+314,"dddd")</f>
        <v>Sunday</v>
      </c>
      <c r="B136" s="13" t="n">
        <f aca="false">Setup!$C$5+314</f>
        <v>46341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TEXT(Setup!$C$5+314,"dddd")</f>
        <v>Sunday</v>
      </c>
      <c r="B137" s="13" t="n">
        <f aca="false">Setup!$C$5+314</f>
        <v>46341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TEXT(Setup!$C$5+314,"dddd")</f>
        <v>Sunday</v>
      </c>
      <c r="B138" s="13" t="n">
        <f aca="false">Setup!$C$5+314</f>
        <v>46341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TEXT(Setup!$C$5+314,"dddd")</f>
        <v>Sunday</v>
      </c>
      <c r="B139" s="13" t="n">
        <f aca="false">Setup!$C$5+314</f>
        <v>46341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TEXT(Setup!$C$5+314,"dddd")</f>
        <v>Sunday</v>
      </c>
      <c r="B140" s="13" t="n">
        <f aca="false">Setup!$C$5+314</f>
        <v>46341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TEXT(Setup!$C$5+314,"dddd")</f>
        <v>Sunday</v>
      </c>
      <c r="B141" s="13" t="n">
        <f aca="false">Setup!$C$5+314</f>
        <v>46341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TEXT(Setup!$C$5+314,"dddd")</f>
        <v>Sunday</v>
      </c>
      <c r="B142" s="13" t="n">
        <f aca="false">Setup!$C$5+314</f>
        <v>46341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TEXT(Setup!$C$5+314,"dddd")</f>
        <v>Sunday</v>
      </c>
      <c r="B143" s="13" t="n">
        <f aca="false">Setup!$C$5+314</f>
        <v>46341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TEXT(Setup!$C$5+314,"dddd")</f>
        <v>Sunday</v>
      </c>
      <c r="B144" s="13" t="n">
        <f aca="false">Setup!$C$5+314</f>
        <v>46341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TEXT(Setup!$C$5+314,"dddd")</f>
        <v>Sunday</v>
      </c>
      <c r="B145" s="13" t="n">
        <f aca="false">Setup!$C$5+314</f>
        <v>46341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TEXT(Setup!$C$5+314,"dddd")</f>
        <v>Sunday</v>
      </c>
      <c r="B146" s="13" t="n">
        <f aca="false">Setup!$C$5+314</f>
        <v>46341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TEXT(Setup!$C$5+314,"dddd")</f>
        <v>Sunday</v>
      </c>
      <c r="B147" s="13" t="n">
        <f aca="false">Setup!$C$5+314</f>
        <v>46341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TEXT(Setup!$C$5+314,"dddd")</f>
        <v>Sunday</v>
      </c>
      <c r="B148" s="13" t="n">
        <f aca="false">Setup!$C$5+314</f>
        <v>46341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TEXT(Setup!$C$5+314,"dddd")</f>
        <v>Sunday</v>
      </c>
      <c r="B149" s="13" t="n">
        <f aca="false">Setup!$C$5+314</f>
        <v>46341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TEXT(Setup!$C$5+314,"dddd")</f>
        <v>Sunday</v>
      </c>
      <c r="B150" s="13" t="n">
        <f aca="false">Setup!$C$5+314</f>
        <v>46341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TEXT(Setup!$C$5+314,"dddd")</f>
        <v>Sunday</v>
      </c>
      <c r="B151" s="13" t="n">
        <f aca="false">Setup!$C$5+314</f>
        <v>46341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TEXT(Setup!$C$5+314,"dddd")</f>
        <v>Sunday</v>
      </c>
      <c r="B152" s="13" t="n">
        <f aca="false">Setup!$C$5+314</f>
        <v>46341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TEXT(Setup!$C$5+314,"dddd")</f>
        <v>Sunday</v>
      </c>
      <c r="B153" s="13" t="n">
        <f aca="false">Setup!$C$5+314</f>
        <v>46341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TEXT(Setup!$C$5+314,"dddd")</f>
        <v>Sunday</v>
      </c>
      <c r="B154" s="13" t="n">
        <f aca="false">Setup!$C$5+314</f>
        <v>46341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TEXT(Setup!$C$5+314,"dddd")</f>
        <v>Sunday</v>
      </c>
      <c r="B155" s="23" t="n">
        <f aca="false">Setup!$C$5+314</f>
        <v>46341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IFERROR(H155-Wk44!H155,"")</f>
        <v>0</v>
      </c>
      <c r="O155" s="24" t="n">
        <f aca="false">IFERROR(D155-Wk44!D155,"")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IFERROR(D156-Wk44!D156,"")</f>
        <v>0</v>
      </c>
      <c r="E157" s="34" t="n">
        <f aca="false">IFERROR(E156-Wk44!E156,"")</f>
        <v>0</v>
      </c>
      <c r="H157" s="32" t="n">
        <f aca="false">IFERROR(H156-Wk44!H156,"")</f>
        <v>0</v>
      </c>
      <c r="K157" s="32" t="n">
        <f aca="false">IFERROR(K156-Wk44!K156,"")</f>
        <v>0</v>
      </c>
      <c r="M157" s="32" t="n">
        <f aca="false">IFERROR(M156-Wk44!M156,"")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TEXT(Setup!$C$5+315,"dddd")</f>
        <v>Monday</v>
      </c>
      <c r="B2" s="13" t="n">
        <f aca="false">Setup!$C$5+315</f>
        <v>46342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TEXT(Setup!$C$5+315,"dddd")</f>
        <v>Monday</v>
      </c>
      <c r="B3" s="13" t="n">
        <f aca="false">Setup!$C$5+315</f>
        <v>46342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TEXT(Setup!$C$5+315,"dddd")</f>
        <v>Monday</v>
      </c>
      <c r="B4" s="13" t="n">
        <f aca="false">Setup!$C$5+315</f>
        <v>46342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TEXT(Setup!$C$5+315,"dddd")</f>
        <v>Monday</v>
      </c>
      <c r="B5" s="13" t="n">
        <f aca="false">Setup!$C$5+315</f>
        <v>46342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TEXT(Setup!$C$5+315,"dddd")</f>
        <v>Monday</v>
      </c>
      <c r="B6" s="13" t="n">
        <f aca="false">Setup!$C$5+315</f>
        <v>46342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TEXT(Setup!$C$5+315,"dddd")</f>
        <v>Monday</v>
      </c>
      <c r="B7" s="13" t="n">
        <f aca="false">Setup!$C$5+315</f>
        <v>46342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TEXT(Setup!$C$5+315,"dddd")</f>
        <v>Monday</v>
      </c>
      <c r="B8" s="13" t="n">
        <f aca="false">Setup!$C$5+315</f>
        <v>46342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TEXT(Setup!$C$5+315,"dddd")</f>
        <v>Monday</v>
      </c>
      <c r="B9" s="13" t="n">
        <f aca="false">Setup!$C$5+315</f>
        <v>46342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TEXT(Setup!$C$5+315,"dddd")</f>
        <v>Monday</v>
      </c>
      <c r="B10" s="13" t="n">
        <f aca="false">Setup!$C$5+315</f>
        <v>46342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TEXT(Setup!$C$5+315,"dddd")</f>
        <v>Monday</v>
      </c>
      <c r="B11" s="13" t="n">
        <f aca="false">Setup!$C$5+315</f>
        <v>46342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TEXT(Setup!$C$5+315,"dddd")</f>
        <v>Monday</v>
      </c>
      <c r="B12" s="13" t="n">
        <f aca="false">Setup!$C$5+315</f>
        <v>46342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TEXT(Setup!$C$5+315,"dddd")</f>
        <v>Monday</v>
      </c>
      <c r="B13" s="13" t="n">
        <f aca="false">Setup!$C$5+315</f>
        <v>46342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TEXT(Setup!$C$5+315,"dddd")</f>
        <v>Monday</v>
      </c>
      <c r="B14" s="13" t="n">
        <f aca="false">Setup!$C$5+315</f>
        <v>46342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TEXT(Setup!$C$5+315,"dddd")</f>
        <v>Monday</v>
      </c>
      <c r="B15" s="13" t="n">
        <f aca="false">Setup!$C$5+315</f>
        <v>46342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TEXT(Setup!$C$5+315,"dddd")</f>
        <v>Monday</v>
      </c>
      <c r="B16" s="13" t="n">
        <f aca="false">Setup!$C$5+315</f>
        <v>46342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TEXT(Setup!$C$5+315,"dddd")</f>
        <v>Monday</v>
      </c>
      <c r="B17" s="13" t="n">
        <f aca="false">Setup!$C$5+315</f>
        <v>46342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TEXT(Setup!$C$5+315,"dddd")</f>
        <v>Monday</v>
      </c>
      <c r="B18" s="13" t="n">
        <f aca="false">Setup!$C$5+315</f>
        <v>46342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TEXT(Setup!$C$5+315,"dddd")</f>
        <v>Monday</v>
      </c>
      <c r="B19" s="13" t="n">
        <f aca="false">Setup!$C$5+315</f>
        <v>46342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TEXT(Setup!$C$5+315,"dddd")</f>
        <v>Monday</v>
      </c>
      <c r="B20" s="13" t="n">
        <f aca="false">Setup!$C$5+315</f>
        <v>46342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TEXT(Setup!$C$5+315,"dddd")</f>
        <v>Monday</v>
      </c>
      <c r="B21" s="13" t="n">
        <f aca="false">Setup!$C$5+315</f>
        <v>46342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TEXT(Setup!$C$5+315,"dddd")</f>
        <v>Monday</v>
      </c>
      <c r="B22" s="13" t="n">
        <f aca="false">Setup!$C$5+315</f>
        <v>46342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TEXT(Setup!$C$5+315,"dddd")</f>
        <v>Monday</v>
      </c>
      <c r="B23" s="23" t="n">
        <f aca="false">Setup!$C$5+315</f>
        <v>46342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IFERROR(H23-Wk45!H23,"")</f>
        <v>0</v>
      </c>
      <c r="O23" s="24" t="n">
        <f aca="false">IFERROR(D23-Wk45!D23,"")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TEXT(Setup!$C$5+316,"dddd")</f>
        <v>Tuesday</v>
      </c>
      <c r="B24" s="13" t="n">
        <f aca="false">Setup!$C$5+316</f>
        <v>46343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TEXT(Setup!$C$5+316,"dddd")</f>
        <v>Tuesday</v>
      </c>
      <c r="B25" s="13" t="n">
        <f aca="false">Setup!$C$5+316</f>
        <v>46343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TEXT(Setup!$C$5+316,"dddd")</f>
        <v>Tuesday</v>
      </c>
      <c r="B26" s="13" t="n">
        <f aca="false">Setup!$C$5+316</f>
        <v>46343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TEXT(Setup!$C$5+316,"dddd")</f>
        <v>Tuesday</v>
      </c>
      <c r="B27" s="13" t="n">
        <f aca="false">Setup!$C$5+316</f>
        <v>46343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TEXT(Setup!$C$5+316,"dddd")</f>
        <v>Tuesday</v>
      </c>
      <c r="B28" s="13" t="n">
        <f aca="false">Setup!$C$5+316</f>
        <v>46343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TEXT(Setup!$C$5+316,"dddd")</f>
        <v>Tuesday</v>
      </c>
      <c r="B29" s="13" t="n">
        <f aca="false">Setup!$C$5+316</f>
        <v>46343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TEXT(Setup!$C$5+316,"dddd")</f>
        <v>Tuesday</v>
      </c>
      <c r="B30" s="13" t="n">
        <f aca="false">Setup!$C$5+316</f>
        <v>46343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TEXT(Setup!$C$5+316,"dddd")</f>
        <v>Tuesday</v>
      </c>
      <c r="B31" s="13" t="n">
        <f aca="false">Setup!$C$5+316</f>
        <v>46343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TEXT(Setup!$C$5+316,"dddd")</f>
        <v>Tuesday</v>
      </c>
      <c r="B32" s="13" t="n">
        <f aca="false">Setup!$C$5+316</f>
        <v>46343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TEXT(Setup!$C$5+316,"dddd")</f>
        <v>Tuesday</v>
      </c>
      <c r="B33" s="13" t="n">
        <f aca="false">Setup!$C$5+316</f>
        <v>46343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TEXT(Setup!$C$5+316,"dddd")</f>
        <v>Tuesday</v>
      </c>
      <c r="B34" s="13" t="n">
        <f aca="false">Setup!$C$5+316</f>
        <v>46343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TEXT(Setup!$C$5+316,"dddd")</f>
        <v>Tuesday</v>
      </c>
      <c r="B35" s="13" t="n">
        <f aca="false">Setup!$C$5+316</f>
        <v>46343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TEXT(Setup!$C$5+316,"dddd")</f>
        <v>Tuesday</v>
      </c>
      <c r="B36" s="13" t="n">
        <f aca="false">Setup!$C$5+316</f>
        <v>46343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TEXT(Setup!$C$5+316,"dddd")</f>
        <v>Tuesday</v>
      </c>
      <c r="B37" s="13" t="n">
        <f aca="false">Setup!$C$5+316</f>
        <v>46343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TEXT(Setup!$C$5+316,"dddd")</f>
        <v>Tuesday</v>
      </c>
      <c r="B38" s="13" t="n">
        <f aca="false">Setup!$C$5+316</f>
        <v>46343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TEXT(Setup!$C$5+316,"dddd")</f>
        <v>Tuesday</v>
      </c>
      <c r="B39" s="13" t="n">
        <f aca="false">Setup!$C$5+316</f>
        <v>46343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TEXT(Setup!$C$5+316,"dddd")</f>
        <v>Tuesday</v>
      </c>
      <c r="B40" s="13" t="n">
        <f aca="false">Setup!$C$5+316</f>
        <v>46343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TEXT(Setup!$C$5+316,"dddd")</f>
        <v>Tuesday</v>
      </c>
      <c r="B41" s="13" t="n">
        <f aca="false">Setup!$C$5+316</f>
        <v>46343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TEXT(Setup!$C$5+316,"dddd")</f>
        <v>Tuesday</v>
      </c>
      <c r="B42" s="13" t="n">
        <f aca="false">Setup!$C$5+316</f>
        <v>46343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TEXT(Setup!$C$5+316,"dddd")</f>
        <v>Tuesday</v>
      </c>
      <c r="B43" s="13" t="n">
        <f aca="false">Setup!$C$5+316</f>
        <v>46343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TEXT(Setup!$C$5+316,"dddd")</f>
        <v>Tuesday</v>
      </c>
      <c r="B44" s="13" t="n">
        <f aca="false">Setup!$C$5+316</f>
        <v>46343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TEXT(Setup!$C$5+316,"dddd")</f>
        <v>Tuesday</v>
      </c>
      <c r="B45" s="23" t="n">
        <f aca="false">Setup!$C$5+316</f>
        <v>46343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IFERROR(H45-Wk45!H45,"")</f>
        <v>0</v>
      </c>
      <c r="O45" s="24" t="n">
        <f aca="false">IFERROR(D45-Wk45!D45,"")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TEXT(Setup!$C$5+317,"dddd")</f>
        <v>Wednesday</v>
      </c>
      <c r="B46" s="13" t="n">
        <f aca="false">Setup!$C$5+317</f>
        <v>46344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TEXT(Setup!$C$5+317,"dddd")</f>
        <v>Wednesday</v>
      </c>
      <c r="B47" s="13" t="n">
        <f aca="false">Setup!$C$5+317</f>
        <v>46344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TEXT(Setup!$C$5+317,"dddd")</f>
        <v>Wednesday</v>
      </c>
      <c r="B48" s="13" t="n">
        <f aca="false">Setup!$C$5+317</f>
        <v>46344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TEXT(Setup!$C$5+317,"dddd")</f>
        <v>Wednesday</v>
      </c>
      <c r="B49" s="13" t="n">
        <f aca="false">Setup!$C$5+317</f>
        <v>46344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TEXT(Setup!$C$5+317,"dddd")</f>
        <v>Wednesday</v>
      </c>
      <c r="B50" s="13" t="n">
        <f aca="false">Setup!$C$5+317</f>
        <v>46344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TEXT(Setup!$C$5+317,"dddd")</f>
        <v>Wednesday</v>
      </c>
      <c r="B51" s="13" t="n">
        <f aca="false">Setup!$C$5+317</f>
        <v>46344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TEXT(Setup!$C$5+317,"dddd")</f>
        <v>Wednesday</v>
      </c>
      <c r="B52" s="13" t="n">
        <f aca="false">Setup!$C$5+317</f>
        <v>46344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TEXT(Setup!$C$5+317,"dddd")</f>
        <v>Wednesday</v>
      </c>
      <c r="B53" s="13" t="n">
        <f aca="false">Setup!$C$5+317</f>
        <v>46344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TEXT(Setup!$C$5+317,"dddd")</f>
        <v>Wednesday</v>
      </c>
      <c r="B54" s="13" t="n">
        <f aca="false">Setup!$C$5+317</f>
        <v>46344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TEXT(Setup!$C$5+317,"dddd")</f>
        <v>Wednesday</v>
      </c>
      <c r="B55" s="13" t="n">
        <f aca="false">Setup!$C$5+317</f>
        <v>46344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TEXT(Setup!$C$5+317,"dddd")</f>
        <v>Wednesday</v>
      </c>
      <c r="B56" s="13" t="n">
        <f aca="false">Setup!$C$5+317</f>
        <v>46344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TEXT(Setup!$C$5+317,"dddd")</f>
        <v>Wednesday</v>
      </c>
      <c r="B57" s="13" t="n">
        <f aca="false">Setup!$C$5+317</f>
        <v>46344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TEXT(Setup!$C$5+317,"dddd")</f>
        <v>Wednesday</v>
      </c>
      <c r="B58" s="13" t="n">
        <f aca="false">Setup!$C$5+317</f>
        <v>46344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TEXT(Setup!$C$5+317,"dddd")</f>
        <v>Wednesday</v>
      </c>
      <c r="B59" s="13" t="n">
        <f aca="false">Setup!$C$5+317</f>
        <v>46344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TEXT(Setup!$C$5+317,"dddd")</f>
        <v>Wednesday</v>
      </c>
      <c r="B60" s="13" t="n">
        <f aca="false">Setup!$C$5+317</f>
        <v>46344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TEXT(Setup!$C$5+317,"dddd")</f>
        <v>Wednesday</v>
      </c>
      <c r="B61" s="13" t="n">
        <f aca="false">Setup!$C$5+317</f>
        <v>46344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TEXT(Setup!$C$5+317,"dddd")</f>
        <v>Wednesday</v>
      </c>
      <c r="B62" s="13" t="n">
        <f aca="false">Setup!$C$5+317</f>
        <v>46344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TEXT(Setup!$C$5+317,"dddd")</f>
        <v>Wednesday</v>
      </c>
      <c r="B63" s="13" t="n">
        <f aca="false">Setup!$C$5+317</f>
        <v>46344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TEXT(Setup!$C$5+317,"dddd")</f>
        <v>Wednesday</v>
      </c>
      <c r="B64" s="13" t="n">
        <f aca="false">Setup!$C$5+317</f>
        <v>46344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TEXT(Setup!$C$5+317,"dddd")</f>
        <v>Wednesday</v>
      </c>
      <c r="B65" s="13" t="n">
        <f aca="false">Setup!$C$5+317</f>
        <v>46344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TEXT(Setup!$C$5+317,"dddd")</f>
        <v>Wednesday</v>
      </c>
      <c r="B66" s="13" t="n">
        <f aca="false">Setup!$C$5+317</f>
        <v>46344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TEXT(Setup!$C$5+317,"dddd")</f>
        <v>Wednesday</v>
      </c>
      <c r="B67" s="23" t="n">
        <f aca="false">Setup!$C$5+317</f>
        <v>46344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IFERROR(H67-Wk45!H67,"")</f>
        <v>0</v>
      </c>
      <c r="O67" s="24" t="n">
        <f aca="false">IFERROR(D67-Wk45!D67,"")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TEXT(Setup!$C$5+318,"dddd")</f>
        <v>Thursday</v>
      </c>
      <c r="B68" s="13" t="n">
        <f aca="false">Setup!$C$5+318</f>
        <v>46345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TEXT(Setup!$C$5+318,"dddd")</f>
        <v>Thursday</v>
      </c>
      <c r="B69" s="13" t="n">
        <f aca="false">Setup!$C$5+318</f>
        <v>46345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TEXT(Setup!$C$5+318,"dddd")</f>
        <v>Thursday</v>
      </c>
      <c r="B70" s="13" t="n">
        <f aca="false">Setup!$C$5+318</f>
        <v>46345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TEXT(Setup!$C$5+318,"dddd")</f>
        <v>Thursday</v>
      </c>
      <c r="B71" s="13" t="n">
        <f aca="false">Setup!$C$5+318</f>
        <v>46345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TEXT(Setup!$C$5+318,"dddd")</f>
        <v>Thursday</v>
      </c>
      <c r="B72" s="13" t="n">
        <f aca="false">Setup!$C$5+318</f>
        <v>46345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TEXT(Setup!$C$5+318,"dddd")</f>
        <v>Thursday</v>
      </c>
      <c r="B73" s="13" t="n">
        <f aca="false">Setup!$C$5+318</f>
        <v>46345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TEXT(Setup!$C$5+318,"dddd")</f>
        <v>Thursday</v>
      </c>
      <c r="B74" s="13" t="n">
        <f aca="false">Setup!$C$5+318</f>
        <v>46345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TEXT(Setup!$C$5+318,"dddd")</f>
        <v>Thursday</v>
      </c>
      <c r="B75" s="13" t="n">
        <f aca="false">Setup!$C$5+318</f>
        <v>46345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TEXT(Setup!$C$5+318,"dddd")</f>
        <v>Thursday</v>
      </c>
      <c r="B76" s="13" t="n">
        <f aca="false">Setup!$C$5+318</f>
        <v>46345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TEXT(Setup!$C$5+318,"dddd")</f>
        <v>Thursday</v>
      </c>
      <c r="B77" s="13" t="n">
        <f aca="false">Setup!$C$5+318</f>
        <v>46345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TEXT(Setup!$C$5+318,"dddd")</f>
        <v>Thursday</v>
      </c>
      <c r="B78" s="13" t="n">
        <f aca="false">Setup!$C$5+318</f>
        <v>46345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TEXT(Setup!$C$5+318,"dddd")</f>
        <v>Thursday</v>
      </c>
      <c r="B79" s="13" t="n">
        <f aca="false">Setup!$C$5+318</f>
        <v>46345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TEXT(Setup!$C$5+318,"dddd")</f>
        <v>Thursday</v>
      </c>
      <c r="B80" s="13" t="n">
        <f aca="false">Setup!$C$5+318</f>
        <v>46345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TEXT(Setup!$C$5+318,"dddd")</f>
        <v>Thursday</v>
      </c>
      <c r="B81" s="13" t="n">
        <f aca="false">Setup!$C$5+318</f>
        <v>46345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TEXT(Setup!$C$5+318,"dddd")</f>
        <v>Thursday</v>
      </c>
      <c r="B82" s="13" t="n">
        <f aca="false">Setup!$C$5+318</f>
        <v>46345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TEXT(Setup!$C$5+318,"dddd")</f>
        <v>Thursday</v>
      </c>
      <c r="B83" s="13" t="n">
        <f aca="false">Setup!$C$5+318</f>
        <v>46345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TEXT(Setup!$C$5+318,"dddd")</f>
        <v>Thursday</v>
      </c>
      <c r="B84" s="13" t="n">
        <f aca="false">Setup!$C$5+318</f>
        <v>46345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TEXT(Setup!$C$5+318,"dddd")</f>
        <v>Thursday</v>
      </c>
      <c r="B85" s="13" t="n">
        <f aca="false">Setup!$C$5+318</f>
        <v>46345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TEXT(Setup!$C$5+318,"dddd")</f>
        <v>Thursday</v>
      </c>
      <c r="B86" s="13" t="n">
        <f aca="false">Setup!$C$5+318</f>
        <v>46345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TEXT(Setup!$C$5+318,"dddd")</f>
        <v>Thursday</v>
      </c>
      <c r="B87" s="13" t="n">
        <f aca="false">Setup!$C$5+318</f>
        <v>46345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TEXT(Setup!$C$5+318,"dddd")</f>
        <v>Thursday</v>
      </c>
      <c r="B88" s="13" t="n">
        <f aca="false">Setup!$C$5+318</f>
        <v>46345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TEXT(Setup!$C$5+318,"dddd")</f>
        <v>Thursday</v>
      </c>
      <c r="B89" s="23" t="n">
        <f aca="false">Setup!$C$5+318</f>
        <v>46345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IFERROR(H89-Wk45!H89,"")</f>
        <v>0</v>
      </c>
      <c r="O89" s="24" t="n">
        <f aca="false">IFERROR(D89-Wk45!D89,"")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TEXT(Setup!$C$5+319,"dddd")</f>
        <v>Friday</v>
      </c>
      <c r="B90" s="13" t="n">
        <f aca="false">Setup!$C$5+319</f>
        <v>46346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TEXT(Setup!$C$5+319,"dddd")</f>
        <v>Friday</v>
      </c>
      <c r="B91" s="13" t="n">
        <f aca="false">Setup!$C$5+319</f>
        <v>46346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TEXT(Setup!$C$5+319,"dddd")</f>
        <v>Friday</v>
      </c>
      <c r="B92" s="13" t="n">
        <f aca="false">Setup!$C$5+319</f>
        <v>46346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TEXT(Setup!$C$5+319,"dddd")</f>
        <v>Friday</v>
      </c>
      <c r="B93" s="13" t="n">
        <f aca="false">Setup!$C$5+319</f>
        <v>46346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TEXT(Setup!$C$5+319,"dddd")</f>
        <v>Friday</v>
      </c>
      <c r="B94" s="13" t="n">
        <f aca="false">Setup!$C$5+319</f>
        <v>46346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TEXT(Setup!$C$5+319,"dddd")</f>
        <v>Friday</v>
      </c>
      <c r="B95" s="13" t="n">
        <f aca="false">Setup!$C$5+319</f>
        <v>46346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TEXT(Setup!$C$5+319,"dddd")</f>
        <v>Friday</v>
      </c>
      <c r="B96" s="13" t="n">
        <f aca="false">Setup!$C$5+319</f>
        <v>46346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TEXT(Setup!$C$5+319,"dddd")</f>
        <v>Friday</v>
      </c>
      <c r="B97" s="13" t="n">
        <f aca="false">Setup!$C$5+319</f>
        <v>46346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TEXT(Setup!$C$5+319,"dddd")</f>
        <v>Friday</v>
      </c>
      <c r="B98" s="13" t="n">
        <f aca="false">Setup!$C$5+319</f>
        <v>46346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TEXT(Setup!$C$5+319,"dddd")</f>
        <v>Friday</v>
      </c>
      <c r="B99" s="13" t="n">
        <f aca="false">Setup!$C$5+319</f>
        <v>46346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TEXT(Setup!$C$5+319,"dddd")</f>
        <v>Friday</v>
      </c>
      <c r="B100" s="13" t="n">
        <f aca="false">Setup!$C$5+319</f>
        <v>46346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TEXT(Setup!$C$5+319,"dddd")</f>
        <v>Friday</v>
      </c>
      <c r="B101" s="13" t="n">
        <f aca="false">Setup!$C$5+319</f>
        <v>46346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TEXT(Setup!$C$5+319,"dddd")</f>
        <v>Friday</v>
      </c>
      <c r="B102" s="13" t="n">
        <f aca="false">Setup!$C$5+319</f>
        <v>46346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TEXT(Setup!$C$5+319,"dddd")</f>
        <v>Friday</v>
      </c>
      <c r="B103" s="13" t="n">
        <f aca="false">Setup!$C$5+319</f>
        <v>46346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TEXT(Setup!$C$5+319,"dddd")</f>
        <v>Friday</v>
      </c>
      <c r="B104" s="13" t="n">
        <f aca="false">Setup!$C$5+319</f>
        <v>46346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TEXT(Setup!$C$5+319,"dddd")</f>
        <v>Friday</v>
      </c>
      <c r="B105" s="13" t="n">
        <f aca="false">Setup!$C$5+319</f>
        <v>46346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TEXT(Setup!$C$5+319,"dddd")</f>
        <v>Friday</v>
      </c>
      <c r="B106" s="13" t="n">
        <f aca="false">Setup!$C$5+319</f>
        <v>46346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TEXT(Setup!$C$5+319,"dddd")</f>
        <v>Friday</v>
      </c>
      <c r="B107" s="13" t="n">
        <f aca="false">Setup!$C$5+319</f>
        <v>46346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TEXT(Setup!$C$5+319,"dddd")</f>
        <v>Friday</v>
      </c>
      <c r="B108" s="13" t="n">
        <f aca="false">Setup!$C$5+319</f>
        <v>46346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TEXT(Setup!$C$5+319,"dddd")</f>
        <v>Friday</v>
      </c>
      <c r="B109" s="13" t="n">
        <f aca="false">Setup!$C$5+319</f>
        <v>46346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TEXT(Setup!$C$5+319,"dddd")</f>
        <v>Friday</v>
      </c>
      <c r="B110" s="13" t="n">
        <f aca="false">Setup!$C$5+319</f>
        <v>46346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TEXT(Setup!$C$5+319,"dddd")</f>
        <v>Friday</v>
      </c>
      <c r="B111" s="23" t="n">
        <f aca="false">Setup!$C$5+319</f>
        <v>46346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IFERROR(H111-Wk45!H111,"")</f>
        <v>0</v>
      </c>
      <c r="O111" s="24" t="n">
        <f aca="false">IFERROR(D111-Wk45!D111,"")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TEXT(Setup!$C$5+320,"dddd")</f>
        <v>Saturday</v>
      </c>
      <c r="B112" s="13" t="n">
        <f aca="false">Setup!$C$5+320</f>
        <v>46347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TEXT(Setup!$C$5+320,"dddd")</f>
        <v>Saturday</v>
      </c>
      <c r="B113" s="13" t="n">
        <f aca="false">Setup!$C$5+320</f>
        <v>46347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TEXT(Setup!$C$5+320,"dddd")</f>
        <v>Saturday</v>
      </c>
      <c r="B114" s="13" t="n">
        <f aca="false">Setup!$C$5+320</f>
        <v>46347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TEXT(Setup!$C$5+320,"dddd")</f>
        <v>Saturday</v>
      </c>
      <c r="B115" s="13" t="n">
        <f aca="false">Setup!$C$5+320</f>
        <v>46347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TEXT(Setup!$C$5+320,"dddd")</f>
        <v>Saturday</v>
      </c>
      <c r="B116" s="13" t="n">
        <f aca="false">Setup!$C$5+320</f>
        <v>46347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TEXT(Setup!$C$5+320,"dddd")</f>
        <v>Saturday</v>
      </c>
      <c r="B117" s="13" t="n">
        <f aca="false">Setup!$C$5+320</f>
        <v>46347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TEXT(Setup!$C$5+320,"dddd")</f>
        <v>Saturday</v>
      </c>
      <c r="B118" s="13" t="n">
        <f aca="false">Setup!$C$5+320</f>
        <v>46347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TEXT(Setup!$C$5+320,"dddd")</f>
        <v>Saturday</v>
      </c>
      <c r="B119" s="13" t="n">
        <f aca="false">Setup!$C$5+320</f>
        <v>46347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TEXT(Setup!$C$5+320,"dddd")</f>
        <v>Saturday</v>
      </c>
      <c r="B120" s="13" t="n">
        <f aca="false">Setup!$C$5+320</f>
        <v>46347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TEXT(Setup!$C$5+320,"dddd")</f>
        <v>Saturday</v>
      </c>
      <c r="B121" s="13" t="n">
        <f aca="false">Setup!$C$5+320</f>
        <v>46347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TEXT(Setup!$C$5+320,"dddd")</f>
        <v>Saturday</v>
      </c>
      <c r="B122" s="13" t="n">
        <f aca="false">Setup!$C$5+320</f>
        <v>46347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TEXT(Setup!$C$5+320,"dddd")</f>
        <v>Saturday</v>
      </c>
      <c r="B123" s="13" t="n">
        <f aca="false">Setup!$C$5+320</f>
        <v>46347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TEXT(Setup!$C$5+320,"dddd")</f>
        <v>Saturday</v>
      </c>
      <c r="B124" s="13" t="n">
        <f aca="false">Setup!$C$5+320</f>
        <v>46347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TEXT(Setup!$C$5+320,"dddd")</f>
        <v>Saturday</v>
      </c>
      <c r="B125" s="13" t="n">
        <f aca="false">Setup!$C$5+320</f>
        <v>46347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TEXT(Setup!$C$5+320,"dddd")</f>
        <v>Saturday</v>
      </c>
      <c r="B126" s="13" t="n">
        <f aca="false">Setup!$C$5+320</f>
        <v>46347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TEXT(Setup!$C$5+320,"dddd")</f>
        <v>Saturday</v>
      </c>
      <c r="B127" s="13" t="n">
        <f aca="false">Setup!$C$5+320</f>
        <v>46347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TEXT(Setup!$C$5+320,"dddd")</f>
        <v>Saturday</v>
      </c>
      <c r="B128" s="13" t="n">
        <f aca="false">Setup!$C$5+320</f>
        <v>46347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TEXT(Setup!$C$5+320,"dddd")</f>
        <v>Saturday</v>
      </c>
      <c r="B129" s="13" t="n">
        <f aca="false">Setup!$C$5+320</f>
        <v>46347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TEXT(Setup!$C$5+320,"dddd")</f>
        <v>Saturday</v>
      </c>
      <c r="B130" s="13" t="n">
        <f aca="false">Setup!$C$5+320</f>
        <v>46347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TEXT(Setup!$C$5+320,"dddd")</f>
        <v>Saturday</v>
      </c>
      <c r="B131" s="13" t="n">
        <f aca="false">Setup!$C$5+320</f>
        <v>46347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TEXT(Setup!$C$5+320,"dddd")</f>
        <v>Saturday</v>
      </c>
      <c r="B132" s="13" t="n">
        <f aca="false">Setup!$C$5+320</f>
        <v>46347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TEXT(Setup!$C$5+320,"dddd")</f>
        <v>Saturday</v>
      </c>
      <c r="B133" s="23" t="n">
        <f aca="false">Setup!$C$5+320</f>
        <v>46347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IFERROR(H133-Wk45!H133,"")</f>
        <v>0</v>
      </c>
      <c r="O133" s="24" t="n">
        <f aca="false">IFERROR(D133-Wk45!D133,"")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TEXT(Setup!$C$5+321,"dddd")</f>
        <v>Sunday</v>
      </c>
      <c r="B134" s="13" t="n">
        <f aca="false">Setup!$C$5+321</f>
        <v>46348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TEXT(Setup!$C$5+321,"dddd")</f>
        <v>Sunday</v>
      </c>
      <c r="B135" s="13" t="n">
        <f aca="false">Setup!$C$5+321</f>
        <v>46348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TEXT(Setup!$C$5+321,"dddd")</f>
        <v>Sunday</v>
      </c>
      <c r="B136" s="13" t="n">
        <f aca="false">Setup!$C$5+321</f>
        <v>46348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TEXT(Setup!$C$5+321,"dddd")</f>
        <v>Sunday</v>
      </c>
      <c r="B137" s="13" t="n">
        <f aca="false">Setup!$C$5+321</f>
        <v>46348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TEXT(Setup!$C$5+321,"dddd")</f>
        <v>Sunday</v>
      </c>
      <c r="B138" s="13" t="n">
        <f aca="false">Setup!$C$5+321</f>
        <v>46348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TEXT(Setup!$C$5+321,"dddd")</f>
        <v>Sunday</v>
      </c>
      <c r="B139" s="13" t="n">
        <f aca="false">Setup!$C$5+321</f>
        <v>46348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TEXT(Setup!$C$5+321,"dddd")</f>
        <v>Sunday</v>
      </c>
      <c r="B140" s="13" t="n">
        <f aca="false">Setup!$C$5+321</f>
        <v>46348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TEXT(Setup!$C$5+321,"dddd")</f>
        <v>Sunday</v>
      </c>
      <c r="B141" s="13" t="n">
        <f aca="false">Setup!$C$5+321</f>
        <v>46348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TEXT(Setup!$C$5+321,"dddd")</f>
        <v>Sunday</v>
      </c>
      <c r="B142" s="13" t="n">
        <f aca="false">Setup!$C$5+321</f>
        <v>46348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TEXT(Setup!$C$5+321,"dddd")</f>
        <v>Sunday</v>
      </c>
      <c r="B143" s="13" t="n">
        <f aca="false">Setup!$C$5+321</f>
        <v>46348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TEXT(Setup!$C$5+321,"dddd")</f>
        <v>Sunday</v>
      </c>
      <c r="B144" s="13" t="n">
        <f aca="false">Setup!$C$5+321</f>
        <v>46348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TEXT(Setup!$C$5+321,"dddd")</f>
        <v>Sunday</v>
      </c>
      <c r="B145" s="13" t="n">
        <f aca="false">Setup!$C$5+321</f>
        <v>46348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TEXT(Setup!$C$5+321,"dddd")</f>
        <v>Sunday</v>
      </c>
      <c r="B146" s="13" t="n">
        <f aca="false">Setup!$C$5+321</f>
        <v>46348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TEXT(Setup!$C$5+321,"dddd")</f>
        <v>Sunday</v>
      </c>
      <c r="B147" s="13" t="n">
        <f aca="false">Setup!$C$5+321</f>
        <v>46348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TEXT(Setup!$C$5+321,"dddd")</f>
        <v>Sunday</v>
      </c>
      <c r="B148" s="13" t="n">
        <f aca="false">Setup!$C$5+321</f>
        <v>46348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TEXT(Setup!$C$5+321,"dddd")</f>
        <v>Sunday</v>
      </c>
      <c r="B149" s="13" t="n">
        <f aca="false">Setup!$C$5+321</f>
        <v>46348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TEXT(Setup!$C$5+321,"dddd")</f>
        <v>Sunday</v>
      </c>
      <c r="B150" s="13" t="n">
        <f aca="false">Setup!$C$5+321</f>
        <v>46348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TEXT(Setup!$C$5+321,"dddd")</f>
        <v>Sunday</v>
      </c>
      <c r="B151" s="13" t="n">
        <f aca="false">Setup!$C$5+321</f>
        <v>46348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TEXT(Setup!$C$5+321,"dddd")</f>
        <v>Sunday</v>
      </c>
      <c r="B152" s="13" t="n">
        <f aca="false">Setup!$C$5+321</f>
        <v>46348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TEXT(Setup!$C$5+321,"dddd")</f>
        <v>Sunday</v>
      </c>
      <c r="B153" s="13" t="n">
        <f aca="false">Setup!$C$5+321</f>
        <v>46348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TEXT(Setup!$C$5+321,"dddd")</f>
        <v>Sunday</v>
      </c>
      <c r="B154" s="13" t="n">
        <f aca="false">Setup!$C$5+321</f>
        <v>46348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TEXT(Setup!$C$5+321,"dddd")</f>
        <v>Sunday</v>
      </c>
      <c r="B155" s="23" t="n">
        <f aca="false">Setup!$C$5+321</f>
        <v>46348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IFERROR(H155-Wk45!H155,"")</f>
        <v>0</v>
      </c>
      <c r="O155" s="24" t="n">
        <f aca="false">IFERROR(D155-Wk45!D155,"")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IFERROR(D156-Wk45!D156,"")</f>
        <v>0</v>
      </c>
      <c r="E157" s="34" t="n">
        <f aca="false">IFERROR(E156-Wk45!E156,"")</f>
        <v>0</v>
      </c>
      <c r="H157" s="32" t="n">
        <f aca="false">IFERROR(H156-Wk45!H156,"")</f>
        <v>0</v>
      </c>
      <c r="K157" s="32" t="n">
        <f aca="false">IFERROR(K156-Wk45!K156,"")</f>
        <v>0</v>
      </c>
      <c r="M157" s="32" t="n">
        <f aca="false">IFERROR(M156-Wk45!M156,"")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TEXT(Setup!$C$5+322,"dddd")</f>
        <v>Monday</v>
      </c>
      <c r="B2" s="13" t="n">
        <f aca="false">Setup!$C$5+322</f>
        <v>46349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TEXT(Setup!$C$5+322,"dddd")</f>
        <v>Monday</v>
      </c>
      <c r="B3" s="13" t="n">
        <f aca="false">Setup!$C$5+322</f>
        <v>46349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TEXT(Setup!$C$5+322,"dddd")</f>
        <v>Monday</v>
      </c>
      <c r="B4" s="13" t="n">
        <f aca="false">Setup!$C$5+322</f>
        <v>46349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TEXT(Setup!$C$5+322,"dddd")</f>
        <v>Monday</v>
      </c>
      <c r="B5" s="13" t="n">
        <f aca="false">Setup!$C$5+322</f>
        <v>46349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TEXT(Setup!$C$5+322,"dddd")</f>
        <v>Monday</v>
      </c>
      <c r="B6" s="13" t="n">
        <f aca="false">Setup!$C$5+322</f>
        <v>46349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TEXT(Setup!$C$5+322,"dddd")</f>
        <v>Monday</v>
      </c>
      <c r="B7" s="13" t="n">
        <f aca="false">Setup!$C$5+322</f>
        <v>46349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TEXT(Setup!$C$5+322,"dddd")</f>
        <v>Monday</v>
      </c>
      <c r="B8" s="13" t="n">
        <f aca="false">Setup!$C$5+322</f>
        <v>46349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TEXT(Setup!$C$5+322,"dddd")</f>
        <v>Monday</v>
      </c>
      <c r="B9" s="13" t="n">
        <f aca="false">Setup!$C$5+322</f>
        <v>46349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TEXT(Setup!$C$5+322,"dddd")</f>
        <v>Monday</v>
      </c>
      <c r="B10" s="13" t="n">
        <f aca="false">Setup!$C$5+322</f>
        <v>46349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TEXT(Setup!$C$5+322,"dddd")</f>
        <v>Monday</v>
      </c>
      <c r="B11" s="13" t="n">
        <f aca="false">Setup!$C$5+322</f>
        <v>46349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TEXT(Setup!$C$5+322,"dddd")</f>
        <v>Monday</v>
      </c>
      <c r="B12" s="13" t="n">
        <f aca="false">Setup!$C$5+322</f>
        <v>46349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TEXT(Setup!$C$5+322,"dddd")</f>
        <v>Monday</v>
      </c>
      <c r="B13" s="13" t="n">
        <f aca="false">Setup!$C$5+322</f>
        <v>46349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TEXT(Setup!$C$5+322,"dddd")</f>
        <v>Monday</v>
      </c>
      <c r="B14" s="13" t="n">
        <f aca="false">Setup!$C$5+322</f>
        <v>46349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TEXT(Setup!$C$5+322,"dddd")</f>
        <v>Monday</v>
      </c>
      <c r="B15" s="13" t="n">
        <f aca="false">Setup!$C$5+322</f>
        <v>46349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TEXT(Setup!$C$5+322,"dddd")</f>
        <v>Monday</v>
      </c>
      <c r="B16" s="13" t="n">
        <f aca="false">Setup!$C$5+322</f>
        <v>46349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TEXT(Setup!$C$5+322,"dddd")</f>
        <v>Monday</v>
      </c>
      <c r="B17" s="13" t="n">
        <f aca="false">Setup!$C$5+322</f>
        <v>46349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TEXT(Setup!$C$5+322,"dddd")</f>
        <v>Monday</v>
      </c>
      <c r="B18" s="13" t="n">
        <f aca="false">Setup!$C$5+322</f>
        <v>46349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TEXT(Setup!$C$5+322,"dddd")</f>
        <v>Monday</v>
      </c>
      <c r="B19" s="13" t="n">
        <f aca="false">Setup!$C$5+322</f>
        <v>46349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TEXT(Setup!$C$5+322,"dddd")</f>
        <v>Monday</v>
      </c>
      <c r="B20" s="13" t="n">
        <f aca="false">Setup!$C$5+322</f>
        <v>46349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TEXT(Setup!$C$5+322,"dddd")</f>
        <v>Monday</v>
      </c>
      <c r="B21" s="13" t="n">
        <f aca="false">Setup!$C$5+322</f>
        <v>46349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TEXT(Setup!$C$5+322,"dddd")</f>
        <v>Monday</v>
      </c>
      <c r="B22" s="13" t="n">
        <f aca="false">Setup!$C$5+322</f>
        <v>46349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TEXT(Setup!$C$5+322,"dddd")</f>
        <v>Monday</v>
      </c>
      <c r="B23" s="23" t="n">
        <f aca="false">Setup!$C$5+322</f>
        <v>46349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IFERROR(H23-Wk46!H23,"")</f>
        <v>0</v>
      </c>
      <c r="O23" s="24" t="n">
        <f aca="false">IFERROR(D23-Wk46!D23,"")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TEXT(Setup!$C$5+323,"dddd")</f>
        <v>Tuesday</v>
      </c>
      <c r="B24" s="13" t="n">
        <f aca="false">Setup!$C$5+323</f>
        <v>46350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TEXT(Setup!$C$5+323,"dddd")</f>
        <v>Tuesday</v>
      </c>
      <c r="B25" s="13" t="n">
        <f aca="false">Setup!$C$5+323</f>
        <v>46350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TEXT(Setup!$C$5+323,"dddd")</f>
        <v>Tuesday</v>
      </c>
      <c r="B26" s="13" t="n">
        <f aca="false">Setup!$C$5+323</f>
        <v>46350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TEXT(Setup!$C$5+323,"dddd")</f>
        <v>Tuesday</v>
      </c>
      <c r="B27" s="13" t="n">
        <f aca="false">Setup!$C$5+323</f>
        <v>46350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TEXT(Setup!$C$5+323,"dddd")</f>
        <v>Tuesday</v>
      </c>
      <c r="B28" s="13" t="n">
        <f aca="false">Setup!$C$5+323</f>
        <v>46350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TEXT(Setup!$C$5+323,"dddd")</f>
        <v>Tuesday</v>
      </c>
      <c r="B29" s="13" t="n">
        <f aca="false">Setup!$C$5+323</f>
        <v>46350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TEXT(Setup!$C$5+323,"dddd")</f>
        <v>Tuesday</v>
      </c>
      <c r="B30" s="13" t="n">
        <f aca="false">Setup!$C$5+323</f>
        <v>46350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TEXT(Setup!$C$5+323,"dddd")</f>
        <v>Tuesday</v>
      </c>
      <c r="B31" s="13" t="n">
        <f aca="false">Setup!$C$5+323</f>
        <v>46350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TEXT(Setup!$C$5+323,"dddd")</f>
        <v>Tuesday</v>
      </c>
      <c r="B32" s="13" t="n">
        <f aca="false">Setup!$C$5+323</f>
        <v>46350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TEXT(Setup!$C$5+323,"dddd")</f>
        <v>Tuesday</v>
      </c>
      <c r="B33" s="13" t="n">
        <f aca="false">Setup!$C$5+323</f>
        <v>46350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TEXT(Setup!$C$5+323,"dddd")</f>
        <v>Tuesday</v>
      </c>
      <c r="B34" s="13" t="n">
        <f aca="false">Setup!$C$5+323</f>
        <v>46350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TEXT(Setup!$C$5+323,"dddd")</f>
        <v>Tuesday</v>
      </c>
      <c r="B35" s="13" t="n">
        <f aca="false">Setup!$C$5+323</f>
        <v>46350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TEXT(Setup!$C$5+323,"dddd")</f>
        <v>Tuesday</v>
      </c>
      <c r="B36" s="13" t="n">
        <f aca="false">Setup!$C$5+323</f>
        <v>46350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TEXT(Setup!$C$5+323,"dddd")</f>
        <v>Tuesday</v>
      </c>
      <c r="B37" s="13" t="n">
        <f aca="false">Setup!$C$5+323</f>
        <v>46350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TEXT(Setup!$C$5+323,"dddd")</f>
        <v>Tuesday</v>
      </c>
      <c r="B38" s="13" t="n">
        <f aca="false">Setup!$C$5+323</f>
        <v>46350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TEXT(Setup!$C$5+323,"dddd")</f>
        <v>Tuesday</v>
      </c>
      <c r="B39" s="13" t="n">
        <f aca="false">Setup!$C$5+323</f>
        <v>46350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TEXT(Setup!$C$5+323,"dddd")</f>
        <v>Tuesday</v>
      </c>
      <c r="B40" s="13" t="n">
        <f aca="false">Setup!$C$5+323</f>
        <v>46350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TEXT(Setup!$C$5+323,"dddd")</f>
        <v>Tuesday</v>
      </c>
      <c r="B41" s="13" t="n">
        <f aca="false">Setup!$C$5+323</f>
        <v>46350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TEXT(Setup!$C$5+323,"dddd")</f>
        <v>Tuesday</v>
      </c>
      <c r="B42" s="13" t="n">
        <f aca="false">Setup!$C$5+323</f>
        <v>46350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TEXT(Setup!$C$5+323,"dddd")</f>
        <v>Tuesday</v>
      </c>
      <c r="B43" s="13" t="n">
        <f aca="false">Setup!$C$5+323</f>
        <v>46350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TEXT(Setup!$C$5+323,"dddd")</f>
        <v>Tuesday</v>
      </c>
      <c r="B44" s="13" t="n">
        <f aca="false">Setup!$C$5+323</f>
        <v>46350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TEXT(Setup!$C$5+323,"dddd")</f>
        <v>Tuesday</v>
      </c>
      <c r="B45" s="23" t="n">
        <f aca="false">Setup!$C$5+323</f>
        <v>46350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IFERROR(H45-Wk46!H45,"")</f>
        <v>0</v>
      </c>
      <c r="O45" s="24" t="n">
        <f aca="false">IFERROR(D45-Wk46!D45,"")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TEXT(Setup!$C$5+324,"dddd")</f>
        <v>Wednesday</v>
      </c>
      <c r="B46" s="13" t="n">
        <f aca="false">Setup!$C$5+324</f>
        <v>46351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TEXT(Setup!$C$5+324,"dddd")</f>
        <v>Wednesday</v>
      </c>
      <c r="B47" s="13" t="n">
        <f aca="false">Setup!$C$5+324</f>
        <v>46351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TEXT(Setup!$C$5+324,"dddd")</f>
        <v>Wednesday</v>
      </c>
      <c r="B48" s="13" t="n">
        <f aca="false">Setup!$C$5+324</f>
        <v>46351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TEXT(Setup!$C$5+324,"dddd")</f>
        <v>Wednesday</v>
      </c>
      <c r="B49" s="13" t="n">
        <f aca="false">Setup!$C$5+324</f>
        <v>46351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TEXT(Setup!$C$5+324,"dddd")</f>
        <v>Wednesday</v>
      </c>
      <c r="B50" s="13" t="n">
        <f aca="false">Setup!$C$5+324</f>
        <v>46351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TEXT(Setup!$C$5+324,"dddd")</f>
        <v>Wednesday</v>
      </c>
      <c r="B51" s="13" t="n">
        <f aca="false">Setup!$C$5+324</f>
        <v>46351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TEXT(Setup!$C$5+324,"dddd")</f>
        <v>Wednesday</v>
      </c>
      <c r="B52" s="13" t="n">
        <f aca="false">Setup!$C$5+324</f>
        <v>46351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TEXT(Setup!$C$5+324,"dddd")</f>
        <v>Wednesday</v>
      </c>
      <c r="B53" s="13" t="n">
        <f aca="false">Setup!$C$5+324</f>
        <v>46351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TEXT(Setup!$C$5+324,"dddd")</f>
        <v>Wednesday</v>
      </c>
      <c r="B54" s="13" t="n">
        <f aca="false">Setup!$C$5+324</f>
        <v>46351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TEXT(Setup!$C$5+324,"dddd")</f>
        <v>Wednesday</v>
      </c>
      <c r="B55" s="13" t="n">
        <f aca="false">Setup!$C$5+324</f>
        <v>46351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TEXT(Setup!$C$5+324,"dddd")</f>
        <v>Wednesday</v>
      </c>
      <c r="B56" s="13" t="n">
        <f aca="false">Setup!$C$5+324</f>
        <v>46351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TEXT(Setup!$C$5+324,"dddd")</f>
        <v>Wednesday</v>
      </c>
      <c r="B57" s="13" t="n">
        <f aca="false">Setup!$C$5+324</f>
        <v>46351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TEXT(Setup!$C$5+324,"dddd")</f>
        <v>Wednesday</v>
      </c>
      <c r="B58" s="13" t="n">
        <f aca="false">Setup!$C$5+324</f>
        <v>46351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TEXT(Setup!$C$5+324,"dddd")</f>
        <v>Wednesday</v>
      </c>
      <c r="B59" s="13" t="n">
        <f aca="false">Setup!$C$5+324</f>
        <v>46351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TEXT(Setup!$C$5+324,"dddd")</f>
        <v>Wednesday</v>
      </c>
      <c r="B60" s="13" t="n">
        <f aca="false">Setup!$C$5+324</f>
        <v>46351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TEXT(Setup!$C$5+324,"dddd")</f>
        <v>Wednesday</v>
      </c>
      <c r="B61" s="13" t="n">
        <f aca="false">Setup!$C$5+324</f>
        <v>46351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TEXT(Setup!$C$5+324,"dddd")</f>
        <v>Wednesday</v>
      </c>
      <c r="B62" s="13" t="n">
        <f aca="false">Setup!$C$5+324</f>
        <v>46351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TEXT(Setup!$C$5+324,"dddd")</f>
        <v>Wednesday</v>
      </c>
      <c r="B63" s="13" t="n">
        <f aca="false">Setup!$C$5+324</f>
        <v>46351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TEXT(Setup!$C$5+324,"dddd")</f>
        <v>Wednesday</v>
      </c>
      <c r="B64" s="13" t="n">
        <f aca="false">Setup!$C$5+324</f>
        <v>46351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TEXT(Setup!$C$5+324,"dddd")</f>
        <v>Wednesday</v>
      </c>
      <c r="B65" s="13" t="n">
        <f aca="false">Setup!$C$5+324</f>
        <v>46351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TEXT(Setup!$C$5+324,"dddd")</f>
        <v>Wednesday</v>
      </c>
      <c r="B66" s="13" t="n">
        <f aca="false">Setup!$C$5+324</f>
        <v>46351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TEXT(Setup!$C$5+324,"dddd")</f>
        <v>Wednesday</v>
      </c>
      <c r="B67" s="23" t="n">
        <f aca="false">Setup!$C$5+324</f>
        <v>46351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IFERROR(H67-Wk46!H67,"")</f>
        <v>0</v>
      </c>
      <c r="O67" s="24" t="n">
        <f aca="false">IFERROR(D67-Wk46!D67,"")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TEXT(Setup!$C$5+325,"dddd")</f>
        <v>Thursday</v>
      </c>
      <c r="B68" s="13" t="n">
        <f aca="false">Setup!$C$5+325</f>
        <v>46352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TEXT(Setup!$C$5+325,"dddd")</f>
        <v>Thursday</v>
      </c>
      <c r="B69" s="13" t="n">
        <f aca="false">Setup!$C$5+325</f>
        <v>46352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TEXT(Setup!$C$5+325,"dddd")</f>
        <v>Thursday</v>
      </c>
      <c r="B70" s="13" t="n">
        <f aca="false">Setup!$C$5+325</f>
        <v>46352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TEXT(Setup!$C$5+325,"dddd")</f>
        <v>Thursday</v>
      </c>
      <c r="B71" s="13" t="n">
        <f aca="false">Setup!$C$5+325</f>
        <v>46352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TEXT(Setup!$C$5+325,"dddd")</f>
        <v>Thursday</v>
      </c>
      <c r="B72" s="13" t="n">
        <f aca="false">Setup!$C$5+325</f>
        <v>46352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TEXT(Setup!$C$5+325,"dddd")</f>
        <v>Thursday</v>
      </c>
      <c r="B73" s="13" t="n">
        <f aca="false">Setup!$C$5+325</f>
        <v>46352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TEXT(Setup!$C$5+325,"dddd")</f>
        <v>Thursday</v>
      </c>
      <c r="B74" s="13" t="n">
        <f aca="false">Setup!$C$5+325</f>
        <v>46352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TEXT(Setup!$C$5+325,"dddd")</f>
        <v>Thursday</v>
      </c>
      <c r="B75" s="13" t="n">
        <f aca="false">Setup!$C$5+325</f>
        <v>46352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TEXT(Setup!$C$5+325,"dddd")</f>
        <v>Thursday</v>
      </c>
      <c r="B76" s="13" t="n">
        <f aca="false">Setup!$C$5+325</f>
        <v>46352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TEXT(Setup!$C$5+325,"dddd")</f>
        <v>Thursday</v>
      </c>
      <c r="B77" s="13" t="n">
        <f aca="false">Setup!$C$5+325</f>
        <v>46352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TEXT(Setup!$C$5+325,"dddd")</f>
        <v>Thursday</v>
      </c>
      <c r="B78" s="13" t="n">
        <f aca="false">Setup!$C$5+325</f>
        <v>46352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TEXT(Setup!$C$5+325,"dddd")</f>
        <v>Thursday</v>
      </c>
      <c r="B79" s="13" t="n">
        <f aca="false">Setup!$C$5+325</f>
        <v>46352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TEXT(Setup!$C$5+325,"dddd")</f>
        <v>Thursday</v>
      </c>
      <c r="B80" s="13" t="n">
        <f aca="false">Setup!$C$5+325</f>
        <v>46352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TEXT(Setup!$C$5+325,"dddd")</f>
        <v>Thursday</v>
      </c>
      <c r="B81" s="13" t="n">
        <f aca="false">Setup!$C$5+325</f>
        <v>46352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TEXT(Setup!$C$5+325,"dddd")</f>
        <v>Thursday</v>
      </c>
      <c r="B82" s="13" t="n">
        <f aca="false">Setup!$C$5+325</f>
        <v>46352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TEXT(Setup!$C$5+325,"dddd")</f>
        <v>Thursday</v>
      </c>
      <c r="B83" s="13" t="n">
        <f aca="false">Setup!$C$5+325</f>
        <v>46352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TEXT(Setup!$C$5+325,"dddd")</f>
        <v>Thursday</v>
      </c>
      <c r="B84" s="13" t="n">
        <f aca="false">Setup!$C$5+325</f>
        <v>46352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TEXT(Setup!$C$5+325,"dddd")</f>
        <v>Thursday</v>
      </c>
      <c r="B85" s="13" t="n">
        <f aca="false">Setup!$C$5+325</f>
        <v>46352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TEXT(Setup!$C$5+325,"dddd")</f>
        <v>Thursday</v>
      </c>
      <c r="B86" s="13" t="n">
        <f aca="false">Setup!$C$5+325</f>
        <v>46352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TEXT(Setup!$C$5+325,"dddd")</f>
        <v>Thursday</v>
      </c>
      <c r="B87" s="13" t="n">
        <f aca="false">Setup!$C$5+325</f>
        <v>46352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TEXT(Setup!$C$5+325,"dddd")</f>
        <v>Thursday</v>
      </c>
      <c r="B88" s="13" t="n">
        <f aca="false">Setup!$C$5+325</f>
        <v>46352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TEXT(Setup!$C$5+325,"dddd")</f>
        <v>Thursday</v>
      </c>
      <c r="B89" s="23" t="n">
        <f aca="false">Setup!$C$5+325</f>
        <v>46352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IFERROR(H89-Wk46!H89,"")</f>
        <v>0</v>
      </c>
      <c r="O89" s="24" t="n">
        <f aca="false">IFERROR(D89-Wk46!D89,"")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TEXT(Setup!$C$5+326,"dddd")</f>
        <v>Friday</v>
      </c>
      <c r="B90" s="13" t="n">
        <f aca="false">Setup!$C$5+326</f>
        <v>46353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TEXT(Setup!$C$5+326,"dddd")</f>
        <v>Friday</v>
      </c>
      <c r="B91" s="13" t="n">
        <f aca="false">Setup!$C$5+326</f>
        <v>46353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TEXT(Setup!$C$5+326,"dddd")</f>
        <v>Friday</v>
      </c>
      <c r="B92" s="13" t="n">
        <f aca="false">Setup!$C$5+326</f>
        <v>46353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TEXT(Setup!$C$5+326,"dddd")</f>
        <v>Friday</v>
      </c>
      <c r="B93" s="13" t="n">
        <f aca="false">Setup!$C$5+326</f>
        <v>46353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TEXT(Setup!$C$5+326,"dddd")</f>
        <v>Friday</v>
      </c>
      <c r="B94" s="13" t="n">
        <f aca="false">Setup!$C$5+326</f>
        <v>46353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TEXT(Setup!$C$5+326,"dddd")</f>
        <v>Friday</v>
      </c>
      <c r="B95" s="13" t="n">
        <f aca="false">Setup!$C$5+326</f>
        <v>46353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TEXT(Setup!$C$5+326,"dddd")</f>
        <v>Friday</v>
      </c>
      <c r="B96" s="13" t="n">
        <f aca="false">Setup!$C$5+326</f>
        <v>46353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TEXT(Setup!$C$5+326,"dddd")</f>
        <v>Friday</v>
      </c>
      <c r="B97" s="13" t="n">
        <f aca="false">Setup!$C$5+326</f>
        <v>46353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TEXT(Setup!$C$5+326,"dddd")</f>
        <v>Friday</v>
      </c>
      <c r="B98" s="13" t="n">
        <f aca="false">Setup!$C$5+326</f>
        <v>46353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TEXT(Setup!$C$5+326,"dddd")</f>
        <v>Friday</v>
      </c>
      <c r="B99" s="13" t="n">
        <f aca="false">Setup!$C$5+326</f>
        <v>46353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TEXT(Setup!$C$5+326,"dddd")</f>
        <v>Friday</v>
      </c>
      <c r="B100" s="13" t="n">
        <f aca="false">Setup!$C$5+326</f>
        <v>46353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TEXT(Setup!$C$5+326,"dddd")</f>
        <v>Friday</v>
      </c>
      <c r="B101" s="13" t="n">
        <f aca="false">Setup!$C$5+326</f>
        <v>46353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TEXT(Setup!$C$5+326,"dddd")</f>
        <v>Friday</v>
      </c>
      <c r="B102" s="13" t="n">
        <f aca="false">Setup!$C$5+326</f>
        <v>46353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TEXT(Setup!$C$5+326,"dddd")</f>
        <v>Friday</v>
      </c>
      <c r="B103" s="13" t="n">
        <f aca="false">Setup!$C$5+326</f>
        <v>46353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TEXT(Setup!$C$5+326,"dddd")</f>
        <v>Friday</v>
      </c>
      <c r="B104" s="13" t="n">
        <f aca="false">Setup!$C$5+326</f>
        <v>46353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TEXT(Setup!$C$5+326,"dddd")</f>
        <v>Friday</v>
      </c>
      <c r="B105" s="13" t="n">
        <f aca="false">Setup!$C$5+326</f>
        <v>46353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TEXT(Setup!$C$5+326,"dddd")</f>
        <v>Friday</v>
      </c>
      <c r="B106" s="13" t="n">
        <f aca="false">Setup!$C$5+326</f>
        <v>46353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TEXT(Setup!$C$5+326,"dddd")</f>
        <v>Friday</v>
      </c>
      <c r="B107" s="13" t="n">
        <f aca="false">Setup!$C$5+326</f>
        <v>46353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TEXT(Setup!$C$5+326,"dddd")</f>
        <v>Friday</v>
      </c>
      <c r="B108" s="13" t="n">
        <f aca="false">Setup!$C$5+326</f>
        <v>46353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TEXT(Setup!$C$5+326,"dddd")</f>
        <v>Friday</v>
      </c>
      <c r="B109" s="13" t="n">
        <f aca="false">Setup!$C$5+326</f>
        <v>46353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TEXT(Setup!$C$5+326,"dddd")</f>
        <v>Friday</v>
      </c>
      <c r="B110" s="13" t="n">
        <f aca="false">Setup!$C$5+326</f>
        <v>46353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TEXT(Setup!$C$5+326,"dddd")</f>
        <v>Friday</v>
      </c>
      <c r="B111" s="23" t="n">
        <f aca="false">Setup!$C$5+326</f>
        <v>46353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IFERROR(H111-Wk46!H111,"")</f>
        <v>0</v>
      </c>
      <c r="O111" s="24" t="n">
        <f aca="false">IFERROR(D111-Wk46!D111,"")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TEXT(Setup!$C$5+327,"dddd")</f>
        <v>Saturday</v>
      </c>
      <c r="B112" s="13" t="n">
        <f aca="false">Setup!$C$5+327</f>
        <v>46354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TEXT(Setup!$C$5+327,"dddd")</f>
        <v>Saturday</v>
      </c>
      <c r="B113" s="13" t="n">
        <f aca="false">Setup!$C$5+327</f>
        <v>46354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TEXT(Setup!$C$5+327,"dddd")</f>
        <v>Saturday</v>
      </c>
      <c r="B114" s="13" t="n">
        <f aca="false">Setup!$C$5+327</f>
        <v>46354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TEXT(Setup!$C$5+327,"dddd")</f>
        <v>Saturday</v>
      </c>
      <c r="B115" s="13" t="n">
        <f aca="false">Setup!$C$5+327</f>
        <v>46354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TEXT(Setup!$C$5+327,"dddd")</f>
        <v>Saturday</v>
      </c>
      <c r="B116" s="13" t="n">
        <f aca="false">Setup!$C$5+327</f>
        <v>46354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TEXT(Setup!$C$5+327,"dddd")</f>
        <v>Saturday</v>
      </c>
      <c r="B117" s="13" t="n">
        <f aca="false">Setup!$C$5+327</f>
        <v>46354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TEXT(Setup!$C$5+327,"dddd")</f>
        <v>Saturday</v>
      </c>
      <c r="B118" s="13" t="n">
        <f aca="false">Setup!$C$5+327</f>
        <v>46354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TEXT(Setup!$C$5+327,"dddd")</f>
        <v>Saturday</v>
      </c>
      <c r="B119" s="13" t="n">
        <f aca="false">Setup!$C$5+327</f>
        <v>46354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TEXT(Setup!$C$5+327,"dddd")</f>
        <v>Saturday</v>
      </c>
      <c r="B120" s="13" t="n">
        <f aca="false">Setup!$C$5+327</f>
        <v>46354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TEXT(Setup!$C$5+327,"dddd")</f>
        <v>Saturday</v>
      </c>
      <c r="B121" s="13" t="n">
        <f aca="false">Setup!$C$5+327</f>
        <v>46354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TEXT(Setup!$C$5+327,"dddd")</f>
        <v>Saturday</v>
      </c>
      <c r="B122" s="13" t="n">
        <f aca="false">Setup!$C$5+327</f>
        <v>46354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TEXT(Setup!$C$5+327,"dddd")</f>
        <v>Saturday</v>
      </c>
      <c r="B123" s="13" t="n">
        <f aca="false">Setup!$C$5+327</f>
        <v>46354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TEXT(Setup!$C$5+327,"dddd")</f>
        <v>Saturday</v>
      </c>
      <c r="B124" s="13" t="n">
        <f aca="false">Setup!$C$5+327</f>
        <v>46354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TEXT(Setup!$C$5+327,"dddd")</f>
        <v>Saturday</v>
      </c>
      <c r="B125" s="13" t="n">
        <f aca="false">Setup!$C$5+327</f>
        <v>46354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TEXT(Setup!$C$5+327,"dddd")</f>
        <v>Saturday</v>
      </c>
      <c r="B126" s="13" t="n">
        <f aca="false">Setup!$C$5+327</f>
        <v>46354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TEXT(Setup!$C$5+327,"dddd")</f>
        <v>Saturday</v>
      </c>
      <c r="B127" s="13" t="n">
        <f aca="false">Setup!$C$5+327</f>
        <v>46354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TEXT(Setup!$C$5+327,"dddd")</f>
        <v>Saturday</v>
      </c>
      <c r="B128" s="13" t="n">
        <f aca="false">Setup!$C$5+327</f>
        <v>46354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TEXT(Setup!$C$5+327,"dddd")</f>
        <v>Saturday</v>
      </c>
      <c r="B129" s="13" t="n">
        <f aca="false">Setup!$C$5+327</f>
        <v>46354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TEXT(Setup!$C$5+327,"dddd")</f>
        <v>Saturday</v>
      </c>
      <c r="B130" s="13" t="n">
        <f aca="false">Setup!$C$5+327</f>
        <v>46354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TEXT(Setup!$C$5+327,"dddd")</f>
        <v>Saturday</v>
      </c>
      <c r="B131" s="13" t="n">
        <f aca="false">Setup!$C$5+327</f>
        <v>46354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TEXT(Setup!$C$5+327,"dddd")</f>
        <v>Saturday</v>
      </c>
      <c r="B132" s="13" t="n">
        <f aca="false">Setup!$C$5+327</f>
        <v>46354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TEXT(Setup!$C$5+327,"dddd")</f>
        <v>Saturday</v>
      </c>
      <c r="B133" s="23" t="n">
        <f aca="false">Setup!$C$5+327</f>
        <v>46354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IFERROR(H133-Wk46!H133,"")</f>
        <v>0</v>
      </c>
      <c r="O133" s="24" t="n">
        <f aca="false">IFERROR(D133-Wk46!D133,"")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TEXT(Setup!$C$5+328,"dddd")</f>
        <v>Sunday</v>
      </c>
      <c r="B134" s="13" t="n">
        <f aca="false">Setup!$C$5+328</f>
        <v>46355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TEXT(Setup!$C$5+328,"dddd")</f>
        <v>Sunday</v>
      </c>
      <c r="B135" s="13" t="n">
        <f aca="false">Setup!$C$5+328</f>
        <v>46355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TEXT(Setup!$C$5+328,"dddd")</f>
        <v>Sunday</v>
      </c>
      <c r="B136" s="13" t="n">
        <f aca="false">Setup!$C$5+328</f>
        <v>46355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TEXT(Setup!$C$5+328,"dddd")</f>
        <v>Sunday</v>
      </c>
      <c r="B137" s="13" t="n">
        <f aca="false">Setup!$C$5+328</f>
        <v>46355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TEXT(Setup!$C$5+328,"dddd")</f>
        <v>Sunday</v>
      </c>
      <c r="B138" s="13" t="n">
        <f aca="false">Setup!$C$5+328</f>
        <v>46355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TEXT(Setup!$C$5+328,"dddd")</f>
        <v>Sunday</v>
      </c>
      <c r="B139" s="13" t="n">
        <f aca="false">Setup!$C$5+328</f>
        <v>46355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TEXT(Setup!$C$5+328,"dddd")</f>
        <v>Sunday</v>
      </c>
      <c r="B140" s="13" t="n">
        <f aca="false">Setup!$C$5+328</f>
        <v>46355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TEXT(Setup!$C$5+328,"dddd")</f>
        <v>Sunday</v>
      </c>
      <c r="B141" s="13" t="n">
        <f aca="false">Setup!$C$5+328</f>
        <v>46355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TEXT(Setup!$C$5+328,"dddd")</f>
        <v>Sunday</v>
      </c>
      <c r="B142" s="13" t="n">
        <f aca="false">Setup!$C$5+328</f>
        <v>46355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TEXT(Setup!$C$5+328,"dddd")</f>
        <v>Sunday</v>
      </c>
      <c r="B143" s="13" t="n">
        <f aca="false">Setup!$C$5+328</f>
        <v>46355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TEXT(Setup!$C$5+328,"dddd")</f>
        <v>Sunday</v>
      </c>
      <c r="B144" s="13" t="n">
        <f aca="false">Setup!$C$5+328</f>
        <v>46355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TEXT(Setup!$C$5+328,"dddd")</f>
        <v>Sunday</v>
      </c>
      <c r="B145" s="13" t="n">
        <f aca="false">Setup!$C$5+328</f>
        <v>46355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TEXT(Setup!$C$5+328,"dddd")</f>
        <v>Sunday</v>
      </c>
      <c r="B146" s="13" t="n">
        <f aca="false">Setup!$C$5+328</f>
        <v>46355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TEXT(Setup!$C$5+328,"dddd")</f>
        <v>Sunday</v>
      </c>
      <c r="B147" s="13" t="n">
        <f aca="false">Setup!$C$5+328</f>
        <v>46355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TEXT(Setup!$C$5+328,"dddd")</f>
        <v>Sunday</v>
      </c>
      <c r="B148" s="13" t="n">
        <f aca="false">Setup!$C$5+328</f>
        <v>46355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TEXT(Setup!$C$5+328,"dddd")</f>
        <v>Sunday</v>
      </c>
      <c r="B149" s="13" t="n">
        <f aca="false">Setup!$C$5+328</f>
        <v>46355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TEXT(Setup!$C$5+328,"dddd")</f>
        <v>Sunday</v>
      </c>
      <c r="B150" s="13" t="n">
        <f aca="false">Setup!$C$5+328</f>
        <v>46355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TEXT(Setup!$C$5+328,"dddd")</f>
        <v>Sunday</v>
      </c>
      <c r="B151" s="13" t="n">
        <f aca="false">Setup!$C$5+328</f>
        <v>46355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TEXT(Setup!$C$5+328,"dddd")</f>
        <v>Sunday</v>
      </c>
      <c r="B152" s="13" t="n">
        <f aca="false">Setup!$C$5+328</f>
        <v>46355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TEXT(Setup!$C$5+328,"dddd")</f>
        <v>Sunday</v>
      </c>
      <c r="B153" s="13" t="n">
        <f aca="false">Setup!$C$5+328</f>
        <v>46355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TEXT(Setup!$C$5+328,"dddd")</f>
        <v>Sunday</v>
      </c>
      <c r="B154" s="13" t="n">
        <f aca="false">Setup!$C$5+328</f>
        <v>46355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TEXT(Setup!$C$5+328,"dddd")</f>
        <v>Sunday</v>
      </c>
      <c r="B155" s="23" t="n">
        <f aca="false">Setup!$C$5+328</f>
        <v>46355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IFERROR(H155-Wk46!H155,"")</f>
        <v>0</v>
      </c>
      <c r="O155" s="24" t="n">
        <f aca="false">IFERROR(D155-Wk46!D155,"")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IFERROR(D156-Wk46!D156,"")</f>
        <v>0</v>
      </c>
      <c r="E157" s="34" t="n">
        <f aca="false">IFERROR(E156-Wk46!E156,"")</f>
        <v>0</v>
      </c>
      <c r="H157" s="32" t="n">
        <f aca="false">IFERROR(H156-Wk46!H156,"")</f>
        <v>0</v>
      </c>
      <c r="K157" s="32" t="n">
        <f aca="false">IFERROR(K156-Wk46!K156,"")</f>
        <v>0</v>
      </c>
      <c r="M157" s="32" t="n">
        <f aca="false">IFERROR(M156-Wk46!M156,"")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TEXT(Setup!$C$5+329,"dddd")</f>
        <v>Monday</v>
      </c>
      <c r="B2" s="13" t="n">
        <f aca="false">Setup!$C$5+329</f>
        <v>46356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TEXT(Setup!$C$5+329,"dddd")</f>
        <v>Monday</v>
      </c>
      <c r="B3" s="13" t="n">
        <f aca="false">Setup!$C$5+329</f>
        <v>46356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TEXT(Setup!$C$5+329,"dddd")</f>
        <v>Monday</v>
      </c>
      <c r="B4" s="13" t="n">
        <f aca="false">Setup!$C$5+329</f>
        <v>46356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TEXT(Setup!$C$5+329,"dddd")</f>
        <v>Monday</v>
      </c>
      <c r="B5" s="13" t="n">
        <f aca="false">Setup!$C$5+329</f>
        <v>46356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TEXT(Setup!$C$5+329,"dddd")</f>
        <v>Monday</v>
      </c>
      <c r="B6" s="13" t="n">
        <f aca="false">Setup!$C$5+329</f>
        <v>46356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TEXT(Setup!$C$5+329,"dddd")</f>
        <v>Monday</v>
      </c>
      <c r="B7" s="13" t="n">
        <f aca="false">Setup!$C$5+329</f>
        <v>46356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TEXT(Setup!$C$5+329,"dddd")</f>
        <v>Monday</v>
      </c>
      <c r="B8" s="13" t="n">
        <f aca="false">Setup!$C$5+329</f>
        <v>46356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TEXT(Setup!$C$5+329,"dddd")</f>
        <v>Monday</v>
      </c>
      <c r="B9" s="13" t="n">
        <f aca="false">Setup!$C$5+329</f>
        <v>46356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TEXT(Setup!$C$5+329,"dddd")</f>
        <v>Monday</v>
      </c>
      <c r="B10" s="13" t="n">
        <f aca="false">Setup!$C$5+329</f>
        <v>46356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TEXT(Setup!$C$5+329,"dddd")</f>
        <v>Monday</v>
      </c>
      <c r="B11" s="13" t="n">
        <f aca="false">Setup!$C$5+329</f>
        <v>46356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TEXT(Setup!$C$5+329,"dddd")</f>
        <v>Monday</v>
      </c>
      <c r="B12" s="13" t="n">
        <f aca="false">Setup!$C$5+329</f>
        <v>46356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TEXT(Setup!$C$5+329,"dddd")</f>
        <v>Monday</v>
      </c>
      <c r="B13" s="13" t="n">
        <f aca="false">Setup!$C$5+329</f>
        <v>46356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TEXT(Setup!$C$5+329,"dddd")</f>
        <v>Monday</v>
      </c>
      <c r="B14" s="13" t="n">
        <f aca="false">Setup!$C$5+329</f>
        <v>46356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TEXT(Setup!$C$5+329,"dddd")</f>
        <v>Monday</v>
      </c>
      <c r="B15" s="13" t="n">
        <f aca="false">Setup!$C$5+329</f>
        <v>46356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TEXT(Setup!$C$5+329,"dddd")</f>
        <v>Monday</v>
      </c>
      <c r="B16" s="13" t="n">
        <f aca="false">Setup!$C$5+329</f>
        <v>46356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TEXT(Setup!$C$5+329,"dddd")</f>
        <v>Monday</v>
      </c>
      <c r="B17" s="13" t="n">
        <f aca="false">Setup!$C$5+329</f>
        <v>46356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TEXT(Setup!$C$5+329,"dddd")</f>
        <v>Monday</v>
      </c>
      <c r="B18" s="13" t="n">
        <f aca="false">Setup!$C$5+329</f>
        <v>46356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TEXT(Setup!$C$5+329,"dddd")</f>
        <v>Monday</v>
      </c>
      <c r="B19" s="13" t="n">
        <f aca="false">Setup!$C$5+329</f>
        <v>46356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TEXT(Setup!$C$5+329,"dddd")</f>
        <v>Monday</v>
      </c>
      <c r="B20" s="13" t="n">
        <f aca="false">Setup!$C$5+329</f>
        <v>46356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TEXT(Setup!$C$5+329,"dddd")</f>
        <v>Monday</v>
      </c>
      <c r="B21" s="13" t="n">
        <f aca="false">Setup!$C$5+329</f>
        <v>46356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TEXT(Setup!$C$5+329,"dddd")</f>
        <v>Monday</v>
      </c>
      <c r="B22" s="13" t="n">
        <f aca="false">Setup!$C$5+329</f>
        <v>46356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TEXT(Setup!$C$5+329,"dddd")</f>
        <v>Monday</v>
      </c>
      <c r="B23" s="23" t="n">
        <f aca="false">Setup!$C$5+329</f>
        <v>46356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IFERROR(H23-Wk47!H23,"")</f>
        <v>0</v>
      </c>
      <c r="O23" s="24" t="n">
        <f aca="false">IFERROR(D23-Wk47!D23,"")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TEXT(Setup!$C$5+330,"dddd")</f>
        <v>Tuesday</v>
      </c>
      <c r="B24" s="13" t="n">
        <f aca="false">Setup!$C$5+330</f>
        <v>46357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TEXT(Setup!$C$5+330,"dddd")</f>
        <v>Tuesday</v>
      </c>
      <c r="B25" s="13" t="n">
        <f aca="false">Setup!$C$5+330</f>
        <v>46357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TEXT(Setup!$C$5+330,"dddd")</f>
        <v>Tuesday</v>
      </c>
      <c r="B26" s="13" t="n">
        <f aca="false">Setup!$C$5+330</f>
        <v>46357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TEXT(Setup!$C$5+330,"dddd")</f>
        <v>Tuesday</v>
      </c>
      <c r="B27" s="13" t="n">
        <f aca="false">Setup!$C$5+330</f>
        <v>46357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TEXT(Setup!$C$5+330,"dddd")</f>
        <v>Tuesday</v>
      </c>
      <c r="B28" s="13" t="n">
        <f aca="false">Setup!$C$5+330</f>
        <v>46357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TEXT(Setup!$C$5+330,"dddd")</f>
        <v>Tuesday</v>
      </c>
      <c r="B29" s="13" t="n">
        <f aca="false">Setup!$C$5+330</f>
        <v>46357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TEXT(Setup!$C$5+330,"dddd")</f>
        <v>Tuesday</v>
      </c>
      <c r="B30" s="13" t="n">
        <f aca="false">Setup!$C$5+330</f>
        <v>46357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TEXT(Setup!$C$5+330,"dddd")</f>
        <v>Tuesday</v>
      </c>
      <c r="B31" s="13" t="n">
        <f aca="false">Setup!$C$5+330</f>
        <v>46357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TEXT(Setup!$C$5+330,"dddd")</f>
        <v>Tuesday</v>
      </c>
      <c r="B32" s="13" t="n">
        <f aca="false">Setup!$C$5+330</f>
        <v>46357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TEXT(Setup!$C$5+330,"dddd")</f>
        <v>Tuesday</v>
      </c>
      <c r="B33" s="13" t="n">
        <f aca="false">Setup!$C$5+330</f>
        <v>46357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TEXT(Setup!$C$5+330,"dddd")</f>
        <v>Tuesday</v>
      </c>
      <c r="B34" s="13" t="n">
        <f aca="false">Setup!$C$5+330</f>
        <v>46357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TEXT(Setup!$C$5+330,"dddd")</f>
        <v>Tuesday</v>
      </c>
      <c r="B35" s="13" t="n">
        <f aca="false">Setup!$C$5+330</f>
        <v>46357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TEXT(Setup!$C$5+330,"dddd")</f>
        <v>Tuesday</v>
      </c>
      <c r="B36" s="13" t="n">
        <f aca="false">Setup!$C$5+330</f>
        <v>46357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TEXT(Setup!$C$5+330,"dddd")</f>
        <v>Tuesday</v>
      </c>
      <c r="B37" s="13" t="n">
        <f aca="false">Setup!$C$5+330</f>
        <v>46357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TEXT(Setup!$C$5+330,"dddd")</f>
        <v>Tuesday</v>
      </c>
      <c r="B38" s="13" t="n">
        <f aca="false">Setup!$C$5+330</f>
        <v>46357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TEXT(Setup!$C$5+330,"dddd")</f>
        <v>Tuesday</v>
      </c>
      <c r="B39" s="13" t="n">
        <f aca="false">Setup!$C$5+330</f>
        <v>46357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TEXT(Setup!$C$5+330,"dddd")</f>
        <v>Tuesday</v>
      </c>
      <c r="B40" s="13" t="n">
        <f aca="false">Setup!$C$5+330</f>
        <v>46357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TEXT(Setup!$C$5+330,"dddd")</f>
        <v>Tuesday</v>
      </c>
      <c r="B41" s="13" t="n">
        <f aca="false">Setup!$C$5+330</f>
        <v>46357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TEXT(Setup!$C$5+330,"dddd")</f>
        <v>Tuesday</v>
      </c>
      <c r="B42" s="13" t="n">
        <f aca="false">Setup!$C$5+330</f>
        <v>46357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TEXT(Setup!$C$5+330,"dddd")</f>
        <v>Tuesday</v>
      </c>
      <c r="B43" s="13" t="n">
        <f aca="false">Setup!$C$5+330</f>
        <v>46357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TEXT(Setup!$C$5+330,"dddd")</f>
        <v>Tuesday</v>
      </c>
      <c r="B44" s="13" t="n">
        <f aca="false">Setup!$C$5+330</f>
        <v>46357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TEXT(Setup!$C$5+330,"dddd")</f>
        <v>Tuesday</v>
      </c>
      <c r="B45" s="23" t="n">
        <f aca="false">Setup!$C$5+330</f>
        <v>46357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IFERROR(H45-Wk47!H45,"")</f>
        <v>0</v>
      </c>
      <c r="O45" s="24" t="n">
        <f aca="false">IFERROR(D45-Wk47!D45,"")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TEXT(Setup!$C$5+331,"dddd")</f>
        <v>Wednesday</v>
      </c>
      <c r="B46" s="13" t="n">
        <f aca="false">Setup!$C$5+331</f>
        <v>46358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TEXT(Setup!$C$5+331,"dddd")</f>
        <v>Wednesday</v>
      </c>
      <c r="B47" s="13" t="n">
        <f aca="false">Setup!$C$5+331</f>
        <v>46358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TEXT(Setup!$C$5+331,"dddd")</f>
        <v>Wednesday</v>
      </c>
      <c r="B48" s="13" t="n">
        <f aca="false">Setup!$C$5+331</f>
        <v>46358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TEXT(Setup!$C$5+331,"dddd")</f>
        <v>Wednesday</v>
      </c>
      <c r="B49" s="13" t="n">
        <f aca="false">Setup!$C$5+331</f>
        <v>46358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TEXT(Setup!$C$5+331,"dddd")</f>
        <v>Wednesday</v>
      </c>
      <c r="B50" s="13" t="n">
        <f aca="false">Setup!$C$5+331</f>
        <v>46358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TEXT(Setup!$C$5+331,"dddd")</f>
        <v>Wednesday</v>
      </c>
      <c r="B51" s="13" t="n">
        <f aca="false">Setup!$C$5+331</f>
        <v>46358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TEXT(Setup!$C$5+331,"dddd")</f>
        <v>Wednesday</v>
      </c>
      <c r="B52" s="13" t="n">
        <f aca="false">Setup!$C$5+331</f>
        <v>46358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TEXT(Setup!$C$5+331,"dddd")</f>
        <v>Wednesday</v>
      </c>
      <c r="B53" s="13" t="n">
        <f aca="false">Setup!$C$5+331</f>
        <v>46358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TEXT(Setup!$C$5+331,"dddd")</f>
        <v>Wednesday</v>
      </c>
      <c r="B54" s="13" t="n">
        <f aca="false">Setup!$C$5+331</f>
        <v>46358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TEXT(Setup!$C$5+331,"dddd")</f>
        <v>Wednesday</v>
      </c>
      <c r="B55" s="13" t="n">
        <f aca="false">Setup!$C$5+331</f>
        <v>46358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TEXT(Setup!$C$5+331,"dddd")</f>
        <v>Wednesday</v>
      </c>
      <c r="B56" s="13" t="n">
        <f aca="false">Setup!$C$5+331</f>
        <v>46358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TEXT(Setup!$C$5+331,"dddd")</f>
        <v>Wednesday</v>
      </c>
      <c r="B57" s="13" t="n">
        <f aca="false">Setup!$C$5+331</f>
        <v>46358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TEXT(Setup!$C$5+331,"dddd")</f>
        <v>Wednesday</v>
      </c>
      <c r="B58" s="13" t="n">
        <f aca="false">Setup!$C$5+331</f>
        <v>46358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TEXT(Setup!$C$5+331,"dddd")</f>
        <v>Wednesday</v>
      </c>
      <c r="B59" s="13" t="n">
        <f aca="false">Setup!$C$5+331</f>
        <v>46358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TEXT(Setup!$C$5+331,"dddd")</f>
        <v>Wednesday</v>
      </c>
      <c r="B60" s="13" t="n">
        <f aca="false">Setup!$C$5+331</f>
        <v>46358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TEXT(Setup!$C$5+331,"dddd")</f>
        <v>Wednesday</v>
      </c>
      <c r="B61" s="13" t="n">
        <f aca="false">Setup!$C$5+331</f>
        <v>46358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TEXT(Setup!$C$5+331,"dddd")</f>
        <v>Wednesday</v>
      </c>
      <c r="B62" s="13" t="n">
        <f aca="false">Setup!$C$5+331</f>
        <v>46358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TEXT(Setup!$C$5+331,"dddd")</f>
        <v>Wednesday</v>
      </c>
      <c r="B63" s="13" t="n">
        <f aca="false">Setup!$C$5+331</f>
        <v>46358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TEXT(Setup!$C$5+331,"dddd")</f>
        <v>Wednesday</v>
      </c>
      <c r="B64" s="13" t="n">
        <f aca="false">Setup!$C$5+331</f>
        <v>46358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TEXT(Setup!$C$5+331,"dddd")</f>
        <v>Wednesday</v>
      </c>
      <c r="B65" s="13" t="n">
        <f aca="false">Setup!$C$5+331</f>
        <v>46358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TEXT(Setup!$C$5+331,"dddd")</f>
        <v>Wednesday</v>
      </c>
      <c r="B66" s="13" t="n">
        <f aca="false">Setup!$C$5+331</f>
        <v>46358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TEXT(Setup!$C$5+331,"dddd")</f>
        <v>Wednesday</v>
      </c>
      <c r="B67" s="23" t="n">
        <f aca="false">Setup!$C$5+331</f>
        <v>46358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IFERROR(H67-Wk47!H67,"")</f>
        <v>0</v>
      </c>
      <c r="O67" s="24" t="n">
        <f aca="false">IFERROR(D67-Wk47!D67,"")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TEXT(Setup!$C$5+332,"dddd")</f>
        <v>Thursday</v>
      </c>
      <c r="B68" s="13" t="n">
        <f aca="false">Setup!$C$5+332</f>
        <v>46359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TEXT(Setup!$C$5+332,"dddd")</f>
        <v>Thursday</v>
      </c>
      <c r="B69" s="13" t="n">
        <f aca="false">Setup!$C$5+332</f>
        <v>46359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TEXT(Setup!$C$5+332,"dddd")</f>
        <v>Thursday</v>
      </c>
      <c r="B70" s="13" t="n">
        <f aca="false">Setup!$C$5+332</f>
        <v>46359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TEXT(Setup!$C$5+332,"dddd")</f>
        <v>Thursday</v>
      </c>
      <c r="B71" s="13" t="n">
        <f aca="false">Setup!$C$5+332</f>
        <v>46359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TEXT(Setup!$C$5+332,"dddd")</f>
        <v>Thursday</v>
      </c>
      <c r="B72" s="13" t="n">
        <f aca="false">Setup!$C$5+332</f>
        <v>46359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TEXT(Setup!$C$5+332,"dddd")</f>
        <v>Thursday</v>
      </c>
      <c r="B73" s="13" t="n">
        <f aca="false">Setup!$C$5+332</f>
        <v>46359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TEXT(Setup!$C$5+332,"dddd")</f>
        <v>Thursday</v>
      </c>
      <c r="B74" s="13" t="n">
        <f aca="false">Setup!$C$5+332</f>
        <v>46359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TEXT(Setup!$C$5+332,"dddd")</f>
        <v>Thursday</v>
      </c>
      <c r="B75" s="13" t="n">
        <f aca="false">Setup!$C$5+332</f>
        <v>46359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TEXT(Setup!$C$5+332,"dddd")</f>
        <v>Thursday</v>
      </c>
      <c r="B76" s="13" t="n">
        <f aca="false">Setup!$C$5+332</f>
        <v>46359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TEXT(Setup!$C$5+332,"dddd")</f>
        <v>Thursday</v>
      </c>
      <c r="B77" s="13" t="n">
        <f aca="false">Setup!$C$5+332</f>
        <v>46359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TEXT(Setup!$C$5+332,"dddd")</f>
        <v>Thursday</v>
      </c>
      <c r="B78" s="13" t="n">
        <f aca="false">Setup!$C$5+332</f>
        <v>46359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TEXT(Setup!$C$5+332,"dddd")</f>
        <v>Thursday</v>
      </c>
      <c r="B79" s="13" t="n">
        <f aca="false">Setup!$C$5+332</f>
        <v>46359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TEXT(Setup!$C$5+332,"dddd")</f>
        <v>Thursday</v>
      </c>
      <c r="B80" s="13" t="n">
        <f aca="false">Setup!$C$5+332</f>
        <v>46359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TEXT(Setup!$C$5+332,"dddd")</f>
        <v>Thursday</v>
      </c>
      <c r="B81" s="13" t="n">
        <f aca="false">Setup!$C$5+332</f>
        <v>46359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TEXT(Setup!$C$5+332,"dddd")</f>
        <v>Thursday</v>
      </c>
      <c r="B82" s="13" t="n">
        <f aca="false">Setup!$C$5+332</f>
        <v>46359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TEXT(Setup!$C$5+332,"dddd")</f>
        <v>Thursday</v>
      </c>
      <c r="B83" s="13" t="n">
        <f aca="false">Setup!$C$5+332</f>
        <v>46359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TEXT(Setup!$C$5+332,"dddd")</f>
        <v>Thursday</v>
      </c>
      <c r="B84" s="13" t="n">
        <f aca="false">Setup!$C$5+332</f>
        <v>46359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TEXT(Setup!$C$5+332,"dddd")</f>
        <v>Thursday</v>
      </c>
      <c r="B85" s="13" t="n">
        <f aca="false">Setup!$C$5+332</f>
        <v>46359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TEXT(Setup!$C$5+332,"dddd")</f>
        <v>Thursday</v>
      </c>
      <c r="B86" s="13" t="n">
        <f aca="false">Setup!$C$5+332</f>
        <v>46359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TEXT(Setup!$C$5+332,"dddd")</f>
        <v>Thursday</v>
      </c>
      <c r="B87" s="13" t="n">
        <f aca="false">Setup!$C$5+332</f>
        <v>46359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TEXT(Setup!$C$5+332,"dddd")</f>
        <v>Thursday</v>
      </c>
      <c r="B88" s="13" t="n">
        <f aca="false">Setup!$C$5+332</f>
        <v>46359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TEXT(Setup!$C$5+332,"dddd")</f>
        <v>Thursday</v>
      </c>
      <c r="B89" s="23" t="n">
        <f aca="false">Setup!$C$5+332</f>
        <v>46359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IFERROR(H89-Wk47!H89,"")</f>
        <v>0</v>
      </c>
      <c r="O89" s="24" t="n">
        <f aca="false">IFERROR(D89-Wk47!D89,"")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TEXT(Setup!$C$5+333,"dddd")</f>
        <v>Friday</v>
      </c>
      <c r="B90" s="13" t="n">
        <f aca="false">Setup!$C$5+333</f>
        <v>46360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TEXT(Setup!$C$5+333,"dddd")</f>
        <v>Friday</v>
      </c>
      <c r="B91" s="13" t="n">
        <f aca="false">Setup!$C$5+333</f>
        <v>46360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TEXT(Setup!$C$5+333,"dddd")</f>
        <v>Friday</v>
      </c>
      <c r="B92" s="13" t="n">
        <f aca="false">Setup!$C$5+333</f>
        <v>46360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TEXT(Setup!$C$5+333,"dddd")</f>
        <v>Friday</v>
      </c>
      <c r="B93" s="13" t="n">
        <f aca="false">Setup!$C$5+333</f>
        <v>46360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TEXT(Setup!$C$5+333,"dddd")</f>
        <v>Friday</v>
      </c>
      <c r="B94" s="13" t="n">
        <f aca="false">Setup!$C$5+333</f>
        <v>46360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TEXT(Setup!$C$5+333,"dddd")</f>
        <v>Friday</v>
      </c>
      <c r="B95" s="13" t="n">
        <f aca="false">Setup!$C$5+333</f>
        <v>46360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TEXT(Setup!$C$5+333,"dddd")</f>
        <v>Friday</v>
      </c>
      <c r="B96" s="13" t="n">
        <f aca="false">Setup!$C$5+333</f>
        <v>46360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TEXT(Setup!$C$5+333,"dddd")</f>
        <v>Friday</v>
      </c>
      <c r="B97" s="13" t="n">
        <f aca="false">Setup!$C$5+333</f>
        <v>46360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TEXT(Setup!$C$5+333,"dddd")</f>
        <v>Friday</v>
      </c>
      <c r="B98" s="13" t="n">
        <f aca="false">Setup!$C$5+333</f>
        <v>46360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TEXT(Setup!$C$5+333,"dddd")</f>
        <v>Friday</v>
      </c>
      <c r="B99" s="13" t="n">
        <f aca="false">Setup!$C$5+333</f>
        <v>46360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TEXT(Setup!$C$5+333,"dddd")</f>
        <v>Friday</v>
      </c>
      <c r="B100" s="13" t="n">
        <f aca="false">Setup!$C$5+333</f>
        <v>46360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TEXT(Setup!$C$5+333,"dddd")</f>
        <v>Friday</v>
      </c>
      <c r="B101" s="13" t="n">
        <f aca="false">Setup!$C$5+333</f>
        <v>46360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TEXT(Setup!$C$5+333,"dddd")</f>
        <v>Friday</v>
      </c>
      <c r="B102" s="13" t="n">
        <f aca="false">Setup!$C$5+333</f>
        <v>46360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TEXT(Setup!$C$5+333,"dddd")</f>
        <v>Friday</v>
      </c>
      <c r="B103" s="13" t="n">
        <f aca="false">Setup!$C$5+333</f>
        <v>46360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TEXT(Setup!$C$5+333,"dddd")</f>
        <v>Friday</v>
      </c>
      <c r="B104" s="13" t="n">
        <f aca="false">Setup!$C$5+333</f>
        <v>46360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TEXT(Setup!$C$5+333,"dddd")</f>
        <v>Friday</v>
      </c>
      <c r="B105" s="13" t="n">
        <f aca="false">Setup!$C$5+333</f>
        <v>46360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TEXT(Setup!$C$5+333,"dddd")</f>
        <v>Friday</v>
      </c>
      <c r="B106" s="13" t="n">
        <f aca="false">Setup!$C$5+333</f>
        <v>46360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TEXT(Setup!$C$5+333,"dddd")</f>
        <v>Friday</v>
      </c>
      <c r="B107" s="13" t="n">
        <f aca="false">Setup!$C$5+333</f>
        <v>46360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TEXT(Setup!$C$5+333,"dddd")</f>
        <v>Friday</v>
      </c>
      <c r="B108" s="13" t="n">
        <f aca="false">Setup!$C$5+333</f>
        <v>46360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TEXT(Setup!$C$5+333,"dddd")</f>
        <v>Friday</v>
      </c>
      <c r="B109" s="13" t="n">
        <f aca="false">Setup!$C$5+333</f>
        <v>46360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TEXT(Setup!$C$5+333,"dddd")</f>
        <v>Friday</v>
      </c>
      <c r="B110" s="13" t="n">
        <f aca="false">Setup!$C$5+333</f>
        <v>46360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TEXT(Setup!$C$5+333,"dddd")</f>
        <v>Friday</v>
      </c>
      <c r="B111" s="23" t="n">
        <f aca="false">Setup!$C$5+333</f>
        <v>46360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IFERROR(H111-Wk47!H111,"")</f>
        <v>0</v>
      </c>
      <c r="O111" s="24" t="n">
        <f aca="false">IFERROR(D111-Wk47!D111,"")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TEXT(Setup!$C$5+334,"dddd")</f>
        <v>Saturday</v>
      </c>
      <c r="B112" s="13" t="n">
        <f aca="false">Setup!$C$5+334</f>
        <v>46361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TEXT(Setup!$C$5+334,"dddd")</f>
        <v>Saturday</v>
      </c>
      <c r="B113" s="13" t="n">
        <f aca="false">Setup!$C$5+334</f>
        <v>46361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TEXT(Setup!$C$5+334,"dddd")</f>
        <v>Saturday</v>
      </c>
      <c r="B114" s="13" t="n">
        <f aca="false">Setup!$C$5+334</f>
        <v>46361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TEXT(Setup!$C$5+334,"dddd")</f>
        <v>Saturday</v>
      </c>
      <c r="B115" s="13" t="n">
        <f aca="false">Setup!$C$5+334</f>
        <v>46361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TEXT(Setup!$C$5+334,"dddd")</f>
        <v>Saturday</v>
      </c>
      <c r="B116" s="13" t="n">
        <f aca="false">Setup!$C$5+334</f>
        <v>46361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TEXT(Setup!$C$5+334,"dddd")</f>
        <v>Saturday</v>
      </c>
      <c r="B117" s="13" t="n">
        <f aca="false">Setup!$C$5+334</f>
        <v>46361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TEXT(Setup!$C$5+334,"dddd")</f>
        <v>Saturday</v>
      </c>
      <c r="B118" s="13" t="n">
        <f aca="false">Setup!$C$5+334</f>
        <v>46361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TEXT(Setup!$C$5+334,"dddd")</f>
        <v>Saturday</v>
      </c>
      <c r="B119" s="13" t="n">
        <f aca="false">Setup!$C$5+334</f>
        <v>46361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TEXT(Setup!$C$5+334,"dddd")</f>
        <v>Saturday</v>
      </c>
      <c r="B120" s="13" t="n">
        <f aca="false">Setup!$C$5+334</f>
        <v>46361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TEXT(Setup!$C$5+334,"dddd")</f>
        <v>Saturday</v>
      </c>
      <c r="B121" s="13" t="n">
        <f aca="false">Setup!$C$5+334</f>
        <v>46361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TEXT(Setup!$C$5+334,"dddd")</f>
        <v>Saturday</v>
      </c>
      <c r="B122" s="13" t="n">
        <f aca="false">Setup!$C$5+334</f>
        <v>46361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TEXT(Setup!$C$5+334,"dddd")</f>
        <v>Saturday</v>
      </c>
      <c r="B123" s="13" t="n">
        <f aca="false">Setup!$C$5+334</f>
        <v>46361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TEXT(Setup!$C$5+334,"dddd")</f>
        <v>Saturday</v>
      </c>
      <c r="B124" s="13" t="n">
        <f aca="false">Setup!$C$5+334</f>
        <v>46361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TEXT(Setup!$C$5+334,"dddd")</f>
        <v>Saturday</v>
      </c>
      <c r="B125" s="13" t="n">
        <f aca="false">Setup!$C$5+334</f>
        <v>46361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TEXT(Setup!$C$5+334,"dddd")</f>
        <v>Saturday</v>
      </c>
      <c r="B126" s="13" t="n">
        <f aca="false">Setup!$C$5+334</f>
        <v>46361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TEXT(Setup!$C$5+334,"dddd")</f>
        <v>Saturday</v>
      </c>
      <c r="B127" s="13" t="n">
        <f aca="false">Setup!$C$5+334</f>
        <v>46361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TEXT(Setup!$C$5+334,"dddd")</f>
        <v>Saturday</v>
      </c>
      <c r="B128" s="13" t="n">
        <f aca="false">Setup!$C$5+334</f>
        <v>46361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TEXT(Setup!$C$5+334,"dddd")</f>
        <v>Saturday</v>
      </c>
      <c r="B129" s="13" t="n">
        <f aca="false">Setup!$C$5+334</f>
        <v>46361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TEXT(Setup!$C$5+334,"dddd")</f>
        <v>Saturday</v>
      </c>
      <c r="B130" s="13" t="n">
        <f aca="false">Setup!$C$5+334</f>
        <v>46361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TEXT(Setup!$C$5+334,"dddd")</f>
        <v>Saturday</v>
      </c>
      <c r="B131" s="13" t="n">
        <f aca="false">Setup!$C$5+334</f>
        <v>46361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TEXT(Setup!$C$5+334,"dddd")</f>
        <v>Saturday</v>
      </c>
      <c r="B132" s="13" t="n">
        <f aca="false">Setup!$C$5+334</f>
        <v>46361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TEXT(Setup!$C$5+334,"dddd")</f>
        <v>Saturday</v>
      </c>
      <c r="B133" s="23" t="n">
        <f aca="false">Setup!$C$5+334</f>
        <v>46361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IFERROR(H133-Wk47!H133,"")</f>
        <v>0</v>
      </c>
      <c r="O133" s="24" t="n">
        <f aca="false">IFERROR(D133-Wk47!D133,"")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TEXT(Setup!$C$5+335,"dddd")</f>
        <v>Sunday</v>
      </c>
      <c r="B134" s="13" t="n">
        <f aca="false">Setup!$C$5+335</f>
        <v>46362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TEXT(Setup!$C$5+335,"dddd")</f>
        <v>Sunday</v>
      </c>
      <c r="B135" s="13" t="n">
        <f aca="false">Setup!$C$5+335</f>
        <v>46362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TEXT(Setup!$C$5+335,"dddd")</f>
        <v>Sunday</v>
      </c>
      <c r="B136" s="13" t="n">
        <f aca="false">Setup!$C$5+335</f>
        <v>46362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TEXT(Setup!$C$5+335,"dddd")</f>
        <v>Sunday</v>
      </c>
      <c r="B137" s="13" t="n">
        <f aca="false">Setup!$C$5+335</f>
        <v>46362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TEXT(Setup!$C$5+335,"dddd")</f>
        <v>Sunday</v>
      </c>
      <c r="B138" s="13" t="n">
        <f aca="false">Setup!$C$5+335</f>
        <v>46362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TEXT(Setup!$C$5+335,"dddd")</f>
        <v>Sunday</v>
      </c>
      <c r="B139" s="13" t="n">
        <f aca="false">Setup!$C$5+335</f>
        <v>46362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TEXT(Setup!$C$5+335,"dddd")</f>
        <v>Sunday</v>
      </c>
      <c r="B140" s="13" t="n">
        <f aca="false">Setup!$C$5+335</f>
        <v>46362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TEXT(Setup!$C$5+335,"dddd")</f>
        <v>Sunday</v>
      </c>
      <c r="B141" s="13" t="n">
        <f aca="false">Setup!$C$5+335</f>
        <v>46362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TEXT(Setup!$C$5+335,"dddd")</f>
        <v>Sunday</v>
      </c>
      <c r="B142" s="13" t="n">
        <f aca="false">Setup!$C$5+335</f>
        <v>46362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TEXT(Setup!$C$5+335,"dddd")</f>
        <v>Sunday</v>
      </c>
      <c r="B143" s="13" t="n">
        <f aca="false">Setup!$C$5+335</f>
        <v>46362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TEXT(Setup!$C$5+335,"dddd")</f>
        <v>Sunday</v>
      </c>
      <c r="B144" s="13" t="n">
        <f aca="false">Setup!$C$5+335</f>
        <v>46362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TEXT(Setup!$C$5+335,"dddd")</f>
        <v>Sunday</v>
      </c>
      <c r="B145" s="13" t="n">
        <f aca="false">Setup!$C$5+335</f>
        <v>46362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TEXT(Setup!$C$5+335,"dddd")</f>
        <v>Sunday</v>
      </c>
      <c r="B146" s="13" t="n">
        <f aca="false">Setup!$C$5+335</f>
        <v>46362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TEXT(Setup!$C$5+335,"dddd")</f>
        <v>Sunday</v>
      </c>
      <c r="B147" s="13" t="n">
        <f aca="false">Setup!$C$5+335</f>
        <v>46362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TEXT(Setup!$C$5+335,"dddd")</f>
        <v>Sunday</v>
      </c>
      <c r="B148" s="13" t="n">
        <f aca="false">Setup!$C$5+335</f>
        <v>46362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TEXT(Setup!$C$5+335,"dddd")</f>
        <v>Sunday</v>
      </c>
      <c r="B149" s="13" t="n">
        <f aca="false">Setup!$C$5+335</f>
        <v>46362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TEXT(Setup!$C$5+335,"dddd")</f>
        <v>Sunday</v>
      </c>
      <c r="B150" s="13" t="n">
        <f aca="false">Setup!$C$5+335</f>
        <v>46362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TEXT(Setup!$C$5+335,"dddd")</f>
        <v>Sunday</v>
      </c>
      <c r="B151" s="13" t="n">
        <f aca="false">Setup!$C$5+335</f>
        <v>46362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TEXT(Setup!$C$5+335,"dddd")</f>
        <v>Sunday</v>
      </c>
      <c r="B152" s="13" t="n">
        <f aca="false">Setup!$C$5+335</f>
        <v>46362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TEXT(Setup!$C$5+335,"dddd")</f>
        <v>Sunday</v>
      </c>
      <c r="B153" s="13" t="n">
        <f aca="false">Setup!$C$5+335</f>
        <v>46362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TEXT(Setup!$C$5+335,"dddd")</f>
        <v>Sunday</v>
      </c>
      <c r="B154" s="13" t="n">
        <f aca="false">Setup!$C$5+335</f>
        <v>46362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TEXT(Setup!$C$5+335,"dddd")</f>
        <v>Sunday</v>
      </c>
      <c r="B155" s="23" t="n">
        <f aca="false">Setup!$C$5+335</f>
        <v>46362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IFERROR(H155-Wk47!H155,"")</f>
        <v>0</v>
      </c>
      <c r="O155" s="24" t="n">
        <f aca="false">IFERROR(D155-Wk47!D155,"")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IFERROR(D156-Wk47!D156,"")</f>
        <v>0</v>
      </c>
      <c r="E157" s="34" t="n">
        <f aca="false">IFERROR(E156-Wk47!E156,"")</f>
        <v>0</v>
      </c>
      <c r="H157" s="32" t="n">
        <f aca="false">IFERROR(H156-Wk47!H156,"")</f>
        <v>0</v>
      </c>
      <c r="K157" s="32" t="n">
        <f aca="false">IFERROR(K156-Wk47!K156,"")</f>
        <v>0</v>
      </c>
      <c r="M157" s="32" t="n">
        <f aca="false">IFERROR(M156-Wk47!M156,"")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TEXT(Setup!$C$5+336,"dddd")</f>
        <v>Monday</v>
      </c>
      <c r="B2" s="13" t="n">
        <f aca="false">Setup!$C$5+336</f>
        <v>46363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TEXT(Setup!$C$5+336,"dddd")</f>
        <v>Monday</v>
      </c>
      <c r="B3" s="13" t="n">
        <f aca="false">Setup!$C$5+336</f>
        <v>46363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TEXT(Setup!$C$5+336,"dddd")</f>
        <v>Monday</v>
      </c>
      <c r="B4" s="13" t="n">
        <f aca="false">Setup!$C$5+336</f>
        <v>46363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TEXT(Setup!$C$5+336,"dddd")</f>
        <v>Monday</v>
      </c>
      <c r="B5" s="13" t="n">
        <f aca="false">Setup!$C$5+336</f>
        <v>46363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TEXT(Setup!$C$5+336,"dddd")</f>
        <v>Monday</v>
      </c>
      <c r="B6" s="13" t="n">
        <f aca="false">Setup!$C$5+336</f>
        <v>46363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TEXT(Setup!$C$5+336,"dddd")</f>
        <v>Monday</v>
      </c>
      <c r="B7" s="13" t="n">
        <f aca="false">Setup!$C$5+336</f>
        <v>46363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TEXT(Setup!$C$5+336,"dddd")</f>
        <v>Monday</v>
      </c>
      <c r="B8" s="13" t="n">
        <f aca="false">Setup!$C$5+336</f>
        <v>46363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TEXT(Setup!$C$5+336,"dddd")</f>
        <v>Monday</v>
      </c>
      <c r="B9" s="13" t="n">
        <f aca="false">Setup!$C$5+336</f>
        <v>46363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TEXT(Setup!$C$5+336,"dddd")</f>
        <v>Monday</v>
      </c>
      <c r="B10" s="13" t="n">
        <f aca="false">Setup!$C$5+336</f>
        <v>46363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TEXT(Setup!$C$5+336,"dddd")</f>
        <v>Monday</v>
      </c>
      <c r="B11" s="13" t="n">
        <f aca="false">Setup!$C$5+336</f>
        <v>46363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TEXT(Setup!$C$5+336,"dddd")</f>
        <v>Monday</v>
      </c>
      <c r="B12" s="13" t="n">
        <f aca="false">Setup!$C$5+336</f>
        <v>46363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TEXT(Setup!$C$5+336,"dddd")</f>
        <v>Monday</v>
      </c>
      <c r="B13" s="13" t="n">
        <f aca="false">Setup!$C$5+336</f>
        <v>46363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TEXT(Setup!$C$5+336,"dddd")</f>
        <v>Monday</v>
      </c>
      <c r="B14" s="13" t="n">
        <f aca="false">Setup!$C$5+336</f>
        <v>46363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TEXT(Setup!$C$5+336,"dddd")</f>
        <v>Monday</v>
      </c>
      <c r="B15" s="13" t="n">
        <f aca="false">Setup!$C$5+336</f>
        <v>46363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TEXT(Setup!$C$5+336,"dddd")</f>
        <v>Monday</v>
      </c>
      <c r="B16" s="13" t="n">
        <f aca="false">Setup!$C$5+336</f>
        <v>46363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TEXT(Setup!$C$5+336,"dddd")</f>
        <v>Monday</v>
      </c>
      <c r="B17" s="13" t="n">
        <f aca="false">Setup!$C$5+336</f>
        <v>46363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TEXT(Setup!$C$5+336,"dddd")</f>
        <v>Monday</v>
      </c>
      <c r="B18" s="13" t="n">
        <f aca="false">Setup!$C$5+336</f>
        <v>46363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TEXT(Setup!$C$5+336,"dddd")</f>
        <v>Monday</v>
      </c>
      <c r="B19" s="13" t="n">
        <f aca="false">Setup!$C$5+336</f>
        <v>46363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TEXT(Setup!$C$5+336,"dddd")</f>
        <v>Monday</v>
      </c>
      <c r="B20" s="13" t="n">
        <f aca="false">Setup!$C$5+336</f>
        <v>46363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TEXT(Setup!$C$5+336,"dddd")</f>
        <v>Monday</v>
      </c>
      <c r="B21" s="13" t="n">
        <f aca="false">Setup!$C$5+336</f>
        <v>46363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TEXT(Setup!$C$5+336,"dddd")</f>
        <v>Monday</v>
      </c>
      <c r="B22" s="13" t="n">
        <f aca="false">Setup!$C$5+336</f>
        <v>46363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TEXT(Setup!$C$5+336,"dddd")</f>
        <v>Monday</v>
      </c>
      <c r="B23" s="23" t="n">
        <f aca="false">Setup!$C$5+336</f>
        <v>46363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IFERROR(H23-Wk48!H23,"")</f>
        <v>0</v>
      </c>
      <c r="O23" s="24" t="n">
        <f aca="false">IFERROR(D23-Wk48!D23,"")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TEXT(Setup!$C$5+337,"dddd")</f>
        <v>Tuesday</v>
      </c>
      <c r="B24" s="13" t="n">
        <f aca="false">Setup!$C$5+337</f>
        <v>46364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TEXT(Setup!$C$5+337,"dddd")</f>
        <v>Tuesday</v>
      </c>
      <c r="B25" s="13" t="n">
        <f aca="false">Setup!$C$5+337</f>
        <v>46364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TEXT(Setup!$C$5+337,"dddd")</f>
        <v>Tuesday</v>
      </c>
      <c r="B26" s="13" t="n">
        <f aca="false">Setup!$C$5+337</f>
        <v>46364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TEXT(Setup!$C$5+337,"dddd")</f>
        <v>Tuesday</v>
      </c>
      <c r="B27" s="13" t="n">
        <f aca="false">Setup!$C$5+337</f>
        <v>46364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TEXT(Setup!$C$5+337,"dddd")</f>
        <v>Tuesday</v>
      </c>
      <c r="B28" s="13" t="n">
        <f aca="false">Setup!$C$5+337</f>
        <v>46364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TEXT(Setup!$C$5+337,"dddd")</f>
        <v>Tuesday</v>
      </c>
      <c r="B29" s="13" t="n">
        <f aca="false">Setup!$C$5+337</f>
        <v>46364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TEXT(Setup!$C$5+337,"dddd")</f>
        <v>Tuesday</v>
      </c>
      <c r="B30" s="13" t="n">
        <f aca="false">Setup!$C$5+337</f>
        <v>46364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TEXT(Setup!$C$5+337,"dddd")</f>
        <v>Tuesday</v>
      </c>
      <c r="B31" s="13" t="n">
        <f aca="false">Setup!$C$5+337</f>
        <v>46364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TEXT(Setup!$C$5+337,"dddd")</f>
        <v>Tuesday</v>
      </c>
      <c r="B32" s="13" t="n">
        <f aca="false">Setup!$C$5+337</f>
        <v>46364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TEXT(Setup!$C$5+337,"dddd")</f>
        <v>Tuesday</v>
      </c>
      <c r="B33" s="13" t="n">
        <f aca="false">Setup!$C$5+337</f>
        <v>46364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TEXT(Setup!$C$5+337,"dddd")</f>
        <v>Tuesday</v>
      </c>
      <c r="B34" s="13" t="n">
        <f aca="false">Setup!$C$5+337</f>
        <v>46364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TEXT(Setup!$C$5+337,"dddd")</f>
        <v>Tuesday</v>
      </c>
      <c r="B35" s="13" t="n">
        <f aca="false">Setup!$C$5+337</f>
        <v>46364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TEXT(Setup!$C$5+337,"dddd")</f>
        <v>Tuesday</v>
      </c>
      <c r="B36" s="13" t="n">
        <f aca="false">Setup!$C$5+337</f>
        <v>46364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TEXT(Setup!$C$5+337,"dddd")</f>
        <v>Tuesday</v>
      </c>
      <c r="B37" s="13" t="n">
        <f aca="false">Setup!$C$5+337</f>
        <v>46364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TEXT(Setup!$C$5+337,"dddd")</f>
        <v>Tuesday</v>
      </c>
      <c r="B38" s="13" t="n">
        <f aca="false">Setup!$C$5+337</f>
        <v>46364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TEXT(Setup!$C$5+337,"dddd")</f>
        <v>Tuesday</v>
      </c>
      <c r="B39" s="13" t="n">
        <f aca="false">Setup!$C$5+337</f>
        <v>46364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TEXT(Setup!$C$5+337,"dddd")</f>
        <v>Tuesday</v>
      </c>
      <c r="B40" s="13" t="n">
        <f aca="false">Setup!$C$5+337</f>
        <v>46364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TEXT(Setup!$C$5+337,"dddd")</f>
        <v>Tuesday</v>
      </c>
      <c r="B41" s="13" t="n">
        <f aca="false">Setup!$C$5+337</f>
        <v>46364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TEXT(Setup!$C$5+337,"dddd")</f>
        <v>Tuesday</v>
      </c>
      <c r="B42" s="13" t="n">
        <f aca="false">Setup!$C$5+337</f>
        <v>46364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TEXT(Setup!$C$5+337,"dddd")</f>
        <v>Tuesday</v>
      </c>
      <c r="B43" s="13" t="n">
        <f aca="false">Setup!$C$5+337</f>
        <v>46364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TEXT(Setup!$C$5+337,"dddd")</f>
        <v>Tuesday</v>
      </c>
      <c r="B44" s="13" t="n">
        <f aca="false">Setup!$C$5+337</f>
        <v>46364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TEXT(Setup!$C$5+337,"dddd")</f>
        <v>Tuesday</v>
      </c>
      <c r="B45" s="23" t="n">
        <f aca="false">Setup!$C$5+337</f>
        <v>46364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IFERROR(H45-Wk48!H45,"")</f>
        <v>0</v>
      </c>
      <c r="O45" s="24" t="n">
        <f aca="false">IFERROR(D45-Wk48!D45,"")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TEXT(Setup!$C$5+338,"dddd")</f>
        <v>Wednesday</v>
      </c>
      <c r="B46" s="13" t="n">
        <f aca="false">Setup!$C$5+338</f>
        <v>46365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TEXT(Setup!$C$5+338,"dddd")</f>
        <v>Wednesday</v>
      </c>
      <c r="B47" s="13" t="n">
        <f aca="false">Setup!$C$5+338</f>
        <v>46365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TEXT(Setup!$C$5+338,"dddd")</f>
        <v>Wednesday</v>
      </c>
      <c r="B48" s="13" t="n">
        <f aca="false">Setup!$C$5+338</f>
        <v>46365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TEXT(Setup!$C$5+338,"dddd")</f>
        <v>Wednesday</v>
      </c>
      <c r="B49" s="13" t="n">
        <f aca="false">Setup!$C$5+338</f>
        <v>46365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TEXT(Setup!$C$5+338,"dddd")</f>
        <v>Wednesday</v>
      </c>
      <c r="B50" s="13" t="n">
        <f aca="false">Setup!$C$5+338</f>
        <v>46365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TEXT(Setup!$C$5+338,"dddd")</f>
        <v>Wednesday</v>
      </c>
      <c r="B51" s="13" t="n">
        <f aca="false">Setup!$C$5+338</f>
        <v>46365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TEXT(Setup!$C$5+338,"dddd")</f>
        <v>Wednesday</v>
      </c>
      <c r="B52" s="13" t="n">
        <f aca="false">Setup!$C$5+338</f>
        <v>46365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TEXT(Setup!$C$5+338,"dddd")</f>
        <v>Wednesday</v>
      </c>
      <c r="B53" s="13" t="n">
        <f aca="false">Setup!$C$5+338</f>
        <v>46365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TEXT(Setup!$C$5+338,"dddd")</f>
        <v>Wednesday</v>
      </c>
      <c r="B54" s="13" t="n">
        <f aca="false">Setup!$C$5+338</f>
        <v>46365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TEXT(Setup!$C$5+338,"dddd")</f>
        <v>Wednesday</v>
      </c>
      <c r="B55" s="13" t="n">
        <f aca="false">Setup!$C$5+338</f>
        <v>46365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TEXT(Setup!$C$5+338,"dddd")</f>
        <v>Wednesday</v>
      </c>
      <c r="B56" s="13" t="n">
        <f aca="false">Setup!$C$5+338</f>
        <v>46365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TEXT(Setup!$C$5+338,"dddd")</f>
        <v>Wednesday</v>
      </c>
      <c r="B57" s="13" t="n">
        <f aca="false">Setup!$C$5+338</f>
        <v>46365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TEXT(Setup!$C$5+338,"dddd")</f>
        <v>Wednesday</v>
      </c>
      <c r="B58" s="13" t="n">
        <f aca="false">Setup!$C$5+338</f>
        <v>46365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TEXT(Setup!$C$5+338,"dddd")</f>
        <v>Wednesday</v>
      </c>
      <c r="B59" s="13" t="n">
        <f aca="false">Setup!$C$5+338</f>
        <v>46365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TEXT(Setup!$C$5+338,"dddd")</f>
        <v>Wednesday</v>
      </c>
      <c r="B60" s="13" t="n">
        <f aca="false">Setup!$C$5+338</f>
        <v>46365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TEXT(Setup!$C$5+338,"dddd")</f>
        <v>Wednesday</v>
      </c>
      <c r="B61" s="13" t="n">
        <f aca="false">Setup!$C$5+338</f>
        <v>46365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TEXT(Setup!$C$5+338,"dddd")</f>
        <v>Wednesday</v>
      </c>
      <c r="B62" s="13" t="n">
        <f aca="false">Setup!$C$5+338</f>
        <v>46365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TEXT(Setup!$C$5+338,"dddd")</f>
        <v>Wednesday</v>
      </c>
      <c r="B63" s="13" t="n">
        <f aca="false">Setup!$C$5+338</f>
        <v>46365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TEXT(Setup!$C$5+338,"dddd")</f>
        <v>Wednesday</v>
      </c>
      <c r="B64" s="13" t="n">
        <f aca="false">Setup!$C$5+338</f>
        <v>46365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TEXT(Setup!$C$5+338,"dddd")</f>
        <v>Wednesday</v>
      </c>
      <c r="B65" s="13" t="n">
        <f aca="false">Setup!$C$5+338</f>
        <v>46365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TEXT(Setup!$C$5+338,"dddd")</f>
        <v>Wednesday</v>
      </c>
      <c r="B66" s="13" t="n">
        <f aca="false">Setup!$C$5+338</f>
        <v>46365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TEXT(Setup!$C$5+338,"dddd")</f>
        <v>Wednesday</v>
      </c>
      <c r="B67" s="23" t="n">
        <f aca="false">Setup!$C$5+338</f>
        <v>46365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IFERROR(H67-Wk48!H67,"")</f>
        <v>0</v>
      </c>
      <c r="O67" s="24" t="n">
        <f aca="false">IFERROR(D67-Wk48!D67,"")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TEXT(Setup!$C$5+339,"dddd")</f>
        <v>Thursday</v>
      </c>
      <c r="B68" s="13" t="n">
        <f aca="false">Setup!$C$5+339</f>
        <v>46366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TEXT(Setup!$C$5+339,"dddd")</f>
        <v>Thursday</v>
      </c>
      <c r="B69" s="13" t="n">
        <f aca="false">Setup!$C$5+339</f>
        <v>46366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TEXT(Setup!$C$5+339,"dddd")</f>
        <v>Thursday</v>
      </c>
      <c r="B70" s="13" t="n">
        <f aca="false">Setup!$C$5+339</f>
        <v>46366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TEXT(Setup!$C$5+339,"dddd")</f>
        <v>Thursday</v>
      </c>
      <c r="B71" s="13" t="n">
        <f aca="false">Setup!$C$5+339</f>
        <v>46366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TEXT(Setup!$C$5+339,"dddd")</f>
        <v>Thursday</v>
      </c>
      <c r="B72" s="13" t="n">
        <f aca="false">Setup!$C$5+339</f>
        <v>46366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TEXT(Setup!$C$5+339,"dddd")</f>
        <v>Thursday</v>
      </c>
      <c r="B73" s="13" t="n">
        <f aca="false">Setup!$C$5+339</f>
        <v>46366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TEXT(Setup!$C$5+339,"dddd")</f>
        <v>Thursday</v>
      </c>
      <c r="B74" s="13" t="n">
        <f aca="false">Setup!$C$5+339</f>
        <v>46366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TEXT(Setup!$C$5+339,"dddd")</f>
        <v>Thursday</v>
      </c>
      <c r="B75" s="13" t="n">
        <f aca="false">Setup!$C$5+339</f>
        <v>46366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TEXT(Setup!$C$5+339,"dddd")</f>
        <v>Thursday</v>
      </c>
      <c r="B76" s="13" t="n">
        <f aca="false">Setup!$C$5+339</f>
        <v>46366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TEXT(Setup!$C$5+339,"dddd")</f>
        <v>Thursday</v>
      </c>
      <c r="B77" s="13" t="n">
        <f aca="false">Setup!$C$5+339</f>
        <v>46366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TEXT(Setup!$C$5+339,"dddd")</f>
        <v>Thursday</v>
      </c>
      <c r="B78" s="13" t="n">
        <f aca="false">Setup!$C$5+339</f>
        <v>46366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TEXT(Setup!$C$5+339,"dddd")</f>
        <v>Thursday</v>
      </c>
      <c r="B79" s="13" t="n">
        <f aca="false">Setup!$C$5+339</f>
        <v>46366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TEXT(Setup!$C$5+339,"dddd")</f>
        <v>Thursday</v>
      </c>
      <c r="B80" s="13" t="n">
        <f aca="false">Setup!$C$5+339</f>
        <v>46366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TEXT(Setup!$C$5+339,"dddd")</f>
        <v>Thursday</v>
      </c>
      <c r="B81" s="13" t="n">
        <f aca="false">Setup!$C$5+339</f>
        <v>46366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TEXT(Setup!$C$5+339,"dddd")</f>
        <v>Thursday</v>
      </c>
      <c r="B82" s="13" t="n">
        <f aca="false">Setup!$C$5+339</f>
        <v>46366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TEXT(Setup!$C$5+339,"dddd")</f>
        <v>Thursday</v>
      </c>
      <c r="B83" s="13" t="n">
        <f aca="false">Setup!$C$5+339</f>
        <v>46366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TEXT(Setup!$C$5+339,"dddd")</f>
        <v>Thursday</v>
      </c>
      <c r="B84" s="13" t="n">
        <f aca="false">Setup!$C$5+339</f>
        <v>46366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TEXT(Setup!$C$5+339,"dddd")</f>
        <v>Thursday</v>
      </c>
      <c r="B85" s="13" t="n">
        <f aca="false">Setup!$C$5+339</f>
        <v>46366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TEXT(Setup!$C$5+339,"dddd")</f>
        <v>Thursday</v>
      </c>
      <c r="B86" s="13" t="n">
        <f aca="false">Setup!$C$5+339</f>
        <v>46366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TEXT(Setup!$C$5+339,"dddd")</f>
        <v>Thursday</v>
      </c>
      <c r="B87" s="13" t="n">
        <f aca="false">Setup!$C$5+339</f>
        <v>46366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TEXT(Setup!$C$5+339,"dddd")</f>
        <v>Thursday</v>
      </c>
      <c r="B88" s="13" t="n">
        <f aca="false">Setup!$C$5+339</f>
        <v>46366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TEXT(Setup!$C$5+339,"dddd")</f>
        <v>Thursday</v>
      </c>
      <c r="B89" s="23" t="n">
        <f aca="false">Setup!$C$5+339</f>
        <v>46366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IFERROR(H89-Wk48!H89,"")</f>
        <v>0</v>
      </c>
      <c r="O89" s="24" t="n">
        <f aca="false">IFERROR(D89-Wk48!D89,"")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TEXT(Setup!$C$5+340,"dddd")</f>
        <v>Friday</v>
      </c>
      <c r="B90" s="13" t="n">
        <f aca="false">Setup!$C$5+340</f>
        <v>46367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TEXT(Setup!$C$5+340,"dddd")</f>
        <v>Friday</v>
      </c>
      <c r="B91" s="13" t="n">
        <f aca="false">Setup!$C$5+340</f>
        <v>46367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TEXT(Setup!$C$5+340,"dddd")</f>
        <v>Friday</v>
      </c>
      <c r="B92" s="13" t="n">
        <f aca="false">Setup!$C$5+340</f>
        <v>46367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TEXT(Setup!$C$5+340,"dddd")</f>
        <v>Friday</v>
      </c>
      <c r="B93" s="13" t="n">
        <f aca="false">Setup!$C$5+340</f>
        <v>46367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TEXT(Setup!$C$5+340,"dddd")</f>
        <v>Friday</v>
      </c>
      <c r="B94" s="13" t="n">
        <f aca="false">Setup!$C$5+340</f>
        <v>46367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TEXT(Setup!$C$5+340,"dddd")</f>
        <v>Friday</v>
      </c>
      <c r="B95" s="13" t="n">
        <f aca="false">Setup!$C$5+340</f>
        <v>46367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TEXT(Setup!$C$5+340,"dddd")</f>
        <v>Friday</v>
      </c>
      <c r="B96" s="13" t="n">
        <f aca="false">Setup!$C$5+340</f>
        <v>46367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TEXT(Setup!$C$5+340,"dddd")</f>
        <v>Friday</v>
      </c>
      <c r="B97" s="13" t="n">
        <f aca="false">Setup!$C$5+340</f>
        <v>46367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TEXT(Setup!$C$5+340,"dddd")</f>
        <v>Friday</v>
      </c>
      <c r="B98" s="13" t="n">
        <f aca="false">Setup!$C$5+340</f>
        <v>46367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TEXT(Setup!$C$5+340,"dddd")</f>
        <v>Friday</v>
      </c>
      <c r="B99" s="13" t="n">
        <f aca="false">Setup!$C$5+340</f>
        <v>46367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TEXT(Setup!$C$5+340,"dddd")</f>
        <v>Friday</v>
      </c>
      <c r="B100" s="13" t="n">
        <f aca="false">Setup!$C$5+340</f>
        <v>46367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TEXT(Setup!$C$5+340,"dddd")</f>
        <v>Friday</v>
      </c>
      <c r="B101" s="13" t="n">
        <f aca="false">Setup!$C$5+340</f>
        <v>46367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TEXT(Setup!$C$5+340,"dddd")</f>
        <v>Friday</v>
      </c>
      <c r="B102" s="13" t="n">
        <f aca="false">Setup!$C$5+340</f>
        <v>46367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TEXT(Setup!$C$5+340,"dddd")</f>
        <v>Friday</v>
      </c>
      <c r="B103" s="13" t="n">
        <f aca="false">Setup!$C$5+340</f>
        <v>46367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TEXT(Setup!$C$5+340,"dddd")</f>
        <v>Friday</v>
      </c>
      <c r="B104" s="13" t="n">
        <f aca="false">Setup!$C$5+340</f>
        <v>46367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TEXT(Setup!$C$5+340,"dddd")</f>
        <v>Friday</v>
      </c>
      <c r="B105" s="13" t="n">
        <f aca="false">Setup!$C$5+340</f>
        <v>46367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TEXT(Setup!$C$5+340,"dddd")</f>
        <v>Friday</v>
      </c>
      <c r="B106" s="13" t="n">
        <f aca="false">Setup!$C$5+340</f>
        <v>46367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TEXT(Setup!$C$5+340,"dddd")</f>
        <v>Friday</v>
      </c>
      <c r="B107" s="13" t="n">
        <f aca="false">Setup!$C$5+340</f>
        <v>46367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TEXT(Setup!$C$5+340,"dddd")</f>
        <v>Friday</v>
      </c>
      <c r="B108" s="13" t="n">
        <f aca="false">Setup!$C$5+340</f>
        <v>46367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TEXT(Setup!$C$5+340,"dddd")</f>
        <v>Friday</v>
      </c>
      <c r="B109" s="13" t="n">
        <f aca="false">Setup!$C$5+340</f>
        <v>46367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TEXT(Setup!$C$5+340,"dddd")</f>
        <v>Friday</v>
      </c>
      <c r="B110" s="13" t="n">
        <f aca="false">Setup!$C$5+340</f>
        <v>46367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TEXT(Setup!$C$5+340,"dddd")</f>
        <v>Friday</v>
      </c>
      <c r="B111" s="23" t="n">
        <f aca="false">Setup!$C$5+340</f>
        <v>46367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IFERROR(H111-Wk48!H111,"")</f>
        <v>0</v>
      </c>
      <c r="O111" s="24" t="n">
        <f aca="false">IFERROR(D111-Wk48!D111,"")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TEXT(Setup!$C$5+341,"dddd")</f>
        <v>Saturday</v>
      </c>
      <c r="B112" s="13" t="n">
        <f aca="false">Setup!$C$5+341</f>
        <v>46368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TEXT(Setup!$C$5+341,"dddd")</f>
        <v>Saturday</v>
      </c>
      <c r="B113" s="13" t="n">
        <f aca="false">Setup!$C$5+341</f>
        <v>46368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TEXT(Setup!$C$5+341,"dddd")</f>
        <v>Saturday</v>
      </c>
      <c r="B114" s="13" t="n">
        <f aca="false">Setup!$C$5+341</f>
        <v>46368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TEXT(Setup!$C$5+341,"dddd")</f>
        <v>Saturday</v>
      </c>
      <c r="B115" s="13" t="n">
        <f aca="false">Setup!$C$5+341</f>
        <v>46368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TEXT(Setup!$C$5+341,"dddd")</f>
        <v>Saturday</v>
      </c>
      <c r="B116" s="13" t="n">
        <f aca="false">Setup!$C$5+341</f>
        <v>46368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TEXT(Setup!$C$5+341,"dddd")</f>
        <v>Saturday</v>
      </c>
      <c r="B117" s="13" t="n">
        <f aca="false">Setup!$C$5+341</f>
        <v>46368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TEXT(Setup!$C$5+341,"dddd")</f>
        <v>Saturday</v>
      </c>
      <c r="B118" s="13" t="n">
        <f aca="false">Setup!$C$5+341</f>
        <v>46368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TEXT(Setup!$C$5+341,"dddd")</f>
        <v>Saturday</v>
      </c>
      <c r="B119" s="13" t="n">
        <f aca="false">Setup!$C$5+341</f>
        <v>46368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TEXT(Setup!$C$5+341,"dddd")</f>
        <v>Saturday</v>
      </c>
      <c r="B120" s="13" t="n">
        <f aca="false">Setup!$C$5+341</f>
        <v>46368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TEXT(Setup!$C$5+341,"dddd")</f>
        <v>Saturday</v>
      </c>
      <c r="B121" s="13" t="n">
        <f aca="false">Setup!$C$5+341</f>
        <v>46368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TEXT(Setup!$C$5+341,"dddd")</f>
        <v>Saturday</v>
      </c>
      <c r="B122" s="13" t="n">
        <f aca="false">Setup!$C$5+341</f>
        <v>46368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TEXT(Setup!$C$5+341,"dddd")</f>
        <v>Saturday</v>
      </c>
      <c r="B123" s="13" t="n">
        <f aca="false">Setup!$C$5+341</f>
        <v>46368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TEXT(Setup!$C$5+341,"dddd")</f>
        <v>Saturday</v>
      </c>
      <c r="B124" s="13" t="n">
        <f aca="false">Setup!$C$5+341</f>
        <v>46368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TEXT(Setup!$C$5+341,"dddd")</f>
        <v>Saturday</v>
      </c>
      <c r="B125" s="13" t="n">
        <f aca="false">Setup!$C$5+341</f>
        <v>46368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TEXT(Setup!$C$5+341,"dddd")</f>
        <v>Saturday</v>
      </c>
      <c r="B126" s="13" t="n">
        <f aca="false">Setup!$C$5+341</f>
        <v>46368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TEXT(Setup!$C$5+341,"dddd")</f>
        <v>Saturday</v>
      </c>
      <c r="B127" s="13" t="n">
        <f aca="false">Setup!$C$5+341</f>
        <v>46368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TEXT(Setup!$C$5+341,"dddd")</f>
        <v>Saturday</v>
      </c>
      <c r="B128" s="13" t="n">
        <f aca="false">Setup!$C$5+341</f>
        <v>46368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TEXT(Setup!$C$5+341,"dddd")</f>
        <v>Saturday</v>
      </c>
      <c r="B129" s="13" t="n">
        <f aca="false">Setup!$C$5+341</f>
        <v>46368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TEXT(Setup!$C$5+341,"dddd")</f>
        <v>Saturday</v>
      </c>
      <c r="B130" s="13" t="n">
        <f aca="false">Setup!$C$5+341</f>
        <v>46368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TEXT(Setup!$C$5+341,"dddd")</f>
        <v>Saturday</v>
      </c>
      <c r="B131" s="13" t="n">
        <f aca="false">Setup!$C$5+341</f>
        <v>46368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TEXT(Setup!$C$5+341,"dddd")</f>
        <v>Saturday</v>
      </c>
      <c r="B132" s="13" t="n">
        <f aca="false">Setup!$C$5+341</f>
        <v>46368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TEXT(Setup!$C$5+341,"dddd")</f>
        <v>Saturday</v>
      </c>
      <c r="B133" s="23" t="n">
        <f aca="false">Setup!$C$5+341</f>
        <v>46368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IFERROR(H133-Wk48!H133,"")</f>
        <v>0</v>
      </c>
      <c r="O133" s="24" t="n">
        <f aca="false">IFERROR(D133-Wk48!D133,"")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TEXT(Setup!$C$5+342,"dddd")</f>
        <v>Sunday</v>
      </c>
      <c r="B134" s="13" t="n">
        <f aca="false">Setup!$C$5+342</f>
        <v>46369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TEXT(Setup!$C$5+342,"dddd")</f>
        <v>Sunday</v>
      </c>
      <c r="B135" s="13" t="n">
        <f aca="false">Setup!$C$5+342</f>
        <v>46369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TEXT(Setup!$C$5+342,"dddd")</f>
        <v>Sunday</v>
      </c>
      <c r="B136" s="13" t="n">
        <f aca="false">Setup!$C$5+342</f>
        <v>46369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TEXT(Setup!$C$5+342,"dddd")</f>
        <v>Sunday</v>
      </c>
      <c r="B137" s="13" t="n">
        <f aca="false">Setup!$C$5+342</f>
        <v>46369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TEXT(Setup!$C$5+342,"dddd")</f>
        <v>Sunday</v>
      </c>
      <c r="B138" s="13" t="n">
        <f aca="false">Setup!$C$5+342</f>
        <v>46369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TEXT(Setup!$C$5+342,"dddd")</f>
        <v>Sunday</v>
      </c>
      <c r="B139" s="13" t="n">
        <f aca="false">Setup!$C$5+342</f>
        <v>46369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TEXT(Setup!$C$5+342,"dddd")</f>
        <v>Sunday</v>
      </c>
      <c r="B140" s="13" t="n">
        <f aca="false">Setup!$C$5+342</f>
        <v>46369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TEXT(Setup!$C$5+342,"dddd")</f>
        <v>Sunday</v>
      </c>
      <c r="B141" s="13" t="n">
        <f aca="false">Setup!$C$5+342</f>
        <v>46369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TEXT(Setup!$C$5+342,"dddd")</f>
        <v>Sunday</v>
      </c>
      <c r="B142" s="13" t="n">
        <f aca="false">Setup!$C$5+342</f>
        <v>46369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TEXT(Setup!$C$5+342,"dddd")</f>
        <v>Sunday</v>
      </c>
      <c r="B143" s="13" t="n">
        <f aca="false">Setup!$C$5+342</f>
        <v>46369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TEXT(Setup!$C$5+342,"dddd")</f>
        <v>Sunday</v>
      </c>
      <c r="B144" s="13" t="n">
        <f aca="false">Setup!$C$5+342</f>
        <v>46369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TEXT(Setup!$C$5+342,"dddd")</f>
        <v>Sunday</v>
      </c>
      <c r="B145" s="13" t="n">
        <f aca="false">Setup!$C$5+342</f>
        <v>46369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TEXT(Setup!$C$5+342,"dddd")</f>
        <v>Sunday</v>
      </c>
      <c r="B146" s="13" t="n">
        <f aca="false">Setup!$C$5+342</f>
        <v>46369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TEXT(Setup!$C$5+342,"dddd")</f>
        <v>Sunday</v>
      </c>
      <c r="B147" s="13" t="n">
        <f aca="false">Setup!$C$5+342</f>
        <v>46369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TEXT(Setup!$C$5+342,"dddd")</f>
        <v>Sunday</v>
      </c>
      <c r="B148" s="13" t="n">
        <f aca="false">Setup!$C$5+342</f>
        <v>46369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TEXT(Setup!$C$5+342,"dddd")</f>
        <v>Sunday</v>
      </c>
      <c r="B149" s="13" t="n">
        <f aca="false">Setup!$C$5+342</f>
        <v>46369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TEXT(Setup!$C$5+342,"dddd")</f>
        <v>Sunday</v>
      </c>
      <c r="B150" s="13" t="n">
        <f aca="false">Setup!$C$5+342</f>
        <v>46369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TEXT(Setup!$C$5+342,"dddd")</f>
        <v>Sunday</v>
      </c>
      <c r="B151" s="13" t="n">
        <f aca="false">Setup!$C$5+342</f>
        <v>46369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TEXT(Setup!$C$5+342,"dddd")</f>
        <v>Sunday</v>
      </c>
      <c r="B152" s="13" t="n">
        <f aca="false">Setup!$C$5+342</f>
        <v>46369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TEXT(Setup!$C$5+342,"dddd")</f>
        <v>Sunday</v>
      </c>
      <c r="B153" s="13" t="n">
        <f aca="false">Setup!$C$5+342</f>
        <v>46369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TEXT(Setup!$C$5+342,"dddd")</f>
        <v>Sunday</v>
      </c>
      <c r="B154" s="13" t="n">
        <f aca="false">Setup!$C$5+342</f>
        <v>46369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TEXT(Setup!$C$5+342,"dddd")</f>
        <v>Sunday</v>
      </c>
      <c r="B155" s="23" t="n">
        <f aca="false">Setup!$C$5+342</f>
        <v>46369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IFERROR(H155-Wk48!H155,"")</f>
        <v>0</v>
      </c>
      <c r="O155" s="24" t="n">
        <f aca="false">IFERROR(D155-Wk48!D155,"")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IFERROR(D156-Wk48!D156,"")</f>
        <v>0</v>
      </c>
      <c r="E157" s="34" t="n">
        <f aca="false">IFERROR(E156-Wk48!E156,"")</f>
        <v>0</v>
      </c>
      <c r="H157" s="32" t="n">
        <f aca="false">IFERROR(H156-Wk48!H156,"")</f>
        <v>0</v>
      </c>
      <c r="K157" s="32" t="n">
        <f aca="false">IFERROR(K156-Wk48!K156,"")</f>
        <v>0</v>
      </c>
      <c r="M157" s="32" t="n">
        <f aca="false">IFERROR(M156-Wk48!M156,"")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TEXT(Setup!$C$5+343,"dddd")</f>
        <v>Monday</v>
      </c>
      <c r="B2" s="13" t="n">
        <f aca="false">Setup!$C$5+343</f>
        <v>46370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TEXT(Setup!$C$5+343,"dddd")</f>
        <v>Monday</v>
      </c>
      <c r="B3" s="13" t="n">
        <f aca="false">Setup!$C$5+343</f>
        <v>46370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TEXT(Setup!$C$5+343,"dddd")</f>
        <v>Monday</v>
      </c>
      <c r="B4" s="13" t="n">
        <f aca="false">Setup!$C$5+343</f>
        <v>46370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TEXT(Setup!$C$5+343,"dddd")</f>
        <v>Monday</v>
      </c>
      <c r="B5" s="13" t="n">
        <f aca="false">Setup!$C$5+343</f>
        <v>46370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TEXT(Setup!$C$5+343,"dddd")</f>
        <v>Monday</v>
      </c>
      <c r="B6" s="13" t="n">
        <f aca="false">Setup!$C$5+343</f>
        <v>46370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TEXT(Setup!$C$5+343,"dddd")</f>
        <v>Monday</v>
      </c>
      <c r="B7" s="13" t="n">
        <f aca="false">Setup!$C$5+343</f>
        <v>46370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TEXT(Setup!$C$5+343,"dddd")</f>
        <v>Monday</v>
      </c>
      <c r="B8" s="13" t="n">
        <f aca="false">Setup!$C$5+343</f>
        <v>46370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TEXT(Setup!$C$5+343,"dddd")</f>
        <v>Monday</v>
      </c>
      <c r="B9" s="13" t="n">
        <f aca="false">Setup!$C$5+343</f>
        <v>46370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TEXT(Setup!$C$5+343,"dddd")</f>
        <v>Monday</v>
      </c>
      <c r="B10" s="13" t="n">
        <f aca="false">Setup!$C$5+343</f>
        <v>46370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TEXT(Setup!$C$5+343,"dddd")</f>
        <v>Monday</v>
      </c>
      <c r="B11" s="13" t="n">
        <f aca="false">Setup!$C$5+343</f>
        <v>46370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TEXT(Setup!$C$5+343,"dddd")</f>
        <v>Monday</v>
      </c>
      <c r="B12" s="13" t="n">
        <f aca="false">Setup!$C$5+343</f>
        <v>46370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TEXT(Setup!$C$5+343,"dddd")</f>
        <v>Monday</v>
      </c>
      <c r="B13" s="13" t="n">
        <f aca="false">Setup!$C$5+343</f>
        <v>46370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TEXT(Setup!$C$5+343,"dddd")</f>
        <v>Monday</v>
      </c>
      <c r="B14" s="13" t="n">
        <f aca="false">Setup!$C$5+343</f>
        <v>46370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TEXT(Setup!$C$5+343,"dddd")</f>
        <v>Monday</v>
      </c>
      <c r="B15" s="13" t="n">
        <f aca="false">Setup!$C$5+343</f>
        <v>46370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TEXT(Setup!$C$5+343,"dddd")</f>
        <v>Monday</v>
      </c>
      <c r="B16" s="13" t="n">
        <f aca="false">Setup!$C$5+343</f>
        <v>46370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TEXT(Setup!$C$5+343,"dddd")</f>
        <v>Monday</v>
      </c>
      <c r="B17" s="13" t="n">
        <f aca="false">Setup!$C$5+343</f>
        <v>46370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TEXT(Setup!$C$5+343,"dddd")</f>
        <v>Monday</v>
      </c>
      <c r="B18" s="13" t="n">
        <f aca="false">Setup!$C$5+343</f>
        <v>46370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TEXT(Setup!$C$5+343,"dddd")</f>
        <v>Monday</v>
      </c>
      <c r="B19" s="13" t="n">
        <f aca="false">Setup!$C$5+343</f>
        <v>46370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TEXT(Setup!$C$5+343,"dddd")</f>
        <v>Monday</v>
      </c>
      <c r="B20" s="13" t="n">
        <f aca="false">Setup!$C$5+343</f>
        <v>46370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TEXT(Setup!$C$5+343,"dddd")</f>
        <v>Monday</v>
      </c>
      <c r="B21" s="13" t="n">
        <f aca="false">Setup!$C$5+343</f>
        <v>46370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TEXT(Setup!$C$5+343,"dddd")</f>
        <v>Monday</v>
      </c>
      <c r="B22" s="13" t="n">
        <f aca="false">Setup!$C$5+343</f>
        <v>46370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TEXT(Setup!$C$5+343,"dddd")</f>
        <v>Monday</v>
      </c>
      <c r="B23" s="23" t="n">
        <f aca="false">Setup!$C$5+343</f>
        <v>46370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IFERROR(H23-Wk49!H23,"")</f>
        <v>0</v>
      </c>
      <c r="O23" s="24" t="n">
        <f aca="false">IFERROR(D23-Wk49!D23,"")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TEXT(Setup!$C$5+344,"dddd")</f>
        <v>Tuesday</v>
      </c>
      <c r="B24" s="13" t="n">
        <f aca="false">Setup!$C$5+344</f>
        <v>46371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TEXT(Setup!$C$5+344,"dddd")</f>
        <v>Tuesday</v>
      </c>
      <c r="B25" s="13" t="n">
        <f aca="false">Setup!$C$5+344</f>
        <v>46371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TEXT(Setup!$C$5+344,"dddd")</f>
        <v>Tuesday</v>
      </c>
      <c r="B26" s="13" t="n">
        <f aca="false">Setup!$C$5+344</f>
        <v>46371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TEXT(Setup!$C$5+344,"dddd")</f>
        <v>Tuesday</v>
      </c>
      <c r="B27" s="13" t="n">
        <f aca="false">Setup!$C$5+344</f>
        <v>46371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TEXT(Setup!$C$5+344,"dddd")</f>
        <v>Tuesday</v>
      </c>
      <c r="B28" s="13" t="n">
        <f aca="false">Setup!$C$5+344</f>
        <v>46371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TEXT(Setup!$C$5+344,"dddd")</f>
        <v>Tuesday</v>
      </c>
      <c r="B29" s="13" t="n">
        <f aca="false">Setup!$C$5+344</f>
        <v>46371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TEXT(Setup!$C$5+344,"dddd")</f>
        <v>Tuesday</v>
      </c>
      <c r="B30" s="13" t="n">
        <f aca="false">Setup!$C$5+344</f>
        <v>46371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TEXT(Setup!$C$5+344,"dddd")</f>
        <v>Tuesday</v>
      </c>
      <c r="B31" s="13" t="n">
        <f aca="false">Setup!$C$5+344</f>
        <v>46371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TEXT(Setup!$C$5+344,"dddd")</f>
        <v>Tuesday</v>
      </c>
      <c r="B32" s="13" t="n">
        <f aca="false">Setup!$C$5+344</f>
        <v>46371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TEXT(Setup!$C$5+344,"dddd")</f>
        <v>Tuesday</v>
      </c>
      <c r="B33" s="13" t="n">
        <f aca="false">Setup!$C$5+344</f>
        <v>46371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TEXT(Setup!$C$5+344,"dddd")</f>
        <v>Tuesday</v>
      </c>
      <c r="B34" s="13" t="n">
        <f aca="false">Setup!$C$5+344</f>
        <v>46371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TEXT(Setup!$C$5+344,"dddd")</f>
        <v>Tuesday</v>
      </c>
      <c r="B35" s="13" t="n">
        <f aca="false">Setup!$C$5+344</f>
        <v>46371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TEXT(Setup!$C$5+344,"dddd")</f>
        <v>Tuesday</v>
      </c>
      <c r="B36" s="13" t="n">
        <f aca="false">Setup!$C$5+344</f>
        <v>46371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TEXT(Setup!$C$5+344,"dddd")</f>
        <v>Tuesday</v>
      </c>
      <c r="B37" s="13" t="n">
        <f aca="false">Setup!$C$5+344</f>
        <v>46371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TEXT(Setup!$C$5+344,"dddd")</f>
        <v>Tuesday</v>
      </c>
      <c r="B38" s="13" t="n">
        <f aca="false">Setup!$C$5+344</f>
        <v>46371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TEXT(Setup!$C$5+344,"dddd")</f>
        <v>Tuesday</v>
      </c>
      <c r="B39" s="13" t="n">
        <f aca="false">Setup!$C$5+344</f>
        <v>46371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TEXT(Setup!$C$5+344,"dddd")</f>
        <v>Tuesday</v>
      </c>
      <c r="B40" s="13" t="n">
        <f aca="false">Setup!$C$5+344</f>
        <v>46371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TEXT(Setup!$C$5+344,"dddd")</f>
        <v>Tuesday</v>
      </c>
      <c r="B41" s="13" t="n">
        <f aca="false">Setup!$C$5+344</f>
        <v>46371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TEXT(Setup!$C$5+344,"dddd")</f>
        <v>Tuesday</v>
      </c>
      <c r="B42" s="13" t="n">
        <f aca="false">Setup!$C$5+344</f>
        <v>46371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TEXT(Setup!$C$5+344,"dddd")</f>
        <v>Tuesday</v>
      </c>
      <c r="B43" s="13" t="n">
        <f aca="false">Setup!$C$5+344</f>
        <v>46371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TEXT(Setup!$C$5+344,"dddd")</f>
        <v>Tuesday</v>
      </c>
      <c r="B44" s="13" t="n">
        <f aca="false">Setup!$C$5+344</f>
        <v>46371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TEXT(Setup!$C$5+344,"dddd")</f>
        <v>Tuesday</v>
      </c>
      <c r="B45" s="23" t="n">
        <f aca="false">Setup!$C$5+344</f>
        <v>46371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IFERROR(H45-Wk49!H45,"")</f>
        <v>0</v>
      </c>
      <c r="O45" s="24" t="n">
        <f aca="false">IFERROR(D45-Wk49!D45,"")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TEXT(Setup!$C$5+345,"dddd")</f>
        <v>Wednesday</v>
      </c>
      <c r="B46" s="13" t="n">
        <f aca="false">Setup!$C$5+345</f>
        <v>46372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TEXT(Setup!$C$5+345,"dddd")</f>
        <v>Wednesday</v>
      </c>
      <c r="B47" s="13" t="n">
        <f aca="false">Setup!$C$5+345</f>
        <v>46372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TEXT(Setup!$C$5+345,"dddd")</f>
        <v>Wednesday</v>
      </c>
      <c r="B48" s="13" t="n">
        <f aca="false">Setup!$C$5+345</f>
        <v>46372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TEXT(Setup!$C$5+345,"dddd")</f>
        <v>Wednesday</v>
      </c>
      <c r="B49" s="13" t="n">
        <f aca="false">Setup!$C$5+345</f>
        <v>46372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TEXT(Setup!$C$5+345,"dddd")</f>
        <v>Wednesday</v>
      </c>
      <c r="B50" s="13" t="n">
        <f aca="false">Setup!$C$5+345</f>
        <v>46372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TEXT(Setup!$C$5+345,"dddd")</f>
        <v>Wednesday</v>
      </c>
      <c r="B51" s="13" t="n">
        <f aca="false">Setup!$C$5+345</f>
        <v>46372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TEXT(Setup!$C$5+345,"dddd")</f>
        <v>Wednesday</v>
      </c>
      <c r="B52" s="13" t="n">
        <f aca="false">Setup!$C$5+345</f>
        <v>46372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TEXT(Setup!$C$5+345,"dddd")</f>
        <v>Wednesday</v>
      </c>
      <c r="B53" s="13" t="n">
        <f aca="false">Setup!$C$5+345</f>
        <v>46372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TEXT(Setup!$C$5+345,"dddd")</f>
        <v>Wednesday</v>
      </c>
      <c r="B54" s="13" t="n">
        <f aca="false">Setup!$C$5+345</f>
        <v>46372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TEXT(Setup!$C$5+345,"dddd")</f>
        <v>Wednesday</v>
      </c>
      <c r="B55" s="13" t="n">
        <f aca="false">Setup!$C$5+345</f>
        <v>46372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TEXT(Setup!$C$5+345,"dddd")</f>
        <v>Wednesday</v>
      </c>
      <c r="B56" s="13" t="n">
        <f aca="false">Setup!$C$5+345</f>
        <v>46372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TEXT(Setup!$C$5+345,"dddd")</f>
        <v>Wednesday</v>
      </c>
      <c r="B57" s="13" t="n">
        <f aca="false">Setup!$C$5+345</f>
        <v>46372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TEXT(Setup!$C$5+345,"dddd")</f>
        <v>Wednesday</v>
      </c>
      <c r="B58" s="13" t="n">
        <f aca="false">Setup!$C$5+345</f>
        <v>46372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TEXT(Setup!$C$5+345,"dddd")</f>
        <v>Wednesday</v>
      </c>
      <c r="B59" s="13" t="n">
        <f aca="false">Setup!$C$5+345</f>
        <v>46372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TEXT(Setup!$C$5+345,"dddd")</f>
        <v>Wednesday</v>
      </c>
      <c r="B60" s="13" t="n">
        <f aca="false">Setup!$C$5+345</f>
        <v>46372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TEXT(Setup!$C$5+345,"dddd")</f>
        <v>Wednesday</v>
      </c>
      <c r="B61" s="13" t="n">
        <f aca="false">Setup!$C$5+345</f>
        <v>46372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TEXT(Setup!$C$5+345,"dddd")</f>
        <v>Wednesday</v>
      </c>
      <c r="B62" s="13" t="n">
        <f aca="false">Setup!$C$5+345</f>
        <v>46372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TEXT(Setup!$C$5+345,"dddd")</f>
        <v>Wednesday</v>
      </c>
      <c r="B63" s="13" t="n">
        <f aca="false">Setup!$C$5+345</f>
        <v>46372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TEXT(Setup!$C$5+345,"dddd")</f>
        <v>Wednesday</v>
      </c>
      <c r="B64" s="13" t="n">
        <f aca="false">Setup!$C$5+345</f>
        <v>46372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TEXT(Setup!$C$5+345,"dddd")</f>
        <v>Wednesday</v>
      </c>
      <c r="B65" s="13" t="n">
        <f aca="false">Setup!$C$5+345</f>
        <v>46372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TEXT(Setup!$C$5+345,"dddd")</f>
        <v>Wednesday</v>
      </c>
      <c r="B66" s="13" t="n">
        <f aca="false">Setup!$C$5+345</f>
        <v>46372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TEXT(Setup!$C$5+345,"dddd")</f>
        <v>Wednesday</v>
      </c>
      <c r="B67" s="23" t="n">
        <f aca="false">Setup!$C$5+345</f>
        <v>46372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IFERROR(H67-Wk49!H67,"")</f>
        <v>0</v>
      </c>
      <c r="O67" s="24" t="n">
        <f aca="false">IFERROR(D67-Wk49!D67,"")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TEXT(Setup!$C$5+346,"dddd")</f>
        <v>Thursday</v>
      </c>
      <c r="B68" s="13" t="n">
        <f aca="false">Setup!$C$5+346</f>
        <v>46373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TEXT(Setup!$C$5+346,"dddd")</f>
        <v>Thursday</v>
      </c>
      <c r="B69" s="13" t="n">
        <f aca="false">Setup!$C$5+346</f>
        <v>46373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TEXT(Setup!$C$5+346,"dddd")</f>
        <v>Thursday</v>
      </c>
      <c r="B70" s="13" t="n">
        <f aca="false">Setup!$C$5+346</f>
        <v>46373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TEXT(Setup!$C$5+346,"dddd")</f>
        <v>Thursday</v>
      </c>
      <c r="B71" s="13" t="n">
        <f aca="false">Setup!$C$5+346</f>
        <v>46373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TEXT(Setup!$C$5+346,"dddd")</f>
        <v>Thursday</v>
      </c>
      <c r="B72" s="13" t="n">
        <f aca="false">Setup!$C$5+346</f>
        <v>46373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TEXT(Setup!$C$5+346,"dddd")</f>
        <v>Thursday</v>
      </c>
      <c r="B73" s="13" t="n">
        <f aca="false">Setup!$C$5+346</f>
        <v>46373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TEXT(Setup!$C$5+346,"dddd")</f>
        <v>Thursday</v>
      </c>
      <c r="B74" s="13" t="n">
        <f aca="false">Setup!$C$5+346</f>
        <v>46373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TEXT(Setup!$C$5+346,"dddd")</f>
        <v>Thursday</v>
      </c>
      <c r="B75" s="13" t="n">
        <f aca="false">Setup!$C$5+346</f>
        <v>46373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TEXT(Setup!$C$5+346,"dddd")</f>
        <v>Thursday</v>
      </c>
      <c r="B76" s="13" t="n">
        <f aca="false">Setup!$C$5+346</f>
        <v>46373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TEXT(Setup!$C$5+346,"dddd")</f>
        <v>Thursday</v>
      </c>
      <c r="B77" s="13" t="n">
        <f aca="false">Setup!$C$5+346</f>
        <v>46373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TEXT(Setup!$C$5+346,"dddd")</f>
        <v>Thursday</v>
      </c>
      <c r="B78" s="13" t="n">
        <f aca="false">Setup!$C$5+346</f>
        <v>46373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TEXT(Setup!$C$5+346,"dddd")</f>
        <v>Thursday</v>
      </c>
      <c r="B79" s="13" t="n">
        <f aca="false">Setup!$C$5+346</f>
        <v>46373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TEXT(Setup!$C$5+346,"dddd")</f>
        <v>Thursday</v>
      </c>
      <c r="B80" s="13" t="n">
        <f aca="false">Setup!$C$5+346</f>
        <v>46373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TEXT(Setup!$C$5+346,"dddd")</f>
        <v>Thursday</v>
      </c>
      <c r="B81" s="13" t="n">
        <f aca="false">Setup!$C$5+346</f>
        <v>46373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TEXT(Setup!$C$5+346,"dddd")</f>
        <v>Thursday</v>
      </c>
      <c r="B82" s="13" t="n">
        <f aca="false">Setup!$C$5+346</f>
        <v>46373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TEXT(Setup!$C$5+346,"dddd")</f>
        <v>Thursday</v>
      </c>
      <c r="B83" s="13" t="n">
        <f aca="false">Setup!$C$5+346</f>
        <v>46373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TEXT(Setup!$C$5+346,"dddd")</f>
        <v>Thursday</v>
      </c>
      <c r="B84" s="13" t="n">
        <f aca="false">Setup!$C$5+346</f>
        <v>46373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TEXT(Setup!$C$5+346,"dddd")</f>
        <v>Thursday</v>
      </c>
      <c r="B85" s="13" t="n">
        <f aca="false">Setup!$C$5+346</f>
        <v>46373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TEXT(Setup!$C$5+346,"dddd")</f>
        <v>Thursday</v>
      </c>
      <c r="B86" s="13" t="n">
        <f aca="false">Setup!$C$5+346</f>
        <v>46373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TEXT(Setup!$C$5+346,"dddd")</f>
        <v>Thursday</v>
      </c>
      <c r="B87" s="13" t="n">
        <f aca="false">Setup!$C$5+346</f>
        <v>46373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TEXT(Setup!$C$5+346,"dddd")</f>
        <v>Thursday</v>
      </c>
      <c r="B88" s="13" t="n">
        <f aca="false">Setup!$C$5+346</f>
        <v>46373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TEXT(Setup!$C$5+346,"dddd")</f>
        <v>Thursday</v>
      </c>
      <c r="B89" s="23" t="n">
        <f aca="false">Setup!$C$5+346</f>
        <v>46373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IFERROR(H89-Wk49!H89,"")</f>
        <v>0</v>
      </c>
      <c r="O89" s="24" t="n">
        <f aca="false">IFERROR(D89-Wk49!D89,"")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TEXT(Setup!$C$5+347,"dddd")</f>
        <v>Friday</v>
      </c>
      <c r="B90" s="13" t="n">
        <f aca="false">Setup!$C$5+347</f>
        <v>46374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TEXT(Setup!$C$5+347,"dddd")</f>
        <v>Friday</v>
      </c>
      <c r="B91" s="13" t="n">
        <f aca="false">Setup!$C$5+347</f>
        <v>46374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TEXT(Setup!$C$5+347,"dddd")</f>
        <v>Friday</v>
      </c>
      <c r="B92" s="13" t="n">
        <f aca="false">Setup!$C$5+347</f>
        <v>46374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TEXT(Setup!$C$5+347,"dddd")</f>
        <v>Friday</v>
      </c>
      <c r="B93" s="13" t="n">
        <f aca="false">Setup!$C$5+347</f>
        <v>46374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TEXT(Setup!$C$5+347,"dddd")</f>
        <v>Friday</v>
      </c>
      <c r="B94" s="13" t="n">
        <f aca="false">Setup!$C$5+347</f>
        <v>46374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TEXT(Setup!$C$5+347,"dddd")</f>
        <v>Friday</v>
      </c>
      <c r="B95" s="13" t="n">
        <f aca="false">Setup!$C$5+347</f>
        <v>46374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TEXT(Setup!$C$5+347,"dddd")</f>
        <v>Friday</v>
      </c>
      <c r="B96" s="13" t="n">
        <f aca="false">Setup!$C$5+347</f>
        <v>46374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TEXT(Setup!$C$5+347,"dddd")</f>
        <v>Friday</v>
      </c>
      <c r="B97" s="13" t="n">
        <f aca="false">Setup!$C$5+347</f>
        <v>46374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TEXT(Setup!$C$5+347,"dddd")</f>
        <v>Friday</v>
      </c>
      <c r="B98" s="13" t="n">
        <f aca="false">Setup!$C$5+347</f>
        <v>46374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TEXT(Setup!$C$5+347,"dddd")</f>
        <v>Friday</v>
      </c>
      <c r="B99" s="13" t="n">
        <f aca="false">Setup!$C$5+347</f>
        <v>46374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TEXT(Setup!$C$5+347,"dddd")</f>
        <v>Friday</v>
      </c>
      <c r="B100" s="13" t="n">
        <f aca="false">Setup!$C$5+347</f>
        <v>46374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TEXT(Setup!$C$5+347,"dddd")</f>
        <v>Friday</v>
      </c>
      <c r="B101" s="13" t="n">
        <f aca="false">Setup!$C$5+347</f>
        <v>46374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TEXT(Setup!$C$5+347,"dddd")</f>
        <v>Friday</v>
      </c>
      <c r="B102" s="13" t="n">
        <f aca="false">Setup!$C$5+347</f>
        <v>46374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TEXT(Setup!$C$5+347,"dddd")</f>
        <v>Friday</v>
      </c>
      <c r="B103" s="13" t="n">
        <f aca="false">Setup!$C$5+347</f>
        <v>46374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TEXT(Setup!$C$5+347,"dddd")</f>
        <v>Friday</v>
      </c>
      <c r="B104" s="13" t="n">
        <f aca="false">Setup!$C$5+347</f>
        <v>46374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TEXT(Setup!$C$5+347,"dddd")</f>
        <v>Friday</v>
      </c>
      <c r="B105" s="13" t="n">
        <f aca="false">Setup!$C$5+347</f>
        <v>46374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TEXT(Setup!$C$5+347,"dddd")</f>
        <v>Friday</v>
      </c>
      <c r="B106" s="13" t="n">
        <f aca="false">Setup!$C$5+347</f>
        <v>46374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TEXT(Setup!$C$5+347,"dddd")</f>
        <v>Friday</v>
      </c>
      <c r="B107" s="13" t="n">
        <f aca="false">Setup!$C$5+347</f>
        <v>46374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TEXT(Setup!$C$5+347,"dddd")</f>
        <v>Friday</v>
      </c>
      <c r="B108" s="13" t="n">
        <f aca="false">Setup!$C$5+347</f>
        <v>46374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TEXT(Setup!$C$5+347,"dddd")</f>
        <v>Friday</v>
      </c>
      <c r="B109" s="13" t="n">
        <f aca="false">Setup!$C$5+347</f>
        <v>46374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TEXT(Setup!$C$5+347,"dddd")</f>
        <v>Friday</v>
      </c>
      <c r="B110" s="13" t="n">
        <f aca="false">Setup!$C$5+347</f>
        <v>46374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TEXT(Setup!$C$5+347,"dddd")</f>
        <v>Friday</v>
      </c>
      <c r="B111" s="23" t="n">
        <f aca="false">Setup!$C$5+347</f>
        <v>46374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IFERROR(H111-Wk49!H111,"")</f>
        <v>0</v>
      </c>
      <c r="O111" s="24" t="n">
        <f aca="false">IFERROR(D111-Wk49!D111,"")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TEXT(Setup!$C$5+348,"dddd")</f>
        <v>Saturday</v>
      </c>
      <c r="B112" s="13" t="n">
        <f aca="false">Setup!$C$5+348</f>
        <v>46375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TEXT(Setup!$C$5+348,"dddd")</f>
        <v>Saturday</v>
      </c>
      <c r="B113" s="13" t="n">
        <f aca="false">Setup!$C$5+348</f>
        <v>46375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TEXT(Setup!$C$5+348,"dddd")</f>
        <v>Saturday</v>
      </c>
      <c r="B114" s="13" t="n">
        <f aca="false">Setup!$C$5+348</f>
        <v>46375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TEXT(Setup!$C$5+348,"dddd")</f>
        <v>Saturday</v>
      </c>
      <c r="B115" s="13" t="n">
        <f aca="false">Setup!$C$5+348</f>
        <v>46375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TEXT(Setup!$C$5+348,"dddd")</f>
        <v>Saturday</v>
      </c>
      <c r="B116" s="13" t="n">
        <f aca="false">Setup!$C$5+348</f>
        <v>46375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TEXT(Setup!$C$5+348,"dddd")</f>
        <v>Saturday</v>
      </c>
      <c r="B117" s="13" t="n">
        <f aca="false">Setup!$C$5+348</f>
        <v>46375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TEXT(Setup!$C$5+348,"dddd")</f>
        <v>Saturday</v>
      </c>
      <c r="B118" s="13" t="n">
        <f aca="false">Setup!$C$5+348</f>
        <v>46375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TEXT(Setup!$C$5+348,"dddd")</f>
        <v>Saturday</v>
      </c>
      <c r="B119" s="13" t="n">
        <f aca="false">Setup!$C$5+348</f>
        <v>46375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TEXT(Setup!$C$5+348,"dddd")</f>
        <v>Saturday</v>
      </c>
      <c r="B120" s="13" t="n">
        <f aca="false">Setup!$C$5+348</f>
        <v>46375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TEXT(Setup!$C$5+348,"dddd")</f>
        <v>Saturday</v>
      </c>
      <c r="B121" s="13" t="n">
        <f aca="false">Setup!$C$5+348</f>
        <v>46375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TEXT(Setup!$C$5+348,"dddd")</f>
        <v>Saturday</v>
      </c>
      <c r="B122" s="13" t="n">
        <f aca="false">Setup!$C$5+348</f>
        <v>46375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TEXT(Setup!$C$5+348,"dddd")</f>
        <v>Saturday</v>
      </c>
      <c r="B123" s="13" t="n">
        <f aca="false">Setup!$C$5+348</f>
        <v>46375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TEXT(Setup!$C$5+348,"dddd")</f>
        <v>Saturday</v>
      </c>
      <c r="B124" s="13" t="n">
        <f aca="false">Setup!$C$5+348</f>
        <v>46375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TEXT(Setup!$C$5+348,"dddd")</f>
        <v>Saturday</v>
      </c>
      <c r="B125" s="13" t="n">
        <f aca="false">Setup!$C$5+348</f>
        <v>46375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TEXT(Setup!$C$5+348,"dddd")</f>
        <v>Saturday</v>
      </c>
      <c r="B126" s="13" t="n">
        <f aca="false">Setup!$C$5+348</f>
        <v>46375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TEXT(Setup!$C$5+348,"dddd")</f>
        <v>Saturday</v>
      </c>
      <c r="B127" s="13" t="n">
        <f aca="false">Setup!$C$5+348</f>
        <v>46375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TEXT(Setup!$C$5+348,"dddd")</f>
        <v>Saturday</v>
      </c>
      <c r="B128" s="13" t="n">
        <f aca="false">Setup!$C$5+348</f>
        <v>46375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TEXT(Setup!$C$5+348,"dddd")</f>
        <v>Saturday</v>
      </c>
      <c r="B129" s="13" t="n">
        <f aca="false">Setup!$C$5+348</f>
        <v>46375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TEXT(Setup!$C$5+348,"dddd")</f>
        <v>Saturday</v>
      </c>
      <c r="B130" s="13" t="n">
        <f aca="false">Setup!$C$5+348</f>
        <v>46375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TEXT(Setup!$C$5+348,"dddd")</f>
        <v>Saturday</v>
      </c>
      <c r="B131" s="13" t="n">
        <f aca="false">Setup!$C$5+348</f>
        <v>46375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TEXT(Setup!$C$5+348,"dddd")</f>
        <v>Saturday</v>
      </c>
      <c r="B132" s="13" t="n">
        <f aca="false">Setup!$C$5+348</f>
        <v>46375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TEXT(Setup!$C$5+348,"dddd")</f>
        <v>Saturday</v>
      </c>
      <c r="B133" s="23" t="n">
        <f aca="false">Setup!$C$5+348</f>
        <v>46375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IFERROR(H133-Wk49!H133,"")</f>
        <v>0</v>
      </c>
      <c r="O133" s="24" t="n">
        <f aca="false">IFERROR(D133-Wk49!D133,"")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TEXT(Setup!$C$5+349,"dddd")</f>
        <v>Sunday</v>
      </c>
      <c r="B134" s="13" t="n">
        <f aca="false">Setup!$C$5+349</f>
        <v>46376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TEXT(Setup!$C$5+349,"dddd")</f>
        <v>Sunday</v>
      </c>
      <c r="B135" s="13" t="n">
        <f aca="false">Setup!$C$5+349</f>
        <v>46376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TEXT(Setup!$C$5+349,"dddd")</f>
        <v>Sunday</v>
      </c>
      <c r="B136" s="13" t="n">
        <f aca="false">Setup!$C$5+349</f>
        <v>46376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TEXT(Setup!$C$5+349,"dddd")</f>
        <v>Sunday</v>
      </c>
      <c r="B137" s="13" t="n">
        <f aca="false">Setup!$C$5+349</f>
        <v>46376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TEXT(Setup!$C$5+349,"dddd")</f>
        <v>Sunday</v>
      </c>
      <c r="B138" s="13" t="n">
        <f aca="false">Setup!$C$5+349</f>
        <v>46376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TEXT(Setup!$C$5+349,"dddd")</f>
        <v>Sunday</v>
      </c>
      <c r="B139" s="13" t="n">
        <f aca="false">Setup!$C$5+349</f>
        <v>46376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TEXT(Setup!$C$5+349,"dddd")</f>
        <v>Sunday</v>
      </c>
      <c r="B140" s="13" t="n">
        <f aca="false">Setup!$C$5+349</f>
        <v>46376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TEXT(Setup!$C$5+349,"dddd")</f>
        <v>Sunday</v>
      </c>
      <c r="B141" s="13" t="n">
        <f aca="false">Setup!$C$5+349</f>
        <v>46376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TEXT(Setup!$C$5+349,"dddd")</f>
        <v>Sunday</v>
      </c>
      <c r="B142" s="13" t="n">
        <f aca="false">Setup!$C$5+349</f>
        <v>46376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TEXT(Setup!$C$5+349,"dddd")</f>
        <v>Sunday</v>
      </c>
      <c r="B143" s="13" t="n">
        <f aca="false">Setup!$C$5+349</f>
        <v>46376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TEXT(Setup!$C$5+349,"dddd")</f>
        <v>Sunday</v>
      </c>
      <c r="B144" s="13" t="n">
        <f aca="false">Setup!$C$5+349</f>
        <v>46376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TEXT(Setup!$C$5+349,"dddd")</f>
        <v>Sunday</v>
      </c>
      <c r="B145" s="13" t="n">
        <f aca="false">Setup!$C$5+349</f>
        <v>46376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TEXT(Setup!$C$5+349,"dddd")</f>
        <v>Sunday</v>
      </c>
      <c r="B146" s="13" t="n">
        <f aca="false">Setup!$C$5+349</f>
        <v>46376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TEXT(Setup!$C$5+349,"dddd")</f>
        <v>Sunday</v>
      </c>
      <c r="B147" s="13" t="n">
        <f aca="false">Setup!$C$5+349</f>
        <v>46376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TEXT(Setup!$C$5+349,"dddd")</f>
        <v>Sunday</v>
      </c>
      <c r="B148" s="13" t="n">
        <f aca="false">Setup!$C$5+349</f>
        <v>46376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TEXT(Setup!$C$5+349,"dddd")</f>
        <v>Sunday</v>
      </c>
      <c r="B149" s="13" t="n">
        <f aca="false">Setup!$C$5+349</f>
        <v>46376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TEXT(Setup!$C$5+349,"dddd")</f>
        <v>Sunday</v>
      </c>
      <c r="B150" s="13" t="n">
        <f aca="false">Setup!$C$5+349</f>
        <v>46376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TEXT(Setup!$C$5+349,"dddd")</f>
        <v>Sunday</v>
      </c>
      <c r="B151" s="13" t="n">
        <f aca="false">Setup!$C$5+349</f>
        <v>46376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TEXT(Setup!$C$5+349,"dddd")</f>
        <v>Sunday</v>
      </c>
      <c r="B152" s="13" t="n">
        <f aca="false">Setup!$C$5+349</f>
        <v>46376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TEXT(Setup!$C$5+349,"dddd")</f>
        <v>Sunday</v>
      </c>
      <c r="B153" s="13" t="n">
        <f aca="false">Setup!$C$5+349</f>
        <v>46376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TEXT(Setup!$C$5+349,"dddd")</f>
        <v>Sunday</v>
      </c>
      <c r="B154" s="13" t="n">
        <f aca="false">Setup!$C$5+349</f>
        <v>46376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TEXT(Setup!$C$5+349,"dddd")</f>
        <v>Sunday</v>
      </c>
      <c r="B155" s="23" t="n">
        <f aca="false">Setup!$C$5+349</f>
        <v>46376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IFERROR(H155-Wk49!H155,"")</f>
        <v>0</v>
      </c>
      <c r="O155" s="24" t="n">
        <f aca="false">IFERROR(D155-Wk49!D155,"")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IFERROR(D156-Wk49!D156,"")</f>
        <v>0</v>
      </c>
      <c r="E157" s="34" t="n">
        <f aca="false">IFERROR(E156-Wk49!E156,"")</f>
        <v>0</v>
      </c>
      <c r="H157" s="32" t="n">
        <f aca="false">IFERROR(H156-Wk49!H156,"")</f>
        <v>0</v>
      </c>
      <c r="K157" s="32" t="n">
        <f aca="false">IFERROR(K156-Wk49!K156,"")</f>
        <v>0</v>
      </c>
      <c r="M157" s="32" t="n">
        <f aca="false">IFERROR(M156-Wk49!M156,"")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TEXT(Setup!$C$5+350,"dddd")</f>
        <v>Monday</v>
      </c>
      <c r="B2" s="13" t="n">
        <f aca="false">Setup!$C$5+350</f>
        <v>46377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TEXT(Setup!$C$5+350,"dddd")</f>
        <v>Monday</v>
      </c>
      <c r="B3" s="13" t="n">
        <f aca="false">Setup!$C$5+350</f>
        <v>46377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TEXT(Setup!$C$5+350,"dddd")</f>
        <v>Monday</v>
      </c>
      <c r="B4" s="13" t="n">
        <f aca="false">Setup!$C$5+350</f>
        <v>46377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TEXT(Setup!$C$5+350,"dddd")</f>
        <v>Monday</v>
      </c>
      <c r="B5" s="13" t="n">
        <f aca="false">Setup!$C$5+350</f>
        <v>46377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TEXT(Setup!$C$5+350,"dddd")</f>
        <v>Monday</v>
      </c>
      <c r="B6" s="13" t="n">
        <f aca="false">Setup!$C$5+350</f>
        <v>46377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TEXT(Setup!$C$5+350,"dddd")</f>
        <v>Monday</v>
      </c>
      <c r="B7" s="13" t="n">
        <f aca="false">Setup!$C$5+350</f>
        <v>46377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TEXT(Setup!$C$5+350,"dddd")</f>
        <v>Monday</v>
      </c>
      <c r="B8" s="13" t="n">
        <f aca="false">Setup!$C$5+350</f>
        <v>46377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TEXT(Setup!$C$5+350,"dddd")</f>
        <v>Monday</v>
      </c>
      <c r="B9" s="13" t="n">
        <f aca="false">Setup!$C$5+350</f>
        <v>46377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TEXT(Setup!$C$5+350,"dddd")</f>
        <v>Monday</v>
      </c>
      <c r="B10" s="13" t="n">
        <f aca="false">Setup!$C$5+350</f>
        <v>46377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TEXT(Setup!$C$5+350,"dddd")</f>
        <v>Monday</v>
      </c>
      <c r="B11" s="13" t="n">
        <f aca="false">Setup!$C$5+350</f>
        <v>46377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TEXT(Setup!$C$5+350,"dddd")</f>
        <v>Monday</v>
      </c>
      <c r="B12" s="13" t="n">
        <f aca="false">Setup!$C$5+350</f>
        <v>46377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TEXT(Setup!$C$5+350,"dddd")</f>
        <v>Monday</v>
      </c>
      <c r="B13" s="13" t="n">
        <f aca="false">Setup!$C$5+350</f>
        <v>46377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TEXT(Setup!$C$5+350,"dddd")</f>
        <v>Monday</v>
      </c>
      <c r="B14" s="13" t="n">
        <f aca="false">Setup!$C$5+350</f>
        <v>46377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TEXT(Setup!$C$5+350,"dddd")</f>
        <v>Monday</v>
      </c>
      <c r="B15" s="13" t="n">
        <f aca="false">Setup!$C$5+350</f>
        <v>46377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TEXT(Setup!$C$5+350,"dddd")</f>
        <v>Monday</v>
      </c>
      <c r="B16" s="13" t="n">
        <f aca="false">Setup!$C$5+350</f>
        <v>46377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TEXT(Setup!$C$5+350,"dddd")</f>
        <v>Monday</v>
      </c>
      <c r="B17" s="13" t="n">
        <f aca="false">Setup!$C$5+350</f>
        <v>46377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TEXT(Setup!$C$5+350,"dddd")</f>
        <v>Monday</v>
      </c>
      <c r="B18" s="13" t="n">
        <f aca="false">Setup!$C$5+350</f>
        <v>46377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TEXT(Setup!$C$5+350,"dddd")</f>
        <v>Monday</v>
      </c>
      <c r="B19" s="13" t="n">
        <f aca="false">Setup!$C$5+350</f>
        <v>46377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TEXT(Setup!$C$5+350,"dddd")</f>
        <v>Monday</v>
      </c>
      <c r="B20" s="13" t="n">
        <f aca="false">Setup!$C$5+350</f>
        <v>46377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TEXT(Setup!$C$5+350,"dddd")</f>
        <v>Monday</v>
      </c>
      <c r="B21" s="13" t="n">
        <f aca="false">Setup!$C$5+350</f>
        <v>46377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TEXT(Setup!$C$5+350,"dddd")</f>
        <v>Monday</v>
      </c>
      <c r="B22" s="13" t="n">
        <f aca="false">Setup!$C$5+350</f>
        <v>46377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TEXT(Setup!$C$5+350,"dddd")</f>
        <v>Monday</v>
      </c>
      <c r="B23" s="23" t="n">
        <f aca="false">Setup!$C$5+350</f>
        <v>46377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IFERROR(H23-Wk50!H23,"")</f>
        <v>0</v>
      </c>
      <c r="O23" s="24" t="n">
        <f aca="false">IFERROR(D23-Wk50!D23,"")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TEXT(Setup!$C$5+351,"dddd")</f>
        <v>Tuesday</v>
      </c>
      <c r="B24" s="13" t="n">
        <f aca="false">Setup!$C$5+351</f>
        <v>46378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TEXT(Setup!$C$5+351,"dddd")</f>
        <v>Tuesday</v>
      </c>
      <c r="B25" s="13" t="n">
        <f aca="false">Setup!$C$5+351</f>
        <v>46378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TEXT(Setup!$C$5+351,"dddd")</f>
        <v>Tuesday</v>
      </c>
      <c r="B26" s="13" t="n">
        <f aca="false">Setup!$C$5+351</f>
        <v>46378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TEXT(Setup!$C$5+351,"dddd")</f>
        <v>Tuesday</v>
      </c>
      <c r="B27" s="13" t="n">
        <f aca="false">Setup!$C$5+351</f>
        <v>46378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TEXT(Setup!$C$5+351,"dddd")</f>
        <v>Tuesday</v>
      </c>
      <c r="B28" s="13" t="n">
        <f aca="false">Setup!$C$5+351</f>
        <v>46378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TEXT(Setup!$C$5+351,"dddd")</f>
        <v>Tuesday</v>
      </c>
      <c r="B29" s="13" t="n">
        <f aca="false">Setup!$C$5+351</f>
        <v>46378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TEXT(Setup!$C$5+351,"dddd")</f>
        <v>Tuesday</v>
      </c>
      <c r="B30" s="13" t="n">
        <f aca="false">Setup!$C$5+351</f>
        <v>46378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TEXT(Setup!$C$5+351,"dddd")</f>
        <v>Tuesday</v>
      </c>
      <c r="B31" s="13" t="n">
        <f aca="false">Setup!$C$5+351</f>
        <v>46378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TEXT(Setup!$C$5+351,"dddd")</f>
        <v>Tuesday</v>
      </c>
      <c r="B32" s="13" t="n">
        <f aca="false">Setup!$C$5+351</f>
        <v>46378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TEXT(Setup!$C$5+351,"dddd")</f>
        <v>Tuesday</v>
      </c>
      <c r="B33" s="13" t="n">
        <f aca="false">Setup!$C$5+351</f>
        <v>46378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TEXT(Setup!$C$5+351,"dddd")</f>
        <v>Tuesday</v>
      </c>
      <c r="B34" s="13" t="n">
        <f aca="false">Setup!$C$5+351</f>
        <v>46378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TEXT(Setup!$C$5+351,"dddd")</f>
        <v>Tuesday</v>
      </c>
      <c r="B35" s="13" t="n">
        <f aca="false">Setup!$C$5+351</f>
        <v>46378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TEXT(Setup!$C$5+351,"dddd")</f>
        <v>Tuesday</v>
      </c>
      <c r="B36" s="13" t="n">
        <f aca="false">Setup!$C$5+351</f>
        <v>46378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TEXT(Setup!$C$5+351,"dddd")</f>
        <v>Tuesday</v>
      </c>
      <c r="B37" s="13" t="n">
        <f aca="false">Setup!$C$5+351</f>
        <v>46378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TEXT(Setup!$C$5+351,"dddd")</f>
        <v>Tuesday</v>
      </c>
      <c r="B38" s="13" t="n">
        <f aca="false">Setup!$C$5+351</f>
        <v>46378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TEXT(Setup!$C$5+351,"dddd")</f>
        <v>Tuesday</v>
      </c>
      <c r="B39" s="13" t="n">
        <f aca="false">Setup!$C$5+351</f>
        <v>46378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TEXT(Setup!$C$5+351,"dddd")</f>
        <v>Tuesday</v>
      </c>
      <c r="B40" s="13" t="n">
        <f aca="false">Setup!$C$5+351</f>
        <v>46378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TEXT(Setup!$C$5+351,"dddd")</f>
        <v>Tuesday</v>
      </c>
      <c r="B41" s="13" t="n">
        <f aca="false">Setup!$C$5+351</f>
        <v>46378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TEXT(Setup!$C$5+351,"dddd")</f>
        <v>Tuesday</v>
      </c>
      <c r="B42" s="13" t="n">
        <f aca="false">Setup!$C$5+351</f>
        <v>46378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TEXT(Setup!$C$5+351,"dddd")</f>
        <v>Tuesday</v>
      </c>
      <c r="B43" s="13" t="n">
        <f aca="false">Setup!$C$5+351</f>
        <v>46378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TEXT(Setup!$C$5+351,"dddd")</f>
        <v>Tuesday</v>
      </c>
      <c r="B44" s="13" t="n">
        <f aca="false">Setup!$C$5+351</f>
        <v>46378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TEXT(Setup!$C$5+351,"dddd")</f>
        <v>Tuesday</v>
      </c>
      <c r="B45" s="23" t="n">
        <f aca="false">Setup!$C$5+351</f>
        <v>46378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IFERROR(H45-Wk50!H45,"")</f>
        <v>0</v>
      </c>
      <c r="O45" s="24" t="n">
        <f aca="false">IFERROR(D45-Wk50!D45,"")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TEXT(Setup!$C$5+352,"dddd")</f>
        <v>Wednesday</v>
      </c>
      <c r="B46" s="13" t="n">
        <f aca="false">Setup!$C$5+352</f>
        <v>46379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TEXT(Setup!$C$5+352,"dddd")</f>
        <v>Wednesday</v>
      </c>
      <c r="B47" s="13" t="n">
        <f aca="false">Setup!$C$5+352</f>
        <v>46379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TEXT(Setup!$C$5+352,"dddd")</f>
        <v>Wednesday</v>
      </c>
      <c r="B48" s="13" t="n">
        <f aca="false">Setup!$C$5+352</f>
        <v>46379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TEXT(Setup!$C$5+352,"dddd")</f>
        <v>Wednesday</v>
      </c>
      <c r="B49" s="13" t="n">
        <f aca="false">Setup!$C$5+352</f>
        <v>46379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TEXT(Setup!$C$5+352,"dddd")</f>
        <v>Wednesday</v>
      </c>
      <c r="B50" s="13" t="n">
        <f aca="false">Setup!$C$5+352</f>
        <v>46379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TEXT(Setup!$C$5+352,"dddd")</f>
        <v>Wednesday</v>
      </c>
      <c r="B51" s="13" t="n">
        <f aca="false">Setup!$C$5+352</f>
        <v>46379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TEXT(Setup!$C$5+352,"dddd")</f>
        <v>Wednesday</v>
      </c>
      <c r="B52" s="13" t="n">
        <f aca="false">Setup!$C$5+352</f>
        <v>46379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TEXT(Setup!$C$5+352,"dddd")</f>
        <v>Wednesday</v>
      </c>
      <c r="B53" s="13" t="n">
        <f aca="false">Setup!$C$5+352</f>
        <v>46379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TEXT(Setup!$C$5+352,"dddd")</f>
        <v>Wednesday</v>
      </c>
      <c r="B54" s="13" t="n">
        <f aca="false">Setup!$C$5+352</f>
        <v>46379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TEXT(Setup!$C$5+352,"dddd")</f>
        <v>Wednesday</v>
      </c>
      <c r="B55" s="13" t="n">
        <f aca="false">Setup!$C$5+352</f>
        <v>46379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TEXT(Setup!$C$5+352,"dddd")</f>
        <v>Wednesday</v>
      </c>
      <c r="B56" s="13" t="n">
        <f aca="false">Setup!$C$5+352</f>
        <v>46379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TEXT(Setup!$C$5+352,"dddd")</f>
        <v>Wednesday</v>
      </c>
      <c r="B57" s="13" t="n">
        <f aca="false">Setup!$C$5+352</f>
        <v>46379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TEXT(Setup!$C$5+352,"dddd")</f>
        <v>Wednesday</v>
      </c>
      <c r="B58" s="13" t="n">
        <f aca="false">Setup!$C$5+352</f>
        <v>46379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TEXT(Setup!$C$5+352,"dddd")</f>
        <v>Wednesday</v>
      </c>
      <c r="B59" s="13" t="n">
        <f aca="false">Setup!$C$5+352</f>
        <v>46379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TEXT(Setup!$C$5+352,"dddd")</f>
        <v>Wednesday</v>
      </c>
      <c r="B60" s="13" t="n">
        <f aca="false">Setup!$C$5+352</f>
        <v>46379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TEXT(Setup!$C$5+352,"dddd")</f>
        <v>Wednesday</v>
      </c>
      <c r="B61" s="13" t="n">
        <f aca="false">Setup!$C$5+352</f>
        <v>46379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TEXT(Setup!$C$5+352,"dddd")</f>
        <v>Wednesday</v>
      </c>
      <c r="B62" s="13" t="n">
        <f aca="false">Setup!$C$5+352</f>
        <v>46379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TEXT(Setup!$C$5+352,"dddd")</f>
        <v>Wednesday</v>
      </c>
      <c r="B63" s="13" t="n">
        <f aca="false">Setup!$C$5+352</f>
        <v>46379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TEXT(Setup!$C$5+352,"dddd")</f>
        <v>Wednesday</v>
      </c>
      <c r="B64" s="13" t="n">
        <f aca="false">Setup!$C$5+352</f>
        <v>46379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TEXT(Setup!$C$5+352,"dddd")</f>
        <v>Wednesday</v>
      </c>
      <c r="B65" s="13" t="n">
        <f aca="false">Setup!$C$5+352</f>
        <v>46379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TEXT(Setup!$C$5+352,"dddd")</f>
        <v>Wednesday</v>
      </c>
      <c r="B66" s="13" t="n">
        <f aca="false">Setup!$C$5+352</f>
        <v>46379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TEXT(Setup!$C$5+352,"dddd")</f>
        <v>Wednesday</v>
      </c>
      <c r="B67" s="23" t="n">
        <f aca="false">Setup!$C$5+352</f>
        <v>46379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IFERROR(H67-Wk50!H67,"")</f>
        <v>0</v>
      </c>
      <c r="O67" s="24" t="n">
        <f aca="false">IFERROR(D67-Wk50!D67,"")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TEXT(Setup!$C$5+353,"dddd")</f>
        <v>Thursday</v>
      </c>
      <c r="B68" s="13" t="n">
        <f aca="false">Setup!$C$5+353</f>
        <v>46380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TEXT(Setup!$C$5+353,"dddd")</f>
        <v>Thursday</v>
      </c>
      <c r="B69" s="13" t="n">
        <f aca="false">Setup!$C$5+353</f>
        <v>46380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TEXT(Setup!$C$5+353,"dddd")</f>
        <v>Thursday</v>
      </c>
      <c r="B70" s="13" t="n">
        <f aca="false">Setup!$C$5+353</f>
        <v>46380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TEXT(Setup!$C$5+353,"dddd")</f>
        <v>Thursday</v>
      </c>
      <c r="B71" s="13" t="n">
        <f aca="false">Setup!$C$5+353</f>
        <v>46380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TEXT(Setup!$C$5+353,"dddd")</f>
        <v>Thursday</v>
      </c>
      <c r="B72" s="13" t="n">
        <f aca="false">Setup!$C$5+353</f>
        <v>46380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TEXT(Setup!$C$5+353,"dddd")</f>
        <v>Thursday</v>
      </c>
      <c r="B73" s="13" t="n">
        <f aca="false">Setup!$C$5+353</f>
        <v>46380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TEXT(Setup!$C$5+353,"dddd")</f>
        <v>Thursday</v>
      </c>
      <c r="B74" s="13" t="n">
        <f aca="false">Setup!$C$5+353</f>
        <v>46380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TEXT(Setup!$C$5+353,"dddd")</f>
        <v>Thursday</v>
      </c>
      <c r="B75" s="13" t="n">
        <f aca="false">Setup!$C$5+353</f>
        <v>46380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TEXT(Setup!$C$5+353,"dddd")</f>
        <v>Thursday</v>
      </c>
      <c r="B76" s="13" t="n">
        <f aca="false">Setup!$C$5+353</f>
        <v>46380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TEXT(Setup!$C$5+353,"dddd")</f>
        <v>Thursday</v>
      </c>
      <c r="B77" s="13" t="n">
        <f aca="false">Setup!$C$5+353</f>
        <v>46380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TEXT(Setup!$C$5+353,"dddd")</f>
        <v>Thursday</v>
      </c>
      <c r="B78" s="13" t="n">
        <f aca="false">Setup!$C$5+353</f>
        <v>46380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TEXT(Setup!$C$5+353,"dddd")</f>
        <v>Thursday</v>
      </c>
      <c r="B79" s="13" t="n">
        <f aca="false">Setup!$C$5+353</f>
        <v>46380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TEXT(Setup!$C$5+353,"dddd")</f>
        <v>Thursday</v>
      </c>
      <c r="B80" s="13" t="n">
        <f aca="false">Setup!$C$5+353</f>
        <v>46380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TEXT(Setup!$C$5+353,"dddd")</f>
        <v>Thursday</v>
      </c>
      <c r="B81" s="13" t="n">
        <f aca="false">Setup!$C$5+353</f>
        <v>46380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TEXT(Setup!$C$5+353,"dddd")</f>
        <v>Thursday</v>
      </c>
      <c r="B82" s="13" t="n">
        <f aca="false">Setup!$C$5+353</f>
        <v>46380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TEXT(Setup!$C$5+353,"dddd")</f>
        <v>Thursday</v>
      </c>
      <c r="B83" s="13" t="n">
        <f aca="false">Setup!$C$5+353</f>
        <v>46380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TEXT(Setup!$C$5+353,"dddd")</f>
        <v>Thursday</v>
      </c>
      <c r="B84" s="13" t="n">
        <f aca="false">Setup!$C$5+353</f>
        <v>46380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TEXT(Setup!$C$5+353,"dddd")</f>
        <v>Thursday</v>
      </c>
      <c r="B85" s="13" t="n">
        <f aca="false">Setup!$C$5+353</f>
        <v>46380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TEXT(Setup!$C$5+353,"dddd")</f>
        <v>Thursday</v>
      </c>
      <c r="B86" s="13" t="n">
        <f aca="false">Setup!$C$5+353</f>
        <v>46380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TEXT(Setup!$C$5+353,"dddd")</f>
        <v>Thursday</v>
      </c>
      <c r="B87" s="13" t="n">
        <f aca="false">Setup!$C$5+353</f>
        <v>46380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TEXT(Setup!$C$5+353,"dddd")</f>
        <v>Thursday</v>
      </c>
      <c r="B88" s="13" t="n">
        <f aca="false">Setup!$C$5+353</f>
        <v>46380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TEXT(Setup!$C$5+353,"dddd")</f>
        <v>Thursday</v>
      </c>
      <c r="B89" s="23" t="n">
        <f aca="false">Setup!$C$5+353</f>
        <v>46380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IFERROR(H89-Wk50!H89,"")</f>
        <v>0</v>
      </c>
      <c r="O89" s="24" t="n">
        <f aca="false">IFERROR(D89-Wk50!D89,"")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TEXT(Setup!$C$5+354,"dddd")</f>
        <v>Friday</v>
      </c>
      <c r="B90" s="13" t="n">
        <f aca="false">Setup!$C$5+354</f>
        <v>46381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TEXT(Setup!$C$5+354,"dddd")</f>
        <v>Friday</v>
      </c>
      <c r="B91" s="13" t="n">
        <f aca="false">Setup!$C$5+354</f>
        <v>46381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TEXT(Setup!$C$5+354,"dddd")</f>
        <v>Friday</v>
      </c>
      <c r="B92" s="13" t="n">
        <f aca="false">Setup!$C$5+354</f>
        <v>46381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TEXT(Setup!$C$5+354,"dddd")</f>
        <v>Friday</v>
      </c>
      <c r="B93" s="13" t="n">
        <f aca="false">Setup!$C$5+354</f>
        <v>46381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TEXT(Setup!$C$5+354,"dddd")</f>
        <v>Friday</v>
      </c>
      <c r="B94" s="13" t="n">
        <f aca="false">Setup!$C$5+354</f>
        <v>46381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TEXT(Setup!$C$5+354,"dddd")</f>
        <v>Friday</v>
      </c>
      <c r="B95" s="13" t="n">
        <f aca="false">Setup!$C$5+354</f>
        <v>46381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TEXT(Setup!$C$5+354,"dddd")</f>
        <v>Friday</v>
      </c>
      <c r="B96" s="13" t="n">
        <f aca="false">Setup!$C$5+354</f>
        <v>46381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TEXT(Setup!$C$5+354,"dddd")</f>
        <v>Friday</v>
      </c>
      <c r="B97" s="13" t="n">
        <f aca="false">Setup!$C$5+354</f>
        <v>46381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TEXT(Setup!$C$5+354,"dddd")</f>
        <v>Friday</v>
      </c>
      <c r="B98" s="13" t="n">
        <f aca="false">Setup!$C$5+354</f>
        <v>46381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TEXT(Setup!$C$5+354,"dddd")</f>
        <v>Friday</v>
      </c>
      <c r="B99" s="13" t="n">
        <f aca="false">Setup!$C$5+354</f>
        <v>46381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TEXT(Setup!$C$5+354,"dddd")</f>
        <v>Friday</v>
      </c>
      <c r="B100" s="13" t="n">
        <f aca="false">Setup!$C$5+354</f>
        <v>46381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TEXT(Setup!$C$5+354,"dddd")</f>
        <v>Friday</v>
      </c>
      <c r="B101" s="13" t="n">
        <f aca="false">Setup!$C$5+354</f>
        <v>46381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TEXT(Setup!$C$5+354,"dddd")</f>
        <v>Friday</v>
      </c>
      <c r="B102" s="13" t="n">
        <f aca="false">Setup!$C$5+354</f>
        <v>46381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TEXT(Setup!$C$5+354,"dddd")</f>
        <v>Friday</v>
      </c>
      <c r="B103" s="13" t="n">
        <f aca="false">Setup!$C$5+354</f>
        <v>46381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TEXT(Setup!$C$5+354,"dddd")</f>
        <v>Friday</v>
      </c>
      <c r="B104" s="13" t="n">
        <f aca="false">Setup!$C$5+354</f>
        <v>46381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TEXT(Setup!$C$5+354,"dddd")</f>
        <v>Friday</v>
      </c>
      <c r="B105" s="13" t="n">
        <f aca="false">Setup!$C$5+354</f>
        <v>46381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TEXT(Setup!$C$5+354,"dddd")</f>
        <v>Friday</v>
      </c>
      <c r="B106" s="13" t="n">
        <f aca="false">Setup!$C$5+354</f>
        <v>46381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TEXT(Setup!$C$5+354,"dddd")</f>
        <v>Friday</v>
      </c>
      <c r="B107" s="13" t="n">
        <f aca="false">Setup!$C$5+354</f>
        <v>46381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TEXT(Setup!$C$5+354,"dddd")</f>
        <v>Friday</v>
      </c>
      <c r="B108" s="13" t="n">
        <f aca="false">Setup!$C$5+354</f>
        <v>46381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TEXT(Setup!$C$5+354,"dddd")</f>
        <v>Friday</v>
      </c>
      <c r="B109" s="13" t="n">
        <f aca="false">Setup!$C$5+354</f>
        <v>46381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TEXT(Setup!$C$5+354,"dddd")</f>
        <v>Friday</v>
      </c>
      <c r="B110" s="13" t="n">
        <f aca="false">Setup!$C$5+354</f>
        <v>46381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TEXT(Setup!$C$5+354,"dddd")</f>
        <v>Friday</v>
      </c>
      <c r="B111" s="23" t="n">
        <f aca="false">Setup!$C$5+354</f>
        <v>46381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IFERROR(H111-Wk50!H111,"")</f>
        <v>0</v>
      </c>
      <c r="O111" s="24" t="n">
        <f aca="false">IFERROR(D111-Wk50!D111,"")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TEXT(Setup!$C$5+355,"dddd")</f>
        <v>Saturday</v>
      </c>
      <c r="B112" s="13" t="n">
        <f aca="false">Setup!$C$5+355</f>
        <v>46382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TEXT(Setup!$C$5+355,"dddd")</f>
        <v>Saturday</v>
      </c>
      <c r="B113" s="13" t="n">
        <f aca="false">Setup!$C$5+355</f>
        <v>46382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TEXT(Setup!$C$5+355,"dddd")</f>
        <v>Saturday</v>
      </c>
      <c r="B114" s="13" t="n">
        <f aca="false">Setup!$C$5+355</f>
        <v>46382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TEXT(Setup!$C$5+355,"dddd")</f>
        <v>Saturday</v>
      </c>
      <c r="B115" s="13" t="n">
        <f aca="false">Setup!$C$5+355</f>
        <v>46382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TEXT(Setup!$C$5+355,"dddd")</f>
        <v>Saturday</v>
      </c>
      <c r="B116" s="13" t="n">
        <f aca="false">Setup!$C$5+355</f>
        <v>46382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TEXT(Setup!$C$5+355,"dddd")</f>
        <v>Saturday</v>
      </c>
      <c r="B117" s="13" t="n">
        <f aca="false">Setup!$C$5+355</f>
        <v>46382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TEXT(Setup!$C$5+355,"dddd")</f>
        <v>Saturday</v>
      </c>
      <c r="B118" s="13" t="n">
        <f aca="false">Setup!$C$5+355</f>
        <v>46382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TEXT(Setup!$C$5+355,"dddd")</f>
        <v>Saturday</v>
      </c>
      <c r="B119" s="13" t="n">
        <f aca="false">Setup!$C$5+355</f>
        <v>46382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TEXT(Setup!$C$5+355,"dddd")</f>
        <v>Saturday</v>
      </c>
      <c r="B120" s="13" t="n">
        <f aca="false">Setup!$C$5+355</f>
        <v>46382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TEXT(Setup!$C$5+355,"dddd")</f>
        <v>Saturday</v>
      </c>
      <c r="B121" s="13" t="n">
        <f aca="false">Setup!$C$5+355</f>
        <v>46382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TEXT(Setup!$C$5+355,"dddd")</f>
        <v>Saturday</v>
      </c>
      <c r="B122" s="13" t="n">
        <f aca="false">Setup!$C$5+355</f>
        <v>46382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TEXT(Setup!$C$5+355,"dddd")</f>
        <v>Saturday</v>
      </c>
      <c r="B123" s="13" t="n">
        <f aca="false">Setup!$C$5+355</f>
        <v>46382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TEXT(Setup!$C$5+355,"dddd")</f>
        <v>Saturday</v>
      </c>
      <c r="B124" s="13" t="n">
        <f aca="false">Setup!$C$5+355</f>
        <v>46382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TEXT(Setup!$C$5+355,"dddd")</f>
        <v>Saturday</v>
      </c>
      <c r="B125" s="13" t="n">
        <f aca="false">Setup!$C$5+355</f>
        <v>46382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TEXT(Setup!$C$5+355,"dddd")</f>
        <v>Saturday</v>
      </c>
      <c r="B126" s="13" t="n">
        <f aca="false">Setup!$C$5+355</f>
        <v>46382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TEXT(Setup!$C$5+355,"dddd")</f>
        <v>Saturday</v>
      </c>
      <c r="B127" s="13" t="n">
        <f aca="false">Setup!$C$5+355</f>
        <v>46382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TEXT(Setup!$C$5+355,"dddd")</f>
        <v>Saturday</v>
      </c>
      <c r="B128" s="13" t="n">
        <f aca="false">Setup!$C$5+355</f>
        <v>46382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TEXT(Setup!$C$5+355,"dddd")</f>
        <v>Saturday</v>
      </c>
      <c r="B129" s="13" t="n">
        <f aca="false">Setup!$C$5+355</f>
        <v>46382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TEXT(Setup!$C$5+355,"dddd")</f>
        <v>Saturday</v>
      </c>
      <c r="B130" s="13" t="n">
        <f aca="false">Setup!$C$5+355</f>
        <v>46382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TEXT(Setup!$C$5+355,"dddd")</f>
        <v>Saturday</v>
      </c>
      <c r="B131" s="13" t="n">
        <f aca="false">Setup!$C$5+355</f>
        <v>46382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TEXT(Setup!$C$5+355,"dddd")</f>
        <v>Saturday</v>
      </c>
      <c r="B132" s="13" t="n">
        <f aca="false">Setup!$C$5+355</f>
        <v>46382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TEXT(Setup!$C$5+355,"dddd")</f>
        <v>Saturday</v>
      </c>
      <c r="B133" s="23" t="n">
        <f aca="false">Setup!$C$5+355</f>
        <v>46382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IFERROR(H133-Wk50!H133,"")</f>
        <v>0</v>
      </c>
      <c r="O133" s="24" t="n">
        <f aca="false">IFERROR(D133-Wk50!D133,"")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TEXT(Setup!$C$5+356,"dddd")</f>
        <v>Sunday</v>
      </c>
      <c r="B134" s="13" t="n">
        <f aca="false">Setup!$C$5+356</f>
        <v>46383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TEXT(Setup!$C$5+356,"dddd")</f>
        <v>Sunday</v>
      </c>
      <c r="B135" s="13" t="n">
        <f aca="false">Setup!$C$5+356</f>
        <v>46383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TEXT(Setup!$C$5+356,"dddd")</f>
        <v>Sunday</v>
      </c>
      <c r="B136" s="13" t="n">
        <f aca="false">Setup!$C$5+356</f>
        <v>46383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TEXT(Setup!$C$5+356,"dddd")</f>
        <v>Sunday</v>
      </c>
      <c r="B137" s="13" t="n">
        <f aca="false">Setup!$C$5+356</f>
        <v>46383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TEXT(Setup!$C$5+356,"dddd")</f>
        <v>Sunday</v>
      </c>
      <c r="B138" s="13" t="n">
        <f aca="false">Setup!$C$5+356</f>
        <v>46383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TEXT(Setup!$C$5+356,"dddd")</f>
        <v>Sunday</v>
      </c>
      <c r="B139" s="13" t="n">
        <f aca="false">Setup!$C$5+356</f>
        <v>46383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TEXT(Setup!$C$5+356,"dddd")</f>
        <v>Sunday</v>
      </c>
      <c r="B140" s="13" t="n">
        <f aca="false">Setup!$C$5+356</f>
        <v>46383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TEXT(Setup!$C$5+356,"dddd")</f>
        <v>Sunday</v>
      </c>
      <c r="B141" s="13" t="n">
        <f aca="false">Setup!$C$5+356</f>
        <v>46383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TEXT(Setup!$C$5+356,"dddd")</f>
        <v>Sunday</v>
      </c>
      <c r="B142" s="13" t="n">
        <f aca="false">Setup!$C$5+356</f>
        <v>46383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TEXT(Setup!$C$5+356,"dddd")</f>
        <v>Sunday</v>
      </c>
      <c r="B143" s="13" t="n">
        <f aca="false">Setup!$C$5+356</f>
        <v>46383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TEXT(Setup!$C$5+356,"dddd")</f>
        <v>Sunday</v>
      </c>
      <c r="B144" s="13" t="n">
        <f aca="false">Setup!$C$5+356</f>
        <v>46383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TEXT(Setup!$C$5+356,"dddd")</f>
        <v>Sunday</v>
      </c>
      <c r="B145" s="13" t="n">
        <f aca="false">Setup!$C$5+356</f>
        <v>46383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TEXT(Setup!$C$5+356,"dddd")</f>
        <v>Sunday</v>
      </c>
      <c r="B146" s="13" t="n">
        <f aca="false">Setup!$C$5+356</f>
        <v>46383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TEXT(Setup!$C$5+356,"dddd")</f>
        <v>Sunday</v>
      </c>
      <c r="B147" s="13" t="n">
        <f aca="false">Setup!$C$5+356</f>
        <v>46383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TEXT(Setup!$C$5+356,"dddd")</f>
        <v>Sunday</v>
      </c>
      <c r="B148" s="13" t="n">
        <f aca="false">Setup!$C$5+356</f>
        <v>46383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TEXT(Setup!$C$5+356,"dddd")</f>
        <v>Sunday</v>
      </c>
      <c r="B149" s="13" t="n">
        <f aca="false">Setup!$C$5+356</f>
        <v>46383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TEXT(Setup!$C$5+356,"dddd")</f>
        <v>Sunday</v>
      </c>
      <c r="B150" s="13" t="n">
        <f aca="false">Setup!$C$5+356</f>
        <v>46383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TEXT(Setup!$C$5+356,"dddd")</f>
        <v>Sunday</v>
      </c>
      <c r="B151" s="13" t="n">
        <f aca="false">Setup!$C$5+356</f>
        <v>46383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TEXT(Setup!$C$5+356,"dddd")</f>
        <v>Sunday</v>
      </c>
      <c r="B152" s="13" t="n">
        <f aca="false">Setup!$C$5+356</f>
        <v>46383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TEXT(Setup!$C$5+356,"dddd")</f>
        <v>Sunday</v>
      </c>
      <c r="B153" s="13" t="n">
        <f aca="false">Setup!$C$5+356</f>
        <v>46383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TEXT(Setup!$C$5+356,"dddd")</f>
        <v>Sunday</v>
      </c>
      <c r="B154" s="13" t="n">
        <f aca="false">Setup!$C$5+356</f>
        <v>46383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TEXT(Setup!$C$5+356,"dddd")</f>
        <v>Sunday</v>
      </c>
      <c r="B155" s="23" t="n">
        <f aca="false">Setup!$C$5+356</f>
        <v>46383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IFERROR(H155-Wk50!H155,"")</f>
        <v>0</v>
      </c>
      <c r="O155" s="24" t="n">
        <f aca="false">IFERROR(D155-Wk50!D155,"")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IFERROR(D156-Wk50!D156,"")</f>
        <v>0</v>
      </c>
      <c r="E157" s="34" t="n">
        <f aca="false">IFERROR(E156-Wk50!E156,"")</f>
        <v>0</v>
      </c>
      <c r="H157" s="32" t="n">
        <f aca="false">IFERROR(H156-Wk50!H156,"")</f>
        <v>0</v>
      </c>
      <c r="K157" s="32" t="n">
        <f aca="false">IFERROR(K156-Wk50!K156,"")</f>
        <v>0</v>
      </c>
      <c r="M157" s="32" t="n">
        <f aca="false">IFERROR(M156-Wk50!M156,"")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  <c r="S1" s="11" t="s">
        <v>85</v>
      </c>
    </row>
    <row r="2" customFormat="false" ht="15" hidden="false" customHeight="false" outlineLevel="0" collapsed="false">
      <c r="A2" s="12" t="str">
        <f aca="false">TEXT(Setup!$C$5+357,"dddd")</f>
        <v>Monday</v>
      </c>
      <c r="B2" s="13" t="n">
        <f aca="false">Setup!$C$5+357</f>
        <v>46384</v>
      </c>
      <c r="C2" s="12" t="s">
        <v>86</v>
      </c>
      <c r="D2" s="14"/>
      <c r="E2" s="14"/>
      <c r="F2" s="14"/>
      <c r="G2" s="14"/>
      <c r="H2" s="15"/>
      <c r="I2" s="16"/>
      <c r="J2" s="17"/>
      <c r="K2" s="15"/>
      <c r="L2" s="18"/>
      <c r="M2" s="15"/>
      <c r="N2" s="17"/>
      <c r="O2" s="19"/>
      <c r="P2" s="20" t="n">
        <f aca="false">IFERROR(H2/Setup!$C$6,"")</f>
        <v>0</v>
      </c>
      <c r="Q2" s="20" t="n">
        <f aca="false">IFERROR(H2-P2,"")</f>
        <v>0</v>
      </c>
      <c r="R2" s="17"/>
      <c r="S2" s="16"/>
    </row>
    <row r="3" customFormat="false" ht="15" hidden="false" customHeight="false" outlineLevel="0" collapsed="false">
      <c r="A3" s="12" t="str">
        <f aca="false">TEXT(Setup!$C$5+357,"dddd")</f>
        <v>Monday</v>
      </c>
      <c r="B3" s="13" t="n">
        <f aca="false">Setup!$C$5+357</f>
        <v>46384</v>
      </c>
      <c r="C3" s="12" t="s">
        <v>87</v>
      </c>
      <c r="D3" s="14"/>
      <c r="E3" s="14"/>
      <c r="F3" s="14"/>
      <c r="G3" s="14"/>
      <c r="H3" s="15"/>
      <c r="I3" s="16"/>
      <c r="J3" s="17"/>
      <c r="K3" s="15"/>
      <c r="L3" s="18"/>
      <c r="M3" s="15"/>
      <c r="N3" s="17"/>
      <c r="O3" s="19"/>
      <c r="P3" s="20" t="n">
        <f aca="false">IFERROR(H3/Setup!$C$6,"")</f>
        <v>0</v>
      </c>
      <c r="Q3" s="20" t="n">
        <f aca="false">IFERROR(H3-P3,"")</f>
        <v>0</v>
      </c>
      <c r="R3" s="17"/>
      <c r="S3" s="16"/>
    </row>
    <row r="4" customFormat="false" ht="15" hidden="false" customHeight="false" outlineLevel="0" collapsed="false">
      <c r="A4" s="12" t="str">
        <f aca="false">TEXT(Setup!$C$5+357,"dddd")</f>
        <v>Monday</v>
      </c>
      <c r="B4" s="13" t="n">
        <f aca="false">Setup!$C$5+357</f>
        <v>46384</v>
      </c>
      <c r="C4" s="12" t="s">
        <v>88</v>
      </c>
      <c r="D4" s="14"/>
      <c r="E4" s="14"/>
      <c r="F4" s="14"/>
      <c r="G4" s="14"/>
      <c r="H4" s="15"/>
      <c r="I4" s="16"/>
      <c r="J4" s="17"/>
      <c r="K4" s="15"/>
      <c r="L4" s="18"/>
      <c r="M4" s="15"/>
      <c r="N4" s="17"/>
      <c r="O4" s="19"/>
      <c r="P4" s="20" t="n">
        <f aca="false">IFERROR(H4/Setup!$C$6,"")</f>
        <v>0</v>
      </c>
      <c r="Q4" s="20" t="n">
        <f aca="false">IFERROR(H4-P4,"")</f>
        <v>0</v>
      </c>
      <c r="R4" s="17"/>
      <c r="S4" s="16"/>
    </row>
    <row r="5" customFormat="false" ht="15" hidden="false" customHeight="false" outlineLevel="0" collapsed="false">
      <c r="A5" s="12" t="str">
        <f aca="false">TEXT(Setup!$C$5+357,"dddd")</f>
        <v>Monday</v>
      </c>
      <c r="B5" s="13" t="n">
        <f aca="false">Setup!$C$5+357</f>
        <v>46384</v>
      </c>
      <c r="C5" s="12" t="s">
        <v>89</v>
      </c>
      <c r="D5" s="14"/>
      <c r="E5" s="14"/>
      <c r="F5" s="14"/>
      <c r="G5" s="14"/>
      <c r="H5" s="15"/>
      <c r="I5" s="16"/>
      <c r="J5" s="17"/>
      <c r="K5" s="15"/>
      <c r="L5" s="18"/>
      <c r="M5" s="15"/>
      <c r="N5" s="17"/>
      <c r="O5" s="19"/>
      <c r="P5" s="20" t="n">
        <f aca="false">IFERROR(H5/Setup!$C$6,"")</f>
        <v>0</v>
      </c>
      <c r="Q5" s="20" t="n">
        <f aca="false">IFERROR(H5-P5,"")</f>
        <v>0</v>
      </c>
      <c r="R5" s="17"/>
      <c r="S5" s="16"/>
    </row>
    <row r="6" customFormat="false" ht="15" hidden="false" customHeight="false" outlineLevel="0" collapsed="false">
      <c r="A6" s="12" t="str">
        <f aca="false">TEXT(Setup!$C$5+357,"dddd")</f>
        <v>Monday</v>
      </c>
      <c r="B6" s="13" t="n">
        <f aca="false">Setup!$C$5+357</f>
        <v>46384</v>
      </c>
      <c r="C6" s="12" t="s">
        <v>90</v>
      </c>
      <c r="D6" s="14"/>
      <c r="E6" s="14"/>
      <c r="F6" s="14"/>
      <c r="G6" s="14"/>
      <c r="H6" s="15"/>
      <c r="I6" s="16"/>
      <c r="J6" s="17"/>
      <c r="K6" s="15"/>
      <c r="L6" s="18"/>
      <c r="M6" s="15"/>
      <c r="N6" s="17"/>
      <c r="O6" s="19"/>
      <c r="P6" s="20" t="n">
        <f aca="false">IFERROR(H6/Setup!$C$6,"")</f>
        <v>0</v>
      </c>
      <c r="Q6" s="20" t="n">
        <f aca="false">IFERROR(H6-P6,"")</f>
        <v>0</v>
      </c>
      <c r="R6" s="17"/>
      <c r="S6" s="16"/>
    </row>
    <row r="7" customFormat="false" ht="15" hidden="false" customHeight="false" outlineLevel="0" collapsed="false">
      <c r="A7" s="12" t="str">
        <f aca="false">TEXT(Setup!$C$5+357,"dddd")</f>
        <v>Monday</v>
      </c>
      <c r="B7" s="13" t="n">
        <f aca="false">Setup!$C$5+357</f>
        <v>46384</v>
      </c>
      <c r="C7" s="12" t="s">
        <v>91</v>
      </c>
      <c r="D7" s="14"/>
      <c r="E7" s="14"/>
      <c r="F7" s="14"/>
      <c r="G7" s="14"/>
      <c r="H7" s="15"/>
      <c r="I7" s="16"/>
      <c r="J7" s="17"/>
      <c r="K7" s="15"/>
      <c r="L7" s="18"/>
      <c r="M7" s="15"/>
      <c r="N7" s="17"/>
      <c r="O7" s="19"/>
      <c r="P7" s="20" t="n">
        <f aca="false">IFERROR(H7/Setup!$C$6,"")</f>
        <v>0</v>
      </c>
      <c r="Q7" s="20" t="n">
        <f aca="false">IFERROR(H7-P7,"")</f>
        <v>0</v>
      </c>
      <c r="R7" s="17"/>
      <c r="S7" s="16"/>
    </row>
    <row r="8" customFormat="false" ht="15" hidden="false" customHeight="false" outlineLevel="0" collapsed="false">
      <c r="A8" s="12" t="str">
        <f aca="false">TEXT(Setup!$C$5+357,"dddd")</f>
        <v>Monday</v>
      </c>
      <c r="B8" s="13" t="n">
        <f aca="false">Setup!$C$5+357</f>
        <v>46384</v>
      </c>
      <c r="C8" s="12" t="s">
        <v>92</v>
      </c>
      <c r="D8" s="14"/>
      <c r="E8" s="14"/>
      <c r="F8" s="14"/>
      <c r="G8" s="14"/>
      <c r="H8" s="15"/>
      <c r="I8" s="16"/>
      <c r="J8" s="17"/>
      <c r="K8" s="15"/>
      <c r="L8" s="18"/>
      <c r="M8" s="15"/>
      <c r="N8" s="17"/>
      <c r="O8" s="19"/>
      <c r="P8" s="20" t="n">
        <f aca="false">IFERROR(H8/Setup!$C$6,"")</f>
        <v>0</v>
      </c>
      <c r="Q8" s="20" t="n">
        <f aca="false">IFERROR(H8-P8,"")</f>
        <v>0</v>
      </c>
      <c r="R8" s="17"/>
      <c r="S8" s="16"/>
    </row>
    <row r="9" customFormat="false" ht="15" hidden="false" customHeight="false" outlineLevel="0" collapsed="false">
      <c r="A9" s="12" t="str">
        <f aca="false">TEXT(Setup!$C$5+357,"dddd")</f>
        <v>Monday</v>
      </c>
      <c r="B9" s="13" t="n">
        <f aca="false">Setup!$C$5+357</f>
        <v>46384</v>
      </c>
      <c r="C9" s="12" t="s">
        <v>93</v>
      </c>
      <c r="D9" s="14"/>
      <c r="E9" s="14"/>
      <c r="F9" s="14"/>
      <c r="G9" s="14"/>
      <c r="H9" s="15"/>
      <c r="I9" s="16"/>
      <c r="J9" s="17"/>
      <c r="K9" s="15"/>
      <c r="L9" s="18"/>
      <c r="M9" s="15"/>
      <c r="N9" s="17"/>
      <c r="O9" s="19"/>
      <c r="P9" s="20" t="n">
        <f aca="false">IFERROR(H9/Setup!$C$6,"")</f>
        <v>0</v>
      </c>
      <c r="Q9" s="20" t="n">
        <f aca="false">IFERROR(H9-P9,"")</f>
        <v>0</v>
      </c>
      <c r="R9" s="17"/>
      <c r="S9" s="16"/>
    </row>
    <row r="10" customFormat="false" ht="15" hidden="false" customHeight="false" outlineLevel="0" collapsed="false">
      <c r="A10" s="12" t="str">
        <f aca="false">TEXT(Setup!$C$5+357,"dddd")</f>
        <v>Monday</v>
      </c>
      <c r="B10" s="13" t="n">
        <f aca="false">Setup!$C$5+357</f>
        <v>46384</v>
      </c>
      <c r="C10" s="12" t="s">
        <v>94</v>
      </c>
      <c r="D10" s="14"/>
      <c r="E10" s="14"/>
      <c r="F10" s="14"/>
      <c r="G10" s="14"/>
      <c r="H10" s="15"/>
      <c r="I10" s="16"/>
      <c r="J10" s="17"/>
      <c r="K10" s="15"/>
      <c r="L10" s="18"/>
      <c r="M10" s="15"/>
      <c r="N10" s="17"/>
      <c r="O10" s="19"/>
      <c r="P10" s="20" t="n">
        <f aca="false">IFERROR(H10/Setup!$C$6,"")</f>
        <v>0</v>
      </c>
      <c r="Q10" s="20" t="n">
        <f aca="false">IFERROR(H10-P10,"")</f>
        <v>0</v>
      </c>
      <c r="R10" s="17"/>
      <c r="S10" s="16"/>
    </row>
    <row r="11" customFormat="false" ht="15" hidden="false" customHeight="false" outlineLevel="0" collapsed="false">
      <c r="A11" s="12" t="str">
        <f aca="false">TEXT(Setup!$C$5+357,"dddd")</f>
        <v>Monday</v>
      </c>
      <c r="B11" s="13" t="n">
        <f aca="false">Setup!$C$5+357</f>
        <v>46384</v>
      </c>
      <c r="C11" s="12" t="s">
        <v>95</v>
      </c>
      <c r="D11" s="14"/>
      <c r="E11" s="14"/>
      <c r="F11" s="14"/>
      <c r="G11" s="14"/>
      <c r="H11" s="15"/>
      <c r="I11" s="16"/>
      <c r="J11" s="17"/>
      <c r="K11" s="15"/>
      <c r="L11" s="18"/>
      <c r="M11" s="15"/>
      <c r="N11" s="17"/>
      <c r="O11" s="19"/>
      <c r="P11" s="20" t="n">
        <f aca="false">IFERROR(H11/Setup!$C$6,"")</f>
        <v>0</v>
      </c>
      <c r="Q11" s="20" t="n">
        <f aca="false">IFERROR(H11-P11,"")</f>
        <v>0</v>
      </c>
      <c r="R11" s="17"/>
      <c r="S11" s="16"/>
    </row>
    <row r="12" customFormat="false" ht="15" hidden="false" customHeight="false" outlineLevel="0" collapsed="false">
      <c r="A12" s="12" t="str">
        <f aca="false">TEXT(Setup!$C$5+357,"dddd")</f>
        <v>Monday</v>
      </c>
      <c r="B12" s="13" t="n">
        <f aca="false">Setup!$C$5+357</f>
        <v>46384</v>
      </c>
      <c r="C12" s="12" t="s">
        <v>96</v>
      </c>
      <c r="D12" s="14"/>
      <c r="E12" s="14"/>
      <c r="F12" s="14"/>
      <c r="G12" s="14"/>
      <c r="H12" s="15"/>
      <c r="I12" s="16"/>
      <c r="J12" s="17"/>
      <c r="K12" s="15"/>
      <c r="L12" s="18"/>
      <c r="M12" s="15"/>
      <c r="N12" s="17"/>
      <c r="O12" s="19"/>
      <c r="P12" s="20" t="n">
        <f aca="false">IFERROR(H12/Setup!$C$6,"")</f>
        <v>0</v>
      </c>
      <c r="Q12" s="20" t="n">
        <f aca="false">IFERROR(H12-P12,"")</f>
        <v>0</v>
      </c>
      <c r="R12" s="17"/>
      <c r="S12" s="16"/>
    </row>
    <row r="13" customFormat="false" ht="15" hidden="false" customHeight="false" outlineLevel="0" collapsed="false">
      <c r="A13" s="12" t="str">
        <f aca="false">TEXT(Setup!$C$5+357,"dddd")</f>
        <v>Monday</v>
      </c>
      <c r="B13" s="13" t="n">
        <f aca="false">Setup!$C$5+357</f>
        <v>46384</v>
      </c>
      <c r="C13" s="12" t="s">
        <v>97</v>
      </c>
      <c r="D13" s="14"/>
      <c r="E13" s="14"/>
      <c r="F13" s="14"/>
      <c r="G13" s="14"/>
      <c r="H13" s="15"/>
      <c r="I13" s="16"/>
      <c r="J13" s="17"/>
      <c r="K13" s="15"/>
      <c r="L13" s="18"/>
      <c r="M13" s="15"/>
      <c r="N13" s="17"/>
      <c r="O13" s="19"/>
      <c r="P13" s="20" t="n">
        <f aca="false">IFERROR(H13/Setup!$C$6,"")</f>
        <v>0</v>
      </c>
      <c r="Q13" s="20" t="n">
        <f aca="false">IFERROR(H13-P13,"")</f>
        <v>0</v>
      </c>
      <c r="R13" s="17"/>
      <c r="S13" s="16"/>
    </row>
    <row r="14" customFormat="false" ht="15" hidden="false" customHeight="false" outlineLevel="0" collapsed="false">
      <c r="A14" s="12" t="str">
        <f aca="false">TEXT(Setup!$C$5+357,"dddd")</f>
        <v>Monday</v>
      </c>
      <c r="B14" s="13" t="n">
        <f aca="false">Setup!$C$5+357</f>
        <v>46384</v>
      </c>
      <c r="C14" s="12" t="s">
        <v>98</v>
      </c>
      <c r="D14" s="14"/>
      <c r="E14" s="14"/>
      <c r="F14" s="14"/>
      <c r="G14" s="14"/>
      <c r="H14" s="15"/>
      <c r="I14" s="16"/>
      <c r="J14" s="17"/>
      <c r="K14" s="15"/>
      <c r="L14" s="18"/>
      <c r="M14" s="15"/>
      <c r="N14" s="17"/>
      <c r="O14" s="19"/>
      <c r="P14" s="20" t="n">
        <f aca="false">IFERROR(H14/Setup!$C$6,"")</f>
        <v>0</v>
      </c>
      <c r="Q14" s="20" t="n">
        <f aca="false">IFERROR(H14-P14,"")</f>
        <v>0</v>
      </c>
      <c r="R14" s="17"/>
      <c r="S14" s="16"/>
    </row>
    <row r="15" customFormat="false" ht="15" hidden="false" customHeight="false" outlineLevel="0" collapsed="false">
      <c r="A15" s="12" t="str">
        <f aca="false">TEXT(Setup!$C$5+357,"dddd")</f>
        <v>Monday</v>
      </c>
      <c r="B15" s="13" t="n">
        <f aca="false">Setup!$C$5+357</f>
        <v>46384</v>
      </c>
      <c r="C15" s="12" t="s">
        <v>99</v>
      </c>
      <c r="D15" s="14"/>
      <c r="E15" s="14"/>
      <c r="F15" s="14"/>
      <c r="G15" s="14"/>
      <c r="H15" s="15"/>
      <c r="I15" s="16"/>
      <c r="J15" s="17"/>
      <c r="K15" s="15"/>
      <c r="L15" s="18"/>
      <c r="M15" s="15"/>
      <c r="N15" s="17"/>
      <c r="O15" s="19"/>
      <c r="P15" s="20" t="n">
        <f aca="false">IFERROR(H15/Setup!$C$6,"")</f>
        <v>0</v>
      </c>
      <c r="Q15" s="20" t="n">
        <f aca="false">IFERROR(H15-P15,"")</f>
        <v>0</v>
      </c>
      <c r="R15" s="17"/>
      <c r="S15" s="16"/>
    </row>
    <row r="16" customFormat="false" ht="15" hidden="false" customHeight="false" outlineLevel="0" collapsed="false">
      <c r="A16" s="12" t="str">
        <f aca="false">TEXT(Setup!$C$5+357,"dddd")</f>
        <v>Monday</v>
      </c>
      <c r="B16" s="13" t="n">
        <f aca="false">Setup!$C$5+357</f>
        <v>46384</v>
      </c>
      <c r="C16" s="12" t="s">
        <v>100</v>
      </c>
      <c r="D16" s="14"/>
      <c r="E16" s="14"/>
      <c r="F16" s="14"/>
      <c r="G16" s="14"/>
      <c r="H16" s="15"/>
      <c r="I16" s="16"/>
      <c r="J16" s="17"/>
      <c r="K16" s="15"/>
      <c r="L16" s="18"/>
      <c r="M16" s="15"/>
      <c r="N16" s="17"/>
      <c r="O16" s="19"/>
      <c r="P16" s="20" t="n">
        <f aca="false">IFERROR(H16/Setup!$C$6,"")</f>
        <v>0</v>
      </c>
      <c r="Q16" s="20" t="n">
        <f aca="false">IFERROR(H16-P16,"")</f>
        <v>0</v>
      </c>
      <c r="R16" s="17"/>
      <c r="S16" s="16"/>
    </row>
    <row r="17" customFormat="false" ht="15" hidden="false" customHeight="false" outlineLevel="0" collapsed="false">
      <c r="A17" s="12" t="str">
        <f aca="false">TEXT(Setup!$C$5+357,"dddd")</f>
        <v>Monday</v>
      </c>
      <c r="B17" s="13" t="n">
        <f aca="false">Setup!$C$5+357</f>
        <v>46384</v>
      </c>
      <c r="C17" s="12" t="s">
        <v>101</v>
      </c>
      <c r="D17" s="14"/>
      <c r="E17" s="14"/>
      <c r="F17" s="14"/>
      <c r="G17" s="14"/>
      <c r="H17" s="15"/>
      <c r="I17" s="16"/>
      <c r="J17" s="17"/>
      <c r="K17" s="15"/>
      <c r="L17" s="18"/>
      <c r="M17" s="15"/>
      <c r="N17" s="17"/>
      <c r="O17" s="19"/>
      <c r="P17" s="20" t="n">
        <f aca="false">IFERROR(H17/Setup!$C$6,"")</f>
        <v>0</v>
      </c>
      <c r="Q17" s="20" t="n">
        <f aca="false">IFERROR(H17-P17,"")</f>
        <v>0</v>
      </c>
      <c r="R17" s="17"/>
      <c r="S17" s="16"/>
    </row>
    <row r="18" customFormat="false" ht="15" hidden="false" customHeight="false" outlineLevel="0" collapsed="false">
      <c r="A18" s="12" t="str">
        <f aca="false">TEXT(Setup!$C$5+357,"dddd")</f>
        <v>Monday</v>
      </c>
      <c r="B18" s="13" t="n">
        <f aca="false">Setup!$C$5+357</f>
        <v>46384</v>
      </c>
      <c r="C18" s="12" t="s">
        <v>102</v>
      </c>
      <c r="D18" s="14"/>
      <c r="E18" s="14"/>
      <c r="F18" s="14"/>
      <c r="G18" s="14"/>
      <c r="H18" s="15"/>
      <c r="I18" s="16"/>
      <c r="J18" s="17"/>
      <c r="K18" s="15"/>
      <c r="L18" s="18"/>
      <c r="M18" s="15"/>
      <c r="N18" s="17"/>
      <c r="O18" s="19"/>
      <c r="P18" s="20" t="n">
        <f aca="false">IFERROR(H18/Setup!$C$6,"")</f>
        <v>0</v>
      </c>
      <c r="Q18" s="20" t="n">
        <f aca="false">IFERROR(H18-P18,"")</f>
        <v>0</v>
      </c>
      <c r="R18" s="17"/>
      <c r="S18" s="16"/>
    </row>
    <row r="19" customFormat="false" ht="15" hidden="false" customHeight="false" outlineLevel="0" collapsed="false">
      <c r="A19" s="12" t="str">
        <f aca="false">TEXT(Setup!$C$5+357,"dddd")</f>
        <v>Monday</v>
      </c>
      <c r="B19" s="13" t="n">
        <f aca="false">Setup!$C$5+357</f>
        <v>46384</v>
      </c>
      <c r="C19" s="12" t="s">
        <v>103</v>
      </c>
      <c r="D19" s="14"/>
      <c r="E19" s="14"/>
      <c r="F19" s="14"/>
      <c r="G19" s="14"/>
      <c r="H19" s="15"/>
      <c r="I19" s="16"/>
      <c r="J19" s="17"/>
      <c r="K19" s="15"/>
      <c r="L19" s="18"/>
      <c r="M19" s="15"/>
      <c r="N19" s="17"/>
      <c r="O19" s="19"/>
      <c r="P19" s="20" t="n">
        <f aca="false">IFERROR(H19/Setup!$C$6,"")</f>
        <v>0</v>
      </c>
      <c r="Q19" s="20" t="n">
        <f aca="false">IFERROR(H19-P19,"")</f>
        <v>0</v>
      </c>
      <c r="R19" s="17"/>
      <c r="S19" s="16"/>
    </row>
    <row r="20" customFormat="false" ht="15" hidden="false" customHeight="false" outlineLevel="0" collapsed="false">
      <c r="A20" s="12" t="str">
        <f aca="false">TEXT(Setup!$C$5+357,"dddd")</f>
        <v>Monday</v>
      </c>
      <c r="B20" s="13" t="n">
        <f aca="false">Setup!$C$5+357</f>
        <v>46384</v>
      </c>
      <c r="C20" s="12" t="s">
        <v>104</v>
      </c>
      <c r="D20" s="14"/>
      <c r="E20" s="14"/>
      <c r="F20" s="14"/>
      <c r="G20" s="14"/>
      <c r="H20" s="15"/>
      <c r="I20" s="16"/>
      <c r="J20" s="17"/>
      <c r="K20" s="15"/>
      <c r="L20" s="18"/>
      <c r="M20" s="15"/>
      <c r="N20" s="17"/>
      <c r="O20" s="19"/>
      <c r="P20" s="20" t="n">
        <f aca="false">IFERROR(H20/Setup!$C$6,"")</f>
        <v>0</v>
      </c>
      <c r="Q20" s="20" t="n">
        <f aca="false">IFERROR(H20-P20,"")</f>
        <v>0</v>
      </c>
      <c r="R20" s="17"/>
      <c r="S20" s="16"/>
    </row>
    <row r="21" customFormat="false" ht="15" hidden="false" customHeight="false" outlineLevel="0" collapsed="false">
      <c r="A21" s="12" t="str">
        <f aca="false">TEXT(Setup!$C$5+357,"dddd")</f>
        <v>Monday</v>
      </c>
      <c r="B21" s="13" t="n">
        <f aca="false">Setup!$C$5+357</f>
        <v>46384</v>
      </c>
      <c r="C21" s="12" t="s">
        <v>105</v>
      </c>
      <c r="D21" s="14"/>
      <c r="E21" s="14"/>
      <c r="F21" s="14"/>
      <c r="G21" s="14"/>
      <c r="H21" s="15"/>
      <c r="I21" s="16"/>
      <c r="J21" s="17"/>
      <c r="K21" s="15"/>
      <c r="L21" s="18"/>
      <c r="M21" s="15"/>
      <c r="N21" s="17"/>
      <c r="O21" s="19"/>
      <c r="P21" s="20" t="n">
        <f aca="false">IFERROR(H21/Setup!$C$6,"")</f>
        <v>0</v>
      </c>
      <c r="Q21" s="20" t="n">
        <f aca="false">IFERROR(H21-P21,"")</f>
        <v>0</v>
      </c>
      <c r="R21" s="17"/>
      <c r="S21" s="16"/>
    </row>
    <row r="22" customFormat="false" ht="15" hidden="false" customHeight="false" outlineLevel="0" collapsed="false">
      <c r="A22" s="12" t="str">
        <f aca="false">TEXT(Setup!$C$5+357,"dddd")</f>
        <v>Monday</v>
      </c>
      <c r="B22" s="13" t="n">
        <f aca="false">Setup!$C$5+357</f>
        <v>46384</v>
      </c>
      <c r="C22" s="21" t="s">
        <v>106</v>
      </c>
      <c r="D22" s="14"/>
      <c r="E22" s="14"/>
      <c r="F22" s="14"/>
      <c r="G22" s="14"/>
      <c r="H22" s="15"/>
      <c r="I22" s="16"/>
      <c r="J22" s="17"/>
      <c r="K22" s="15"/>
      <c r="L22" s="18"/>
      <c r="M22" s="15"/>
      <c r="N22" s="17"/>
      <c r="O22" s="19"/>
      <c r="P22" s="20" t="n">
        <f aca="false">IFERROR(H22/Setup!$C$6,"")</f>
        <v>0</v>
      </c>
      <c r="Q22" s="20" t="n">
        <f aca="false">IFERROR(H22-P22,"")</f>
        <v>0</v>
      </c>
      <c r="R22" s="17"/>
      <c r="S22" s="16"/>
    </row>
    <row r="23" customFormat="false" ht="15" hidden="false" customHeight="false" outlineLevel="0" collapsed="false">
      <c r="A23" s="22" t="str">
        <f aca="false">TEXT(Setup!$C$5+357,"dddd")</f>
        <v>Monday</v>
      </c>
      <c r="B23" s="23" t="n">
        <f aca="false">Setup!$C$5+357</f>
        <v>46384</v>
      </c>
      <c r="C23" s="22" t="s">
        <v>107</v>
      </c>
      <c r="D23" s="24" t="n">
        <f aca="false">SUM(D2:D22)</f>
        <v>0</v>
      </c>
      <c r="E23" s="24" t="n">
        <f aca="false">SUM(E2:E22)</f>
        <v>0</v>
      </c>
      <c r="F23" s="24" t="n">
        <f aca="false">SUM(F2:F22)</f>
        <v>0</v>
      </c>
      <c r="G23" s="24" t="n">
        <f aca="false">SUM(G2:G22)</f>
        <v>0</v>
      </c>
      <c r="H23" s="25" t="n">
        <f aca="false">SUM(H2:H22)</f>
        <v>0</v>
      </c>
      <c r="I23" s="26" t="str">
        <f aca="false">IFERROR(E23/D23,"")</f>
        <v/>
      </c>
      <c r="J23" s="25" t="str">
        <f aca="false">IFERROR(H23/E23,"")</f>
        <v/>
      </c>
      <c r="K23" s="25" t="n">
        <f aca="false">SUM(K2:K22)</f>
        <v>0</v>
      </c>
      <c r="L23" s="22"/>
      <c r="M23" s="25" t="n">
        <f aca="false">SUM(M2:M22)</f>
        <v>0</v>
      </c>
      <c r="N23" s="25" t="n">
        <f aca="false">IFERROR(H23-Wk51!H23,"")</f>
        <v>0</v>
      </c>
      <c r="O23" s="24" t="n">
        <f aca="false">IFERROR(D23-Wk51!D23,"")</f>
        <v>0</v>
      </c>
      <c r="P23" s="25" t="n">
        <f aca="false">SUM(P2:P22)</f>
        <v>0</v>
      </c>
      <c r="Q23" s="25" t="n">
        <f aca="false">SUM(Q2:Q22)</f>
        <v>0</v>
      </c>
      <c r="R23" s="25" t="n">
        <f aca="false">IFERROR(INDEX('Last Year'!$C$6:$C$369,MATCH(B23-364,'Last Year'!$B$6:$B$369,0)),"")</f>
        <v>0</v>
      </c>
      <c r="S23" s="26" t="str">
        <f aca="false">IFERROR(H23/R23-1,"")</f>
        <v/>
      </c>
    </row>
    <row r="24" customFormat="false" ht="15" hidden="false" customHeight="false" outlineLevel="0" collapsed="false">
      <c r="A24" s="12" t="str">
        <f aca="false">TEXT(Setup!$C$5+358,"dddd")</f>
        <v>Tuesday</v>
      </c>
      <c r="B24" s="13" t="n">
        <f aca="false">Setup!$C$5+358</f>
        <v>46385</v>
      </c>
      <c r="C24" s="12" t="s">
        <v>86</v>
      </c>
      <c r="D24" s="14"/>
      <c r="E24" s="14"/>
      <c r="F24" s="14"/>
      <c r="G24" s="14"/>
      <c r="H24" s="15"/>
      <c r="I24" s="16"/>
      <c r="J24" s="17"/>
      <c r="K24" s="15"/>
      <c r="L24" s="18"/>
      <c r="M24" s="15"/>
      <c r="N24" s="17"/>
      <c r="O24" s="19"/>
      <c r="P24" s="20" t="n">
        <f aca="false">IFERROR(H24/Setup!$C$6,"")</f>
        <v>0</v>
      </c>
      <c r="Q24" s="20" t="n">
        <f aca="false">IFERROR(H24-P24,"")</f>
        <v>0</v>
      </c>
      <c r="R24" s="17"/>
      <c r="S24" s="16"/>
    </row>
    <row r="25" customFormat="false" ht="15" hidden="false" customHeight="false" outlineLevel="0" collapsed="false">
      <c r="A25" s="12" t="str">
        <f aca="false">TEXT(Setup!$C$5+358,"dddd")</f>
        <v>Tuesday</v>
      </c>
      <c r="B25" s="13" t="n">
        <f aca="false">Setup!$C$5+358</f>
        <v>46385</v>
      </c>
      <c r="C25" s="12" t="s">
        <v>87</v>
      </c>
      <c r="D25" s="14"/>
      <c r="E25" s="14"/>
      <c r="F25" s="14"/>
      <c r="G25" s="14"/>
      <c r="H25" s="15"/>
      <c r="I25" s="16"/>
      <c r="J25" s="17"/>
      <c r="K25" s="15"/>
      <c r="L25" s="18"/>
      <c r="M25" s="15"/>
      <c r="N25" s="17"/>
      <c r="O25" s="19"/>
      <c r="P25" s="20" t="n">
        <f aca="false">IFERROR(H25/Setup!$C$6,"")</f>
        <v>0</v>
      </c>
      <c r="Q25" s="20" t="n">
        <f aca="false">IFERROR(H25-P25,"")</f>
        <v>0</v>
      </c>
      <c r="R25" s="17"/>
      <c r="S25" s="16"/>
    </row>
    <row r="26" customFormat="false" ht="15" hidden="false" customHeight="false" outlineLevel="0" collapsed="false">
      <c r="A26" s="12" t="str">
        <f aca="false">TEXT(Setup!$C$5+358,"dddd")</f>
        <v>Tuesday</v>
      </c>
      <c r="B26" s="13" t="n">
        <f aca="false">Setup!$C$5+358</f>
        <v>46385</v>
      </c>
      <c r="C26" s="12" t="s">
        <v>88</v>
      </c>
      <c r="D26" s="14"/>
      <c r="E26" s="14"/>
      <c r="F26" s="14"/>
      <c r="G26" s="14"/>
      <c r="H26" s="15"/>
      <c r="I26" s="16"/>
      <c r="J26" s="17"/>
      <c r="K26" s="15"/>
      <c r="L26" s="18"/>
      <c r="M26" s="15"/>
      <c r="N26" s="17"/>
      <c r="O26" s="19"/>
      <c r="P26" s="20" t="n">
        <f aca="false">IFERROR(H26/Setup!$C$6,"")</f>
        <v>0</v>
      </c>
      <c r="Q26" s="20" t="n">
        <f aca="false">IFERROR(H26-P26,"")</f>
        <v>0</v>
      </c>
      <c r="R26" s="17"/>
      <c r="S26" s="16"/>
    </row>
    <row r="27" customFormat="false" ht="15" hidden="false" customHeight="false" outlineLevel="0" collapsed="false">
      <c r="A27" s="12" t="str">
        <f aca="false">TEXT(Setup!$C$5+358,"dddd")</f>
        <v>Tuesday</v>
      </c>
      <c r="B27" s="13" t="n">
        <f aca="false">Setup!$C$5+358</f>
        <v>46385</v>
      </c>
      <c r="C27" s="12" t="s">
        <v>89</v>
      </c>
      <c r="D27" s="14"/>
      <c r="E27" s="14"/>
      <c r="F27" s="14"/>
      <c r="G27" s="14"/>
      <c r="H27" s="15"/>
      <c r="I27" s="16"/>
      <c r="J27" s="17"/>
      <c r="K27" s="15"/>
      <c r="L27" s="18"/>
      <c r="M27" s="15"/>
      <c r="N27" s="17"/>
      <c r="O27" s="19"/>
      <c r="P27" s="20" t="n">
        <f aca="false">IFERROR(H27/Setup!$C$6,"")</f>
        <v>0</v>
      </c>
      <c r="Q27" s="20" t="n">
        <f aca="false">IFERROR(H27-P27,"")</f>
        <v>0</v>
      </c>
      <c r="R27" s="17"/>
      <c r="S27" s="16"/>
    </row>
    <row r="28" customFormat="false" ht="15" hidden="false" customHeight="false" outlineLevel="0" collapsed="false">
      <c r="A28" s="12" t="str">
        <f aca="false">TEXT(Setup!$C$5+358,"dddd")</f>
        <v>Tuesday</v>
      </c>
      <c r="B28" s="13" t="n">
        <f aca="false">Setup!$C$5+358</f>
        <v>46385</v>
      </c>
      <c r="C28" s="12" t="s">
        <v>90</v>
      </c>
      <c r="D28" s="14"/>
      <c r="E28" s="14"/>
      <c r="F28" s="14"/>
      <c r="G28" s="14"/>
      <c r="H28" s="15"/>
      <c r="I28" s="16"/>
      <c r="J28" s="17"/>
      <c r="K28" s="15"/>
      <c r="L28" s="18"/>
      <c r="M28" s="15"/>
      <c r="N28" s="17"/>
      <c r="O28" s="19"/>
      <c r="P28" s="20" t="n">
        <f aca="false">IFERROR(H28/Setup!$C$6,"")</f>
        <v>0</v>
      </c>
      <c r="Q28" s="20" t="n">
        <f aca="false">IFERROR(H28-P28,"")</f>
        <v>0</v>
      </c>
      <c r="R28" s="17"/>
      <c r="S28" s="16"/>
    </row>
    <row r="29" customFormat="false" ht="15" hidden="false" customHeight="false" outlineLevel="0" collapsed="false">
      <c r="A29" s="12" t="str">
        <f aca="false">TEXT(Setup!$C$5+358,"dddd")</f>
        <v>Tuesday</v>
      </c>
      <c r="B29" s="13" t="n">
        <f aca="false">Setup!$C$5+358</f>
        <v>46385</v>
      </c>
      <c r="C29" s="12" t="s">
        <v>91</v>
      </c>
      <c r="D29" s="14"/>
      <c r="E29" s="14"/>
      <c r="F29" s="14"/>
      <c r="G29" s="14"/>
      <c r="H29" s="15"/>
      <c r="I29" s="16"/>
      <c r="J29" s="17"/>
      <c r="K29" s="15"/>
      <c r="L29" s="18"/>
      <c r="M29" s="15"/>
      <c r="N29" s="17"/>
      <c r="O29" s="19"/>
      <c r="P29" s="20" t="n">
        <f aca="false">IFERROR(H29/Setup!$C$6,"")</f>
        <v>0</v>
      </c>
      <c r="Q29" s="20" t="n">
        <f aca="false">IFERROR(H29-P29,"")</f>
        <v>0</v>
      </c>
      <c r="R29" s="17"/>
      <c r="S29" s="16"/>
    </row>
    <row r="30" customFormat="false" ht="15" hidden="false" customHeight="false" outlineLevel="0" collapsed="false">
      <c r="A30" s="12" t="str">
        <f aca="false">TEXT(Setup!$C$5+358,"dddd")</f>
        <v>Tuesday</v>
      </c>
      <c r="B30" s="13" t="n">
        <f aca="false">Setup!$C$5+358</f>
        <v>46385</v>
      </c>
      <c r="C30" s="12" t="s">
        <v>92</v>
      </c>
      <c r="D30" s="14"/>
      <c r="E30" s="14"/>
      <c r="F30" s="14"/>
      <c r="G30" s="14"/>
      <c r="H30" s="15"/>
      <c r="I30" s="16"/>
      <c r="J30" s="17"/>
      <c r="K30" s="15"/>
      <c r="L30" s="18"/>
      <c r="M30" s="15"/>
      <c r="N30" s="17"/>
      <c r="O30" s="19"/>
      <c r="P30" s="20" t="n">
        <f aca="false">IFERROR(H30/Setup!$C$6,"")</f>
        <v>0</v>
      </c>
      <c r="Q30" s="20" t="n">
        <f aca="false">IFERROR(H30-P30,"")</f>
        <v>0</v>
      </c>
      <c r="R30" s="17"/>
      <c r="S30" s="16"/>
    </row>
    <row r="31" customFormat="false" ht="15" hidden="false" customHeight="false" outlineLevel="0" collapsed="false">
      <c r="A31" s="12" t="str">
        <f aca="false">TEXT(Setup!$C$5+358,"dddd")</f>
        <v>Tuesday</v>
      </c>
      <c r="B31" s="13" t="n">
        <f aca="false">Setup!$C$5+358</f>
        <v>46385</v>
      </c>
      <c r="C31" s="12" t="s">
        <v>93</v>
      </c>
      <c r="D31" s="14"/>
      <c r="E31" s="14"/>
      <c r="F31" s="14"/>
      <c r="G31" s="14"/>
      <c r="H31" s="15"/>
      <c r="I31" s="16"/>
      <c r="J31" s="17"/>
      <c r="K31" s="15"/>
      <c r="L31" s="18"/>
      <c r="M31" s="15"/>
      <c r="N31" s="17"/>
      <c r="O31" s="19"/>
      <c r="P31" s="20" t="n">
        <f aca="false">IFERROR(H31/Setup!$C$6,"")</f>
        <v>0</v>
      </c>
      <c r="Q31" s="20" t="n">
        <f aca="false">IFERROR(H31-P31,"")</f>
        <v>0</v>
      </c>
      <c r="R31" s="17"/>
      <c r="S31" s="16"/>
    </row>
    <row r="32" customFormat="false" ht="15" hidden="false" customHeight="false" outlineLevel="0" collapsed="false">
      <c r="A32" s="12" t="str">
        <f aca="false">TEXT(Setup!$C$5+358,"dddd")</f>
        <v>Tuesday</v>
      </c>
      <c r="B32" s="13" t="n">
        <f aca="false">Setup!$C$5+358</f>
        <v>46385</v>
      </c>
      <c r="C32" s="12" t="s">
        <v>94</v>
      </c>
      <c r="D32" s="14"/>
      <c r="E32" s="14"/>
      <c r="F32" s="14"/>
      <c r="G32" s="14"/>
      <c r="H32" s="15"/>
      <c r="I32" s="16"/>
      <c r="J32" s="17"/>
      <c r="K32" s="15"/>
      <c r="L32" s="18"/>
      <c r="M32" s="15"/>
      <c r="N32" s="17"/>
      <c r="O32" s="19"/>
      <c r="P32" s="20" t="n">
        <f aca="false">IFERROR(H32/Setup!$C$6,"")</f>
        <v>0</v>
      </c>
      <c r="Q32" s="20" t="n">
        <f aca="false">IFERROR(H32-P32,"")</f>
        <v>0</v>
      </c>
      <c r="R32" s="17"/>
      <c r="S32" s="16"/>
    </row>
    <row r="33" customFormat="false" ht="15" hidden="false" customHeight="false" outlineLevel="0" collapsed="false">
      <c r="A33" s="12" t="str">
        <f aca="false">TEXT(Setup!$C$5+358,"dddd")</f>
        <v>Tuesday</v>
      </c>
      <c r="B33" s="13" t="n">
        <f aca="false">Setup!$C$5+358</f>
        <v>46385</v>
      </c>
      <c r="C33" s="12" t="s">
        <v>95</v>
      </c>
      <c r="D33" s="14"/>
      <c r="E33" s="14"/>
      <c r="F33" s="14"/>
      <c r="G33" s="14"/>
      <c r="H33" s="15"/>
      <c r="I33" s="16"/>
      <c r="J33" s="17"/>
      <c r="K33" s="15"/>
      <c r="L33" s="18"/>
      <c r="M33" s="15"/>
      <c r="N33" s="17"/>
      <c r="O33" s="19"/>
      <c r="P33" s="20" t="n">
        <f aca="false">IFERROR(H33/Setup!$C$6,"")</f>
        <v>0</v>
      </c>
      <c r="Q33" s="20" t="n">
        <f aca="false">IFERROR(H33-P33,"")</f>
        <v>0</v>
      </c>
      <c r="R33" s="17"/>
      <c r="S33" s="16"/>
    </row>
    <row r="34" customFormat="false" ht="15" hidden="false" customHeight="false" outlineLevel="0" collapsed="false">
      <c r="A34" s="12" t="str">
        <f aca="false">TEXT(Setup!$C$5+358,"dddd")</f>
        <v>Tuesday</v>
      </c>
      <c r="B34" s="13" t="n">
        <f aca="false">Setup!$C$5+358</f>
        <v>46385</v>
      </c>
      <c r="C34" s="12" t="s">
        <v>96</v>
      </c>
      <c r="D34" s="14"/>
      <c r="E34" s="14"/>
      <c r="F34" s="14"/>
      <c r="G34" s="14"/>
      <c r="H34" s="15"/>
      <c r="I34" s="16"/>
      <c r="J34" s="17"/>
      <c r="K34" s="15"/>
      <c r="L34" s="18"/>
      <c r="M34" s="15"/>
      <c r="N34" s="17"/>
      <c r="O34" s="19"/>
      <c r="P34" s="20" t="n">
        <f aca="false">IFERROR(H34/Setup!$C$6,"")</f>
        <v>0</v>
      </c>
      <c r="Q34" s="20" t="n">
        <f aca="false">IFERROR(H34-P34,"")</f>
        <v>0</v>
      </c>
      <c r="R34" s="17"/>
      <c r="S34" s="16"/>
    </row>
    <row r="35" customFormat="false" ht="15" hidden="false" customHeight="false" outlineLevel="0" collapsed="false">
      <c r="A35" s="12" t="str">
        <f aca="false">TEXT(Setup!$C$5+358,"dddd")</f>
        <v>Tuesday</v>
      </c>
      <c r="B35" s="13" t="n">
        <f aca="false">Setup!$C$5+358</f>
        <v>46385</v>
      </c>
      <c r="C35" s="12" t="s">
        <v>97</v>
      </c>
      <c r="D35" s="14"/>
      <c r="E35" s="14"/>
      <c r="F35" s="14"/>
      <c r="G35" s="14"/>
      <c r="H35" s="15"/>
      <c r="I35" s="16"/>
      <c r="J35" s="17"/>
      <c r="K35" s="15"/>
      <c r="L35" s="18"/>
      <c r="M35" s="15"/>
      <c r="N35" s="17"/>
      <c r="O35" s="19"/>
      <c r="P35" s="20" t="n">
        <f aca="false">IFERROR(H35/Setup!$C$6,"")</f>
        <v>0</v>
      </c>
      <c r="Q35" s="20" t="n">
        <f aca="false">IFERROR(H35-P35,"")</f>
        <v>0</v>
      </c>
      <c r="R35" s="17"/>
      <c r="S35" s="16"/>
    </row>
    <row r="36" customFormat="false" ht="15" hidden="false" customHeight="false" outlineLevel="0" collapsed="false">
      <c r="A36" s="12" t="str">
        <f aca="false">TEXT(Setup!$C$5+358,"dddd")</f>
        <v>Tuesday</v>
      </c>
      <c r="B36" s="13" t="n">
        <f aca="false">Setup!$C$5+358</f>
        <v>46385</v>
      </c>
      <c r="C36" s="12" t="s">
        <v>98</v>
      </c>
      <c r="D36" s="14"/>
      <c r="E36" s="14"/>
      <c r="F36" s="14"/>
      <c r="G36" s="14"/>
      <c r="H36" s="15"/>
      <c r="I36" s="16"/>
      <c r="J36" s="17"/>
      <c r="K36" s="15"/>
      <c r="L36" s="18"/>
      <c r="M36" s="15"/>
      <c r="N36" s="17"/>
      <c r="O36" s="19"/>
      <c r="P36" s="20" t="n">
        <f aca="false">IFERROR(H36/Setup!$C$6,"")</f>
        <v>0</v>
      </c>
      <c r="Q36" s="20" t="n">
        <f aca="false">IFERROR(H36-P36,"")</f>
        <v>0</v>
      </c>
      <c r="R36" s="17"/>
      <c r="S36" s="16"/>
    </row>
    <row r="37" customFormat="false" ht="15" hidden="false" customHeight="false" outlineLevel="0" collapsed="false">
      <c r="A37" s="12" t="str">
        <f aca="false">TEXT(Setup!$C$5+358,"dddd")</f>
        <v>Tuesday</v>
      </c>
      <c r="B37" s="13" t="n">
        <f aca="false">Setup!$C$5+358</f>
        <v>46385</v>
      </c>
      <c r="C37" s="12" t="s">
        <v>99</v>
      </c>
      <c r="D37" s="14"/>
      <c r="E37" s="14"/>
      <c r="F37" s="14"/>
      <c r="G37" s="14"/>
      <c r="H37" s="15"/>
      <c r="I37" s="16"/>
      <c r="J37" s="17"/>
      <c r="K37" s="15"/>
      <c r="L37" s="18"/>
      <c r="M37" s="15"/>
      <c r="N37" s="17"/>
      <c r="O37" s="19"/>
      <c r="P37" s="20" t="n">
        <f aca="false">IFERROR(H37/Setup!$C$6,"")</f>
        <v>0</v>
      </c>
      <c r="Q37" s="20" t="n">
        <f aca="false">IFERROR(H37-P37,"")</f>
        <v>0</v>
      </c>
      <c r="R37" s="17"/>
      <c r="S37" s="16"/>
    </row>
    <row r="38" customFormat="false" ht="15" hidden="false" customHeight="false" outlineLevel="0" collapsed="false">
      <c r="A38" s="12" t="str">
        <f aca="false">TEXT(Setup!$C$5+358,"dddd")</f>
        <v>Tuesday</v>
      </c>
      <c r="B38" s="13" t="n">
        <f aca="false">Setup!$C$5+358</f>
        <v>46385</v>
      </c>
      <c r="C38" s="12" t="s">
        <v>100</v>
      </c>
      <c r="D38" s="14"/>
      <c r="E38" s="14"/>
      <c r="F38" s="14"/>
      <c r="G38" s="14"/>
      <c r="H38" s="15"/>
      <c r="I38" s="16"/>
      <c r="J38" s="17"/>
      <c r="K38" s="15"/>
      <c r="L38" s="18"/>
      <c r="M38" s="15"/>
      <c r="N38" s="17"/>
      <c r="O38" s="19"/>
      <c r="P38" s="20" t="n">
        <f aca="false">IFERROR(H38/Setup!$C$6,"")</f>
        <v>0</v>
      </c>
      <c r="Q38" s="20" t="n">
        <f aca="false">IFERROR(H38-P38,"")</f>
        <v>0</v>
      </c>
      <c r="R38" s="17"/>
      <c r="S38" s="16"/>
    </row>
    <row r="39" customFormat="false" ht="15" hidden="false" customHeight="false" outlineLevel="0" collapsed="false">
      <c r="A39" s="12" t="str">
        <f aca="false">TEXT(Setup!$C$5+358,"dddd")</f>
        <v>Tuesday</v>
      </c>
      <c r="B39" s="13" t="n">
        <f aca="false">Setup!$C$5+358</f>
        <v>46385</v>
      </c>
      <c r="C39" s="12" t="s">
        <v>101</v>
      </c>
      <c r="D39" s="14"/>
      <c r="E39" s="14"/>
      <c r="F39" s="14"/>
      <c r="G39" s="14"/>
      <c r="H39" s="15"/>
      <c r="I39" s="16"/>
      <c r="J39" s="17"/>
      <c r="K39" s="15"/>
      <c r="L39" s="18"/>
      <c r="M39" s="15"/>
      <c r="N39" s="17"/>
      <c r="O39" s="19"/>
      <c r="P39" s="20" t="n">
        <f aca="false">IFERROR(H39/Setup!$C$6,"")</f>
        <v>0</v>
      </c>
      <c r="Q39" s="20" t="n">
        <f aca="false">IFERROR(H39-P39,"")</f>
        <v>0</v>
      </c>
      <c r="R39" s="17"/>
      <c r="S39" s="16"/>
    </row>
    <row r="40" customFormat="false" ht="15" hidden="false" customHeight="false" outlineLevel="0" collapsed="false">
      <c r="A40" s="12" t="str">
        <f aca="false">TEXT(Setup!$C$5+358,"dddd")</f>
        <v>Tuesday</v>
      </c>
      <c r="B40" s="13" t="n">
        <f aca="false">Setup!$C$5+358</f>
        <v>46385</v>
      </c>
      <c r="C40" s="12" t="s">
        <v>102</v>
      </c>
      <c r="D40" s="14"/>
      <c r="E40" s="14"/>
      <c r="F40" s="14"/>
      <c r="G40" s="14"/>
      <c r="H40" s="15"/>
      <c r="I40" s="16"/>
      <c r="J40" s="17"/>
      <c r="K40" s="15"/>
      <c r="L40" s="18"/>
      <c r="M40" s="15"/>
      <c r="N40" s="17"/>
      <c r="O40" s="19"/>
      <c r="P40" s="20" t="n">
        <f aca="false">IFERROR(H40/Setup!$C$6,"")</f>
        <v>0</v>
      </c>
      <c r="Q40" s="20" t="n">
        <f aca="false">IFERROR(H40-P40,"")</f>
        <v>0</v>
      </c>
      <c r="R40" s="17"/>
      <c r="S40" s="16"/>
    </row>
    <row r="41" customFormat="false" ht="15" hidden="false" customHeight="false" outlineLevel="0" collapsed="false">
      <c r="A41" s="12" t="str">
        <f aca="false">TEXT(Setup!$C$5+358,"dddd")</f>
        <v>Tuesday</v>
      </c>
      <c r="B41" s="13" t="n">
        <f aca="false">Setup!$C$5+358</f>
        <v>46385</v>
      </c>
      <c r="C41" s="12" t="s">
        <v>103</v>
      </c>
      <c r="D41" s="14"/>
      <c r="E41" s="14"/>
      <c r="F41" s="14"/>
      <c r="G41" s="14"/>
      <c r="H41" s="15"/>
      <c r="I41" s="16"/>
      <c r="J41" s="17"/>
      <c r="K41" s="15"/>
      <c r="L41" s="18"/>
      <c r="M41" s="15"/>
      <c r="N41" s="17"/>
      <c r="O41" s="19"/>
      <c r="P41" s="20" t="n">
        <f aca="false">IFERROR(H41/Setup!$C$6,"")</f>
        <v>0</v>
      </c>
      <c r="Q41" s="20" t="n">
        <f aca="false">IFERROR(H41-P41,"")</f>
        <v>0</v>
      </c>
      <c r="R41" s="17"/>
      <c r="S41" s="16"/>
    </row>
    <row r="42" customFormat="false" ht="15" hidden="false" customHeight="false" outlineLevel="0" collapsed="false">
      <c r="A42" s="12" t="str">
        <f aca="false">TEXT(Setup!$C$5+358,"dddd")</f>
        <v>Tuesday</v>
      </c>
      <c r="B42" s="13" t="n">
        <f aca="false">Setup!$C$5+358</f>
        <v>46385</v>
      </c>
      <c r="C42" s="12" t="s">
        <v>104</v>
      </c>
      <c r="D42" s="14"/>
      <c r="E42" s="14"/>
      <c r="F42" s="14"/>
      <c r="G42" s="14"/>
      <c r="H42" s="15"/>
      <c r="I42" s="16"/>
      <c r="J42" s="17"/>
      <c r="K42" s="15"/>
      <c r="L42" s="18"/>
      <c r="M42" s="15"/>
      <c r="N42" s="17"/>
      <c r="O42" s="19"/>
      <c r="P42" s="20" t="n">
        <f aca="false">IFERROR(H42/Setup!$C$6,"")</f>
        <v>0</v>
      </c>
      <c r="Q42" s="20" t="n">
        <f aca="false">IFERROR(H42-P42,"")</f>
        <v>0</v>
      </c>
      <c r="R42" s="17"/>
      <c r="S42" s="16"/>
    </row>
    <row r="43" customFormat="false" ht="15" hidden="false" customHeight="false" outlineLevel="0" collapsed="false">
      <c r="A43" s="12" t="str">
        <f aca="false">TEXT(Setup!$C$5+358,"dddd")</f>
        <v>Tuesday</v>
      </c>
      <c r="B43" s="13" t="n">
        <f aca="false">Setup!$C$5+358</f>
        <v>46385</v>
      </c>
      <c r="C43" s="12" t="s">
        <v>105</v>
      </c>
      <c r="D43" s="14"/>
      <c r="E43" s="14"/>
      <c r="F43" s="14"/>
      <c r="G43" s="14"/>
      <c r="H43" s="15"/>
      <c r="I43" s="16"/>
      <c r="J43" s="17"/>
      <c r="K43" s="15"/>
      <c r="L43" s="18"/>
      <c r="M43" s="15"/>
      <c r="N43" s="17"/>
      <c r="O43" s="19"/>
      <c r="P43" s="20" t="n">
        <f aca="false">IFERROR(H43/Setup!$C$6,"")</f>
        <v>0</v>
      </c>
      <c r="Q43" s="20" t="n">
        <f aca="false">IFERROR(H43-P43,"")</f>
        <v>0</v>
      </c>
      <c r="R43" s="17"/>
      <c r="S43" s="16"/>
    </row>
    <row r="44" customFormat="false" ht="15" hidden="false" customHeight="false" outlineLevel="0" collapsed="false">
      <c r="A44" s="12" t="str">
        <f aca="false">TEXT(Setup!$C$5+358,"dddd")</f>
        <v>Tuesday</v>
      </c>
      <c r="B44" s="13" t="n">
        <f aca="false">Setup!$C$5+358</f>
        <v>46385</v>
      </c>
      <c r="C44" s="21" t="s">
        <v>106</v>
      </c>
      <c r="D44" s="14"/>
      <c r="E44" s="14"/>
      <c r="F44" s="14"/>
      <c r="G44" s="14"/>
      <c r="H44" s="15"/>
      <c r="I44" s="16"/>
      <c r="J44" s="17"/>
      <c r="K44" s="15"/>
      <c r="L44" s="18"/>
      <c r="M44" s="15"/>
      <c r="N44" s="17"/>
      <c r="O44" s="19"/>
      <c r="P44" s="20" t="n">
        <f aca="false">IFERROR(H44/Setup!$C$6,"")</f>
        <v>0</v>
      </c>
      <c r="Q44" s="20" t="n">
        <f aca="false">IFERROR(H44-P44,"")</f>
        <v>0</v>
      </c>
      <c r="R44" s="17"/>
      <c r="S44" s="16"/>
    </row>
    <row r="45" customFormat="false" ht="15" hidden="false" customHeight="false" outlineLevel="0" collapsed="false">
      <c r="A45" s="22" t="str">
        <f aca="false">TEXT(Setup!$C$5+358,"dddd")</f>
        <v>Tuesday</v>
      </c>
      <c r="B45" s="23" t="n">
        <f aca="false">Setup!$C$5+358</f>
        <v>46385</v>
      </c>
      <c r="C45" s="22" t="s">
        <v>107</v>
      </c>
      <c r="D45" s="24" t="n">
        <f aca="false">SUM(D24:D44)</f>
        <v>0</v>
      </c>
      <c r="E45" s="24" t="n">
        <f aca="false">SUM(E24:E44)</f>
        <v>0</v>
      </c>
      <c r="F45" s="24" t="n">
        <f aca="false">SUM(F24:F44)</f>
        <v>0</v>
      </c>
      <c r="G45" s="24" t="n">
        <f aca="false">SUM(G24:G44)</f>
        <v>0</v>
      </c>
      <c r="H45" s="25" t="n">
        <f aca="false">SUM(H24:H44)</f>
        <v>0</v>
      </c>
      <c r="I45" s="26" t="str">
        <f aca="false">IFERROR(E45/D45,"")</f>
        <v/>
      </c>
      <c r="J45" s="25" t="str">
        <f aca="false">IFERROR(H45/E45,"")</f>
        <v/>
      </c>
      <c r="K45" s="25" t="n">
        <f aca="false">SUM(K24:K44)</f>
        <v>0</v>
      </c>
      <c r="L45" s="22"/>
      <c r="M45" s="25" t="n">
        <f aca="false">SUM(M24:M44)</f>
        <v>0</v>
      </c>
      <c r="N45" s="25" t="n">
        <f aca="false">IFERROR(H45-Wk51!H45,"")</f>
        <v>0</v>
      </c>
      <c r="O45" s="24" t="n">
        <f aca="false">IFERROR(D45-Wk51!D45,"")</f>
        <v>0</v>
      </c>
      <c r="P45" s="25" t="n">
        <f aca="false">SUM(P24:P44)</f>
        <v>0</v>
      </c>
      <c r="Q45" s="25" t="n">
        <f aca="false">SUM(Q24:Q44)</f>
        <v>0</v>
      </c>
      <c r="R45" s="25" t="n">
        <f aca="false">IFERROR(INDEX('Last Year'!$C$6:$C$369,MATCH(B45-364,'Last Year'!$B$6:$B$369,0)),"")</f>
        <v>0</v>
      </c>
      <c r="S45" s="26" t="str">
        <f aca="false">IFERROR(H45/R45-1,"")</f>
        <v/>
      </c>
    </row>
    <row r="46" customFormat="false" ht="15" hidden="false" customHeight="false" outlineLevel="0" collapsed="false">
      <c r="A46" s="12" t="str">
        <f aca="false">TEXT(Setup!$C$5+359,"dddd")</f>
        <v>Wednesday</v>
      </c>
      <c r="B46" s="13" t="n">
        <f aca="false">Setup!$C$5+359</f>
        <v>46386</v>
      </c>
      <c r="C46" s="12" t="s">
        <v>86</v>
      </c>
      <c r="D46" s="14"/>
      <c r="E46" s="14"/>
      <c r="F46" s="14"/>
      <c r="G46" s="14"/>
      <c r="H46" s="15"/>
      <c r="I46" s="16"/>
      <c r="J46" s="17"/>
      <c r="K46" s="15"/>
      <c r="L46" s="18"/>
      <c r="M46" s="15"/>
      <c r="N46" s="17"/>
      <c r="O46" s="19"/>
      <c r="P46" s="20" t="n">
        <f aca="false">IFERROR(H46/Setup!$C$6,"")</f>
        <v>0</v>
      </c>
      <c r="Q46" s="20" t="n">
        <f aca="false">IFERROR(H46-P46,"")</f>
        <v>0</v>
      </c>
      <c r="R46" s="17"/>
      <c r="S46" s="16"/>
    </row>
    <row r="47" customFormat="false" ht="15" hidden="false" customHeight="false" outlineLevel="0" collapsed="false">
      <c r="A47" s="12" t="str">
        <f aca="false">TEXT(Setup!$C$5+359,"dddd")</f>
        <v>Wednesday</v>
      </c>
      <c r="B47" s="13" t="n">
        <f aca="false">Setup!$C$5+359</f>
        <v>46386</v>
      </c>
      <c r="C47" s="12" t="s">
        <v>87</v>
      </c>
      <c r="D47" s="14"/>
      <c r="E47" s="14"/>
      <c r="F47" s="14"/>
      <c r="G47" s="14"/>
      <c r="H47" s="15"/>
      <c r="I47" s="16"/>
      <c r="J47" s="17"/>
      <c r="K47" s="15"/>
      <c r="L47" s="18"/>
      <c r="M47" s="15"/>
      <c r="N47" s="17"/>
      <c r="O47" s="19"/>
      <c r="P47" s="20" t="n">
        <f aca="false">IFERROR(H47/Setup!$C$6,"")</f>
        <v>0</v>
      </c>
      <c r="Q47" s="20" t="n">
        <f aca="false">IFERROR(H47-P47,"")</f>
        <v>0</v>
      </c>
      <c r="R47" s="17"/>
      <c r="S47" s="16"/>
    </row>
    <row r="48" customFormat="false" ht="15" hidden="false" customHeight="false" outlineLevel="0" collapsed="false">
      <c r="A48" s="12" t="str">
        <f aca="false">TEXT(Setup!$C$5+359,"dddd")</f>
        <v>Wednesday</v>
      </c>
      <c r="B48" s="13" t="n">
        <f aca="false">Setup!$C$5+359</f>
        <v>46386</v>
      </c>
      <c r="C48" s="12" t="s">
        <v>88</v>
      </c>
      <c r="D48" s="14"/>
      <c r="E48" s="14"/>
      <c r="F48" s="14"/>
      <c r="G48" s="14"/>
      <c r="H48" s="15"/>
      <c r="I48" s="16"/>
      <c r="J48" s="17"/>
      <c r="K48" s="15"/>
      <c r="L48" s="18"/>
      <c r="M48" s="15"/>
      <c r="N48" s="17"/>
      <c r="O48" s="19"/>
      <c r="P48" s="20" t="n">
        <f aca="false">IFERROR(H48/Setup!$C$6,"")</f>
        <v>0</v>
      </c>
      <c r="Q48" s="20" t="n">
        <f aca="false">IFERROR(H48-P48,"")</f>
        <v>0</v>
      </c>
      <c r="R48" s="17"/>
      <c r="S48" s="16"/>
    </row>
    <row r="49" customFormat="false" ht="15" hidden="false" customHeight="false" outlineLevel="0" collapsed="false">
      <c r="A49" s="12" t="str">
        <f aca="false">TEXT(Setup!$C$5+359,"dddd")</f>
        <v>Wednesday</v>
      </c>
      <c r="B49" s="13" t="n">
        <f aca="false">Setup!$C$5+359</f>
        <v>46386</v>
      </c>
      <c r="C49" s="12" t="s">
        <v>89</v>
      </c>
      <c r="D49" s="14"/>
      <c r="E49" s="14"/>
      <c r="F49" s="14"/>
      <c r="G49" s="14"/>
      <c r="H49" s="15"/>
      <c r="I49" s="16"/>
      <c r="J49" s="17"/>
      <c r="K49" s="15"/>
      <c r="L49" s="18"/>
      <c r="M49" s="15"/>
      <c r="N49" s="17"/>
      <c r="O49" s="19"/>
      <c r="P49" s="20" t="n">
        <f aca="false">IFERROR(H49/Setup!$C$6,"")</f>
        <v>0</v>
      </c>
      <c r="Q49" s="20" t="n">
        <f aca="false">IFERROR(H49-P49,"")</f>
        <v>0</v>
      </c>
      <c r="R49" s="17"/>
      <c r="S49" s="16"/>
    </row>
    <row r="50" customFormat="false" ht="15" hidden="false" customHeight="false" outlineLevel="0" collapsed="false">
      <c r="A50" s="12" t="str">
        <f aca="false">TEXT(Setup!$C$5+359,"dddd")</f>
        <v>Wednesday</v>
      </c>
      <c r="B50" s="13" t="n">
        <f aca="false">Setup!$C$5+359</f>
        <v>46386</v>
      </c>
      <c r="C50" s="12" t="s">
        <v>90</v>
      </c>
      <c r="D50" s="14"/>
      <c r="E50" s="14"/>
      <c r="F50" s="14"/>
      <c r="G50" s="14"/>
      <c r="H50" s="15"/>
      <c r="I50" s="16"/>
      <c r="J50" s="17"/>
      <c r="K50" s="15"/>
      <c r="L50" s="18"/>
      <c r="M50" s="15"/>
      <c r="N50" s="17"/>
      <c r="O50" s="19"/>
      <c r="P50" s="20" t="n">
        <f aca="false">IFERROR(H50/Setup!$C$6,"")</f>
        <v>0</v>
      </c>
      <c r="Q50" s="20" t="n">
        <f aca="false">IFERROR(H50-P50,"")</f>
        <v>0</v>
      </c>
      <c r="R50" s="17"/>
      <c r="S50" s="16"/>
    </row>
    <row r="51" customFormat="false" ht="15" hidden="false" customHeight="false" outlineLevel="0" collapsed="false">
      <c r="A51" s="12" t="str">
        <f aca="false">TEXT(Setup!$C$5+359,"dddd")</f>
        <v>Wednesday</v>
      </c>
      <c r="B51" s="13" t="n">
        <f aca="false">Setup!$C$5+359</f>
        <v>46386</v>
      </c>
      <c r="C51" s="12" t="s">
        <v>91</v>
      </c>
      <c r="D51" s="14"/>
      <c r="E51" s="14"/>
      <c r="F51" s="14"/>
      <c r="G51" s="14"/>
      <c r="H51" s="15"/>
      <c r="I51" s="16"/>
      <c r="J51" s="17"/>
      <c r="K51" s="15"/>
      <c r="L51" s="18"/>
      <c r="M51" s="15"/>
      <c r="N51" s="17"/>
      <c r="O51" s="19"/>
      <c r="P51" s="20" t="n">
        <f aca="false">IFERROR(H51/Setup!$C$6,"")</f>
        <v>0</v>
      </c>
      <c r="Q51" s="20" t="n">
        <f aca="false">IFERROR(H51-P51,"")</f>
        <v>0</v>
      </c>
      <c r="R51" s="17"/>
      <c r="S51" s="16"/>
    </row>
    <row r="52" customFormat="false" ht="15" hidden="false" customHeight="false" outlineLevel="0" collapsed="false">
      <c r="A52" s="12" t="str">
        <f aca="false">TEXT(Setup!$C$5+359,"dddd")</f>
        <v>Wednesday</v>
      </c>
      <c r="B52" s="13" t="n">
        <f aca="false">Setup!$C$5+359</f>
        <v>46386</v>
      </c>
      <c r="C52" s="12" t="s">
        <v>92</v>
      </c>
      <c r="D52" s="14"/>
      <c r="E52" s="14"/>
      <c r="F52" s="14"/>
      <c r="G52" s="14"/>
      <c r="H52" s="15"/>
      <c r="I52" s="16"/>
      <c r="J52" s="17"/>
      <c r="K52" s="15"/>
      <c r="L52" s="18"/>
      <c r="M52" s="15"/>
      <c r="N52" s="17"/>
      <c r="O52" s="19"/>
      <c r="P52" s="20" t="n">
        <f aca="false">IFERROR(H52/Setup!$C$6,"")</f>
        <v>0</v>
      </c>
      <c r="Q52" s="20" t="n">
        <f aca="false">IFERROR(H52-P52,"")</f>
        <v>0</v>
      </c>
      <c r="R52" s="17"/>
      <c r="S52" s="16"/>
    </row>
    <row r="53" customFormat="false" ht="15" hidden="false" customHeight="false" outlineLevel="0" collapsed="false">
      <c r="A53" s="12" t="str">
        <f aca="false">TEXT(Setup!$C$5+359,"dddd")</f>
        <v>Wednesday</v>
      </c>
      <c r="B53" s="13" t="n">
        <f aca="false">Setup!$C$5+359</f>
        <v>46386</v>
      </c>
      <c r="C53" s="12" t="s">
        <v>93</v>
      </c>
      <c r="D53" s="14"/>
      <c r="E53" s="14"/>
      <c r="F53" s="14"/>
      <c r="G53" s="14"/>
      <c r="H53" s="15"/>
      <c r="I53" s="16"/>
      <c r="J53" s="17"/>
      <c r="K53" s="15"/>
      <c r="L53" s="18"/>
      <c r="M53" s="15"/>
      <c r="N53" s="17"/>
      <c r="O53" s="19"/>
      <c r="P53" s="20" t="n">
        <f aca="false">IFERROR(H53/Setup!$C$6,"")</f>
        <v>0</v>
      </c>
      <c r="Q53" s="20" t="n">
        <f aca="false">IFERROR(H53-P53,"")</f>
        <v>0</v>
      </c>
      <c r="R53" s="17"/>
      <c r="S53" s="16"/>
    </row>
    <row r="54" customFormat="false" ht="15" hidden="false" customHeight="false" outlineLevel="0" collapsed="false">
      <c r="A54" s="12" t="str">
        <f aca="false">TEXT(Setup!$C$5+359,"dddd")</f>
        <v>Wednesday</v>
      </c>
      <c r="B54" s="13" t="n">
        <f aca="false">Setup!$C$5+359</f>
        <v>46386</v>
      </c>
      <c r="C54" s="12" t="s">
        <v>94</v>
      </c>
      <c r="D54" s="14"/>
      <c r="E54" s="14"/>
      <c r="F54" s="14"/>
      <c r="G54" s="14"/>
      <c r="H54" s="15"/>
      <c r="I54" s="16"/>
      <c r="J54" s="17"/>
      <c r="K54" s="15"/>
      <c r="L54" s="18"/>
      <c r="M54" s="15"/>
      <c r="N54" s="17"/>
      <c r="O54" s="19"/>
      <c r="P54" s="20" t="n">
        <f aca="false">IFERROR(H54/Setup!$C$6,"")</f>
        <v>0</v>
      </c>
      <c r="Q54" s="20" t="n">
        <f aca="false">IFERROR(H54-P54,"")</f>
        <v>0</v>
      </c>
      <c r="R54" s="17"/>
      <c r="S54" s="16"/>
    </row>
    <row r="55" customFormat="false" ht="15" hidden="false" customHeight="false" outlineLevel="0" collapsed="false">
      <c r="A55" s="12" t="str">
        <f aca="false">TEXT(Setup!$C$5+359,"dddd")</f>
        <v>Wednesday</v>
      </c>
      <c r="B55" s="13" t="n">
        <f aca="false">Setup!$C$5+359</f>
        <v>46386</v>
      </c>
      <c r="C55" s="12" t="s">
        <v>95</v>
      </c>
      <c r="D55" s="14"/>
      <c r="E55" s="14"/>
      <c r="F55" s="14"/>
      <c r="G55" s="14"/>
      <c r="H55" s="15"/>
      <c r="I55" s="16"/>
      <c r="J55" s="17"/>
      <c r="K55" s="15"/>
      <c r="L55" s="18"/>
      <c r="M55" s="15"/>
      <c r="N55" s="17"/>
      <c r="O55" s="19"/>
      <c r="P55" s="20" t="n">
        <f aca="false">IFERROR(H55/Setup!$C$6,"")</f>
        <v>0</v>
      </c>
      <c r="Q55" s="20" t="n">
        <f aca="false">IFERROR(H55-P55,"")</f>
        <v>0</v>
      </c>
      <c r="R55" s="17"/>
      <c r="S55" s="16"/>
    </row>
    <row r="56" customFormat="false" ht="15" hidden="false" customHeight="false" outlineLevel="0" collapsed="false">
      <c r="A56" s="12" t="str">
        <f aca="false">TEXT(Setup!$C$5+359,"dddd")</f>
        <v>Wednesday</v>
      </c>
      <c r="B56" s="13" t="n">
        <f aca="false">Setup!$C$5+359</f>
        <v>46386</v>
      </c>
      <c r="C56" s="12" t="s">
        <v>96</v>
      </c>
      <c r="D56" s="14"/>
      <c r="E56" s="14"/>
      <c r="F56" s="14"/>
      <c r="G56" s="14"/>
      <c r="H56" s="15"/>
      <c r="I56" s="16"/>
      <c r="J56" s="17"/>
      <c r="K56" s="15"/>
      <c r="L56" s="18"/>
      <c r="M56" s="15"/>
      <c r="N56" s="17"/>
      <c r="O56" s="19"/>
      <c r="P56" s="20" t="n">
        <f aca="false">IFERROR(H56/Setup!$C$6,"")</f>
        <v>0</v>
      </c>
      <c r="Q56" s="20" t="n">
        <f aca="false">IFERROR(H56-P56,"")</f>
        <v>0</v>
      </c>
      <c r="R56" s="17"/>
      <c r="S56" s="16"/>
    </row>
    <row r="57" customFormat="false" ht="15" hidden="false" customHeight="false" outlineLevel="0" collapsed="false">
      <c r="A57" s="12" t="str">
        <f aca="false">TEXT(Setup!$C$5+359,"dddd")</f>
        <v>Wednesday</v>
      </c>
      <c r="B57" s="13" t="n">
        <f aca="false">Setup!$C$5+359</f>
        <v>46386</v>
      </c>
      <c r="C57" s="12" t="s">
        <v>97</v>
      </c>
      <c r="D57" s="14"/>
      <c r="E57" s="14"/>
      <c r="F57" s="14"/>
      <c r="G57" s="14"/>
      <c r="H57" s="15"/>
      <c r="I57" s="16"/>
      <c r="J57" s="17"/>
      <c r="K57" s="15"/>
      <c r="L57" s="18"/>
      <c r="M57" s="15"/>
      <c r="N57" s="17"/>
      <c r="O57" s="19"/>
      <c r="P57" s="20" t="n">
        <f aca="false">IFERROR(H57/Setup!$C$6,"")</f>
        <v>0</v>
      </c>
      <c r="Q57" s="20" t="n">
        <f aca="false">IFERROR(H57-P57,"")</f>
        <v>0</v>
      </c>
      <c r="R57" s="17"/>
      <c r="S57" s="16"/>
    </row>
    <row r="58" customFormat="false" ht="15" hidden="false" customHeight="false" outlineLevel="0" collapsed="false">
      <c r="A58" s="12" t="str">
        <f aca="false">TEXT(Setup!$C$5+359,"dddd")</f>
        <v>Wednesday</v>
      </c>
      <c r="B58" s="13" t="n">
        <f aca="false">Setup!$C$5+359</f>
        <v>46386</v>
      </c>
      <c r="C58" s="12" t="s">
        <v>98</v>
      </c>
      <c r="D58" s="14"/>
      <c r="E58" s="14"/>
      <c r="F58" s="14"/>
      <c r="G58" s="14"/>
      <c r="H58" s="15"/>
      <c r="I58" s="16"/>
      <c r="J58" s="17"/>
      <c r="K58" s="15"/>
      <c r="L58" s="18"/>
      <c r="M58" s="15"/>
      <c r="N58" s="17"/>
      <c r="O58" s="19"/>
      <c r="P58" s="20" t="n">
        <f aca="false">IFERROR(H58/Setup!$C$6,"")</f>
        <v>0</v>
      </c>
      <c r="Q58" s="20" t="n">
        <f aca="false">IFERROR(H58-P58,"")</f>
        <v>0</v>
      </c>
      <c r="R58" s="17"/>
      <c r="S58" s="16"/>
    </row>
    <row r="59" customFormat="false" ht="15" hidden="false" customHeight="false" outlineLevel="0" collapsed="false">
      <c r="A59" s="12" t="str">
        <f aca="false">TEXT(Setup!$C$5+359,"dddd")</f>
        <v>Wednesday</v>
      </c>
      <c r="B59" s="13" t="n">
        <f aca="false">Setup!$C$5+359</f>
        <v>46386</v>
      </c>
      <c r="C59" s="12" t="s">
        <v>99</v>
      </c>
      <c r="D59" s="14"/>
      <c r="E59" s="14"/>
      <c r="F59" s="14"/>
      <c r="G59" s="14"/>
      <c r="H59" s="15"/>
      <c r="I59" s="16"/>
      <c r="J59" s="17"/>
      <c r="K59" s="15"/>
      <c r="L59" s="18"/>
      <c r="M59" s="15"/>
      <c r="N59" s="17"/>
      <c r="O59" s="19"/>
      <c r="P59" s="20" t="n">
        <f aca="false">IFERROR(H59/Setup!$C$6,"")</f>
        <v>0</v>
      </c>
      <c r="Q59" s="20" t="n">
        <f aca="false">IFERROR(H59-P59,"")</f>
        <v>0</v>
      </c>
      <c r="R59" s="17"/>
      <c r="S59" s="16"/>
    </row>
    <row r="60" customFormat="false" ht="15" hidden="false" customHeight="false" outlineLevel="0" collapsed="false">
      <c r="A60" s="12" t="str">
        <f aca="false">TEXT(Setup!$C$5+359,"dddd")</f>
        <v>Wednesday</v>
      </c>
      <c r="B60" s="13" t="n">
        <f aca="false">Setup!$C$5+359</f>
        <v>46386</v>
      </c>
      <c r="C60" s="12" t="s">
        <v>100</v>
      </c>
      <c r="D60" s="14"/>
      <c r="E60" s="14"/>
      <c r="F60" s="14"/>
      <c r="G60" s="14"/>
      <c r="H60" s="15"/>
      <c r="I60" s="16"/>
      <c r="J60" s="17"/>
      <c r="K60" s="15"/>
      <c r="L60" s="18"/>
      <c r="M60" s="15"/>
      <c r="N60" s="17"/>
      <c r="O60" s="19"/>
      <c r="P60" s="20" t="n">
        <f aca="false">IFERROR(H60/Setup!$C$6,"")</f>
        <v>0</v>
      </c>
      <c r="Q60" s="20" t="n">
        <f aca="false">IFERROR(H60-P60,"")</f>
        <v>0</v>
      </c>
      <c r="R60" s="17"/>
      <c r="S60" s="16"/>
    </row>
    <row r="61" customFormat="false" ht="15" hidden="false" customHeight="false" outlineLevel="0" collapsed="false">
      <c r="A61" s="12" t="str">
        <f aca="false">TEXT(Setup!$C$5+359,"dddd")</f>
        <v>Wednesday</v>
      </c>
      <c r="B61" s="13" t="n">
        <f aca="false">Setup!$C$5+359</f>
        <v>46386</v>
      </c>
      <c r="C61" s="12" t="s">
        <v>101</v>
      </c>
      <c r="D61" s="14"/>
      <c r="E61" s="14"/>
      <c r="F61" s="14"/>
      <c r="G61" s="14"/>
      <c r="H61" s="15"/>
      <c r="I61" s="16"/>
      <c r="J61" s="17"/>
      <c r="K61" s="15"/>
      <c r="L61" s="18"/>
      <c r="M61" s="15"/>
      <c r="N61" s="17"/>
      <c r="O61" s="19"/>
      <c r="P61" s="20" t="n">
        <f aca="false">IFERROR(H61/Setup!$C$6,"")</f>
        <v>0</v>
      </c>
      <c r="Q61" s="20" t="n">
        <f aca="false">IFERROR(H61-P61,"")</f>
        <v>0</v>
      </c>
      <c r="R61" s="17"/>
      <c r="S61" s="16"/>
    </row>
    <row r="62" customFormat="false" ht="15" hidden="false" customHeight="false" outlineLevel="0" collapsed="false">
      <c r="A62" s="12" t="str">
        <f aca="false">TEXT(Setup!$C$5+359,"dddd")</f>
        <v>Wednesday</v>
      </c>
      <c r="B62" s="13" t="n">
        <f aca="false">Setup!$C$5+359</f>
        <v>46386</v>
      </c>
      <c r="C62" s="12" t="s">
        <v>102</v>
      </c>
      <c r="D62" s="14"/>
      <c r="E62" s="14"/>
      <c r="F62" s="14"/>
      <c r="G62" s="14"/>
      <c r="H62" s="15"/>
      <c r="I62" s="16"/>
      <c r="J62" s="17"/>
      <c r="K62" s="15"/>
      <c r="L62" s="18"/>
      <c r="M62" s="15"/>
      <c r="N62" s="17"/>
      <c r="O62" s="19"/>
      <c r="P62" s="20" t="n">
        <f aca="false">IFERROR(H62/Setup!$C$6,"")</f>
        <v>0</v>
      </c>
      <c r="Q62" s="20" t="n">
        <f aca="false">IFERROR(H62-P62,"")</f>
        <v>0</v>
      </c>
      <c r="R62" s="17"/>
      <c r="S62" s="16"/>
    </row>
    <row r="63" customFormat="false" ht="15" hidden="false" customHeight="false" outlineLevel="0" collapsed="false">
      <c r="A63" s="12" t="str">
        <f aca="false">TEXT(Setup!$C$5+359,"dddd")</f>
        <v>Wednesday</v>
      </c>
      <c r="B63" s="13" t="n">
        <f aca="false">Setup!$C$5+359</f>
        <v>46386</v>
      </c>
      <c r="C63" s="12" t="s">
        <v>103</v>
      </c>
      <c r="D63" s="14"/>
      <c r="E63" s="14"/>
      <c r="F63" s="14"/>
      <c r="G63" s="14"/>
      <c r="H63" s="15"/>
      <c r="I63" s="16"/>
      <c r="J63" s="17"/>
      <c r="K63" s="15"/>
      <c r="L63" s="18"/>
      <c r="M63" s="15"/>
      <c r="N63" s="17"/>
      <c r="O63" s="19"/>
      <c r="P63" s="20" t="n">
        <f aca="false">IFERROR(H63/Setup!$C$6,"")</f>
        <v>0</v>
      </c>
      <c r="Q63" s="20" t="n">
        <f aca="false">IFERROR(H63-P63,"")</f>
        <v>0</v>
      </c>
      <c r="R63" s="17"/>
      <c r="S63" s="16"/>
    </row>
    <row r="64" customFormat="false" ht="15" hidden="false" customHeight="false" outlineLevel="0" collapsed="false">
      <c r="A64" s="12" t="str">
        <f aca="false">TEXT(Setup!$C$5+359,"dddd")</f>
        <v>Wednesday</v>
      </c>
      <c r="B64" s="13" t="n">
        <f aca="false">Setup!$C$5+359</f>
        <v>46386</v>
      </c>
      <c r="C64" s="12" t="s">
        <v>104</v>
      </c>
      <c r="D64" s="14"/>
      <c r="E64" s="14"/>
      <c r="F64" s="14"/>
      <c r="G64" s="14"/>
      <c r="H64" s="15"/>
      <c r="I64" s="16"/>
      <c r="J64" s="17"/>
      <c r="K64" s="15"/>
      <c r="L64" s="18"/>
      <c r="M64" s="15"/>
      <c r="N64" s="17"/>
      <c r="O64" s="19"/>
      <c r="P64" s="20" t="n">
        <f aca="false">IFERROR(H64/Setup!$C$6,"")</f>
        <v>0</v>
      </c>
      <c r="Q64" s="20" t="n">
        <f aca="false">IFERROR(H64-P64,"")</f>
        <v>0</v>
      </c>
      <c r="R64" s="17"/>
      <c r="S64" s="16"/>
    </row>
    <row r="65" customFormat="false" ht="15" hidden="false" customHeight="false" outlineLevel="0" collapsed="false">
      <c r="A65" s="12" t="str">
        <f aca="false">TEXT(Setup!$C$5+359,"dddd")</f>
        <v>Wednesday</v>
      </c>
      <c r="B65" s="13" t="n">
        <f aca="false">Setup!$C$5+359</f>
        <v>46386</v>
      </c>
      <c r="C65" s="12" t="s">
        <v>105</v>
      </c>
      <c r="D65" s="14"/>
      <c r="E65" s="14"/>
      <c r="F65" s="14"/>
      <c r="G65" s="14"/>
      <c r="H65" s="15"/>
      <c r="I65" s="16"/>
      <c r="J65" s="17"/>
      <c r="K65" s="15"/>
      <c r="L65" s="18"/>
      <c r="M65" s="15"/>
      <c r="N65" s="17"/>
      <c r="O65" s="19"/>
      <c r="P65" s="20" t="n">
        <f aca="false">IFERROR(H65/Setup!$C$6,"")</f>
        <v>0</v>
      </c>
      <c r="Q65" s="20" t="n">
        <f aca="false">IFERROR(H65-P65,"")</f>
        <v>0</v>
      </c>
      <c r="R65" s="17"/>
      <c r="S65" s="16"/>
    </row>
    <row r="66" customFormat="false" ht="15" hidden="false" customHeight="false" outlineLevel="0" collapsed="false">
      <c r="A66" s="12" t="str">
        <f aca="false">TEXT(Setup!$C$5+359,"dddd")</f>
        <v>Wednesday</v>
      </c>
      <c r="B66" s="13" t="n">
        <f aca="false">Setup!$C$5+359</f>
        <v>46386</v>
      </c>
      <c r="C66" s="21" t="s">
        <v>106</v>
      </c>
      <c r="D66" s="14"/>
      <c r="E66" s="14"/>
      <c r="F66" s="14"/>
      <c r="G66" s="14"/>
      <c r="H66" s="15"/>
      <c r="I66" s="16"/>
      <c r="J66" s="17"/>
      <c r="K66" s="15"/>
      <c r="L66" s="18"/>
      <c r="M66" s="15"/>
      <c r="N66" s="17"/>
      <c r="O66" s="19"/>
      <c r="P66" s="20" t="n">
        <f aca="false">IFERROR(H66/Setup!$C$6,"")</f>
        <v>0</v>
      </c>
      <c r="Q66" s="20" t="n">
        <f aca="false">IFERROR(H66-P66,"")</f>
        <v>0</v>
      </c>
      <c r="R66" s="17"/>
      <c r="S66" s="16"/>
    </row>
    <row r="67" customFormat="false" ht="15" hidden="false" customHeight="false" outlineLevel="0" collapsed="false">
      <c r="A67" s="22" t="str">
        <f aca="false">TEXT(Setup!$C$5+359,"dddd")</f>
        <v>Wednesday</v>
      </c>
      <c r="B67" s="23" t="n">
        <f aca="false">Setup!$C$5+359</f>
        <v>46386</v>
      </c>
      <c r="C67" s="22" t="s">
        <v>107</v>
      </c>
      <c r="D67" s="24" t="n">
        <f aca="false">SUM(D46:D66)</f>
        <v>0</v>
      </c>
      <c r="E67" s="24" t="n">
        <f aca="false">SUM(E46:E66)</f>
        <v>0</v>
      </c>
      <c r="F67" s="24" t="n">
        <f aca="false">SUM(F46:F66)</f>
        <v>0</v>
      </c>
      <c r="G67" s="24" t="n">
        <f aca="false">SUM(G46:G66)</f>
        <v>0</v>
      </c>
      <c r="H67" s="25" t="n">
        <f aca="false">SUM(H46:H66)</f>
        <v>0</v>
      </c>
      <c r="I67" s="26" t="str">
        <f aca="false">IFERROR(E67/D67,"")</f>
        <v/>
      </c>
      <c r="J67" s="25" t="str">
        <f aca="false">IFERROR(H67/E67,"")</f>
        <v/>
      </c>
      <c r="K67" s="25" t="n">
        <f aca="false">SUM(K46:K66)</f>
        <v>0</v>
      </c>
      <c r="L67" s="22"/>
      <c r="M67" s="25" t="n">
        <f aca="false">SUM(M46:M66)</f>
        <v>0</v>
      </c>
      <c r="N67" s="25" t="n">
        <f aca="false">IFERROR(H67-Wk51!H67,"")</f>
        <v>0</v>
      </c>
      <c r="O67" s="24" t="n">
        <f aca="false">IFERROR(D67-Wk51!D67,"")</f>
        <v>0</v>
      </c>
      <c r="P67" s="25" t="n">
        <f aca="false">SUM(P46:P66)</f>
        <v>0</v>
      </c>
      <c r="Q67" s="25" t="n">
        <f aca="false">SUM(Q46:Q66)</f>
        <v>0</v>
      </c>
      <c r="R67" s="25" t="n">
        <f aca="false">IFERROR(INDEX('Last Year'!$C$6:$C$369,MATCH(B67-364,'Last Year'!$B$6:$B$369,0)),"")</f>
        <v>0</v>
      </c>
      <c r="S67" s="26" t="str">
        <f aca="false">IFERROR(H67/R67-1,"")</f>
        <v/>
      </c>
    </row>
    <row r="68" customFormat="false" ht="15" hidden="false" customHeight="false" outlineLevel="0" collapsed="false">
      <c r="A68" s="12" t="str">
        <f aca="false">TEXT(Setup!$C$5+360,"dddd")</f>
        <v>Thursday</v>
      </c>
      <c r="B68" s="13" t="n">
        <f aca="false">Setup!$C$5+360</f>
        <v>46387</v>
      </c>
      <c r="C68" s="12" t="s">
        <v>86</v>
      </c>
      <c r="D68" s="14"/>
      <c r="E68" s="14"/>
      <c r="F68" s="14"/>
      <c r="G68" s="14"/>
      <c r="H68" s="15"/>
      <c r="I68" s="16"/>
      <c r="J68" s="17"/>
      <c r="K68" s="15"/>
      <c r="L68" s="18"/>
      <c r="M68" s="15"/>
      <c r="N68" s="17"/>
      <c r="O68" s="19"/>
      <c r="P68" s="20" t="n">
        <f aca="false">IFERROR(H68/Setup!$C$6,"")</f>
        <v>0</v>
      </c>
      <c r="Q68" s="20" t="n">
        <f aca="false">IFERROR(H68-P68,"")</f>
        <v>0</v>
      </c>
      <c r="R68" s="17"/>
      <c r="S68" s="16"/>
    </row>
    <row r="69" customFormat="false" ht="15" hidden="false" customHeight="false" outlineLevel="0" collapsed="false">
      <c r="A69" s="12" t="str">
        <f aca="false">TEXT(Setup!$C$5+360,"dddd")</f>
        <v>Thursday</v>
      </c>
      <c r="B69" s="13" t="n">
        <f aca="false">Setup!$C$5+360</f>
        <v>46387</v>
      </c>
      <c r="C69" s="12" t="s">
        <v>87</v>
      </c>
      <c r="D69" s="14"/>
      <c r="E69" s="14"/>
      <c r="F69" s="14"/>
      <c r="G69" s="14"/>
      <c r="H69" s="15"/>
      <c r="I69" s="16"/>
      <c r="J69" s="17"/>
      <c r="K69" s="15"/>
      <c r="L69" s="18"/>
      <c r="M69" s="15"/>
      <c r="N69" s="17"/>
      <c r="O69" s="19"/>
      <c r="P69" s="20" t="n">
        <f aca="false">IFERROR(H69/Setup!$C$6,"")</f>
        <v>0</v>
      </c>
      <c r="Q69" s="20" t="n">
        <f aca="false">IFERROR(H69-P69,"")</f>
        <v>0</v>
      </c>
      <c r="R69" s="17"/>
      <c r="S69" s="16"/>
    </row>
    <row r="70" customFormat="false" ht="15" hidden="false" customHeight="false" outlineLevel="0" collapsed="false">
      <c r="A70" s="12" t="str">
        <f aca="false">TEXT(Setup!$C$5+360,"dddd")</f>
        <v>Thursday</v>
      </c>
      <c r="B70" s="13" t="n">
        <f aca="false">Setup!$C$5+360</f>
        <v>46387</v>
      </c>
      <c r="C70" s="12" t="s">
        <v>88</v>
      </c>
      <c r="D70" s="14"/>
      <c r="E70" s="14"/>
      <c r="F70" s="14"/>
      <c r="G70" s="14"/>
      <c r="H70" s="15"/>
      <c r="I70" s="16"/>
      <c r="J70" s="17"/>
      <c r="K70" s="15"/>
      <c r="L70" s="18"/>
      <c r="M70" s="15"/>
      <c r="N70" s="17"/>
      <c r="O70" s="19"/>
      <c r="P70" s="20" t="n">
        <f aca="false">IFERROR(H70/Setup!$C$6,"")</f>
        <v>0</v>
      </c>
      <c r="Q70" s="20" t="n">
        <f aca="false">IFERROR(H70-P70,"")</f>
        <v>0</v>
      </c>
      <c r="R70" s="17"/>
      <c r="S70" s="16"/>
    </row>
    <row r="71" customFormat="false" ht="15" hidden="false" customHeight="false" outlineLevel="0" collapsed="false">
      <c r="A71" s="12" t="str">
        <f aca="false">TEXT(Setup!$C$5+360,"dddd")</f>
        <v>Thursday</v>
      </c>
      <c r="B71" s="13" t="n">
        <f aca="false">Setup!$C$5+360</f>
        <v>46387</v>
      </c>
      <c r="C71" s="12" t="s">
        <v>89</v>
      </c>
      <c r="D71" s="14"/>
      <c r="E71" s="14"/>
      <c r="F71" s="14"/>
      <c r="G71" s="14"/>
      <c r="H71" s="15"/>
      <c r="I71" s="16"/>
      <c r="J71" s="17"/>
      <c r="K71" s="15"/>
      <c r="L71" s="18"/>
      <c r="M71" s="15"/>
      <c r="N71" s="17"/>
      <c r="O71" s="19"/>
      <c r="P71" s="20" t="n">
        <f aca="false">IFERROR(H71/Setup!$C$6,"")</f>
        <v>0</v>
      </c>
      <c r="Q71" s="20" t="n">
        <f aca="false">IFERROR(H71-P71,"")</f>
        <v>0</v>
      </c>
      <c r="R71" s="17"/>
      <c r="S71" s="16"/>
    </row>
    <row r="72" customFormat="false" ht="15" hidden="false" customHeight="false" outlineLevel="0" collapsed="false">
      <c r="A72" s="12" t="str">
        <f aca="false">TEXT(Setup!$C$5+360,"dddd")</f>
        <v>Thursday</v>
      </c>
      <c r="B72" s="13" t="n">
        <f aca="false">Setup!$C$5+360</f>
        <v>46387</v>
      </c>
      <c r="C72" s="12" t="s">
        <v>90</v>
      </c>
      <c r="D72" s="14"/>
      <c r="E72" s="14"/>
      <c r="F72" s="14"/>
      <c r="G72" s="14"/>
      <c r="H72" s="15"/>
      <c r="I72" s="16"/>
      <c r="J72" s="17"/>
      <c r="K72" s="15"/>
      <c r="L72" s="18"/>
      <c r="M72" s="15"/>
      <c r="N72" s="17"/>
      <c r="O72" s="19"/>
      <c r="P72" s="20" t="n">
        <f aca="false">IFERROR(H72/Setup!$C$6,"")</f>
        <v>0</v>
      </c>
      <c r="Q72" s="20" t="n">
        <f aca="false">IFERROR(H72-P72,"")</f>
        <v>0</v>
      </c>
      <c r="R72" s="17"/>
      <c r="S72" s="16"/>
    </row>
    <row r="73" customFormat="false" ht="15" hidden="false" customHeight="false" outlineLevel="0" collapsed="false">
      <c r="A73" s="12" t="str">
        <f aca="false">TEXT(Setup!$C$5+360,"dddd")</f>
        <v>Thursday</v>
      </c>
      <c r="B73" s="13" t="n">
        <f aca="false">Setup!$C$5+360</f>
        <v>46387</v>
      </c>
      <c r="C73" s="12" t="s">
        <v>91</v>
      </c>
      <c r="D73" s="14"/>
      <c r="E73" s="14"/>
      <c r="F73" s="14"/>
      <c r="G73" s="14"/>
      <c r="H73" s="15"/>
      <c r="I73" s="16"/>
      <c r="J73" s="17"/>
      <c r="K73" s="15"/>
      <c r="L73" s="18"/>
      <c r="M73" s="15"/>
      <c r="N73" s="17"/>
      <c r="O73" s="19"/>
      <c r="P73" s="20" t="n">
        <f aca="false">IFERROR(H73/Setup!$C$6,"")</f>
        <v>0</v>
      </c>
      <c r="Q73" s="20" t="n">
        <f aca="false">IFERROR(H73-P73,"")</f>
        <v>0</v>
      </c>
      <c r="R73" s="17"/>
      <c r="S73" s="16"/>
    </row>
    <row r="74" customFormat="false" ht="15" hidden="false" customHeight="false" outlineLevel="0" collapsed="false">
      <c r="A74" s="12" t="str">
        <f aca="false">TEXT(Setup!$C$5+360,"dddd")</f>
        <v>Thursday</v>
      </c>
      <c r="B74" s="13" t="n">
        <f aca="false">Setup!$C$5+360</f>
        <v>46387</v>
      </c>
      <c r="C74" s="12" t="s">
        <v>92</v>
      </c>
      <c r="D74" s="14"/>
      <c r="E74" s="14"/>
      <c r="F74" s="14"/>
      <c r="G74" s="14"/>
      <c r="H74" s="15"/>
      <c r="I74" s="16"/>
      <c r="J74" s="17"/>
      <c r="K74" s="15"/>
      <c r="L74" s="18"/>
      <c r="M74" s="15"/>
      <c r="N74" s="17"/>
      <c r="O74" s="19"/>
      <c r="P74" s="20" t="n">
        <f aca="false">IFERROR(H74/Setup!$C$6,"")</f>
        <v>0</v>
      </c>
      <c r="Q74" s="20" t="n">
        <f aca="false">IFERROR(H74-P74,"")</f>
        <v>0</v>
      </c>
      <c r="R74" s="17"/>
      <c r="S74" s="16"/>
    </row>
    <row r="75" customFormat="false" ht="15" hidden="false" customHeight="false" outlineLevel="0" collapsed="false">
      <c r="A75" s="12" t="str">
        <f aca="false">TEXT(Setup!$C$5+360,"dddd")</f>
        <v>Thursday</v>
      </c>
      <c r="B75" s="13" t="n">
        <f aca="false">Setup!$C$5+360</f>
        <v>46387</v>
      </c>
      <c r="C75" s="12" t="s">
        <v>93</v>
      </c>
      <c r="D75" s="14"/>
      <c r="E75" s="14"/>
      <c r="F75" s="14"/>
      <c r="G75" s="14"/>
      <c r="H75" s="15"/>
      <c r="I75" s="16"/>
      <c r="J75" s="17"/>
      <c r="K75" s="15"/>
      <c r="L75" s="18"/>
      <c r="M75" s="15"/>
      <c r="N75" s="17"/>
      <c r="O75" s="19"/>
      <c r="P75" s="20" t="n">
        <f aca="false">IFERROR(H75/Setup!$C$6,"")</f>
        <v>0</v>
      </c>
      <c r="Q75" s="20" t="n">
        <f aca="false">IFERROR(H75-P75,"")</f>
        <v>0</v>
      </c>
      <c r="R75" s="17"/>
      <c r="S75" s="16"/>
    </row>
    <row r="76" customFormat="false" ht="15" hidden="false" customHeight="false" outlineLevel="0" collapsed="false">
      <c r="A76" s="12" t="str">
        <f aca="false">TEXT(Setup!$C$5+360,"dddd")</f>
        <v>Thursday</v>
      </c>
      <c r="B76" s="13" t="n">
        <f aca="false">Setup!$C$5+360</f>
        <v>46387</v>
      </c>
      <c r="C76" s="12" t="s">
        <v>94</v>
      </c>
      <c r="D76" s="14"/>
      <c r="E76" s="14"/>
      <c r="F76" s="14"/>
      <c r="G76" s="14"/>
      <c r="H76" s="15"/>
      <c r="I76" s="16"/>
      <c r="J76" s="17"/>
      <c r="K76" s="15"/>
      <c r="L76" s="18"/>
      <c r="M76" s="15"/>
      <c r="N76" s="17"/>
      <c r="O76" s="19"/>
      <c r="P76" s="20" t="n">
        <f aca="false">IFERROR(H76/Setup!$C$6,"")</f>
        <v>0</v>
      </c>
      <c r="Q76" s="20" t="n">
        <f aca="false">IFERROR(H76-P76,"")</f>
        <v>0</v>
      </c>
      <c r="R76" s="17"/>
      <c r="S76" s="16"/>
    </row>
    <row r="77" customFormat="false" ht="15" hidden="false" customHeight="false" outlineLevel="0" collapsed="false">
      <c r="A77" s="12" t="str">
        <f aca="false">TEXT(Setup!$C$5+360,"dddd")</f>
        <v>Thursday</v>
      </c>
      <c r="B77" s="13" t="n">
        <f aca="false">Setup!$C$5+360</f>
        <v>46387</v>
      </c>
      <c r="C77" s="12" t="s">
        <v>95</v>
      </c>
      <c r="D77" s="14"/>
      <c r="E77" s="14"/>
      <c r="F77" s="14"/>
      <c r="G77" s="14"/>
      <c r="H77" s="15"/>
      <c r="I77" s="16"/>
      <c r="J77" s="17"/>
      <c r="K77" s="15"/>
      <c r="L77" s="18"/>
      <c r="M77" s="15"/>
      <c r="N77" s="17"/>
      <c r="O77" s="19"/>
      <c r="P77" s="20" t="n">
        <f aca="false">IFERROR(H77/Setup!$C$6,"")</f>
        <v>0</v>
      </c>
      <c r="Q77" s="20" t="n">
        <f aca="false">IFERROR(H77-P77,"")</f>
        <v>0</v>
      </c>
      <c r="R77" s="17"/>
      <c r="S77" s="16"/>
    </row>
    <row r="78" customFormat="false" ht="15" hidden="false" customHeight="false" outlineLevel="0" collapsed="false">
      <c r="A78" s="12" t="str">
        <f aca="false">TEXT(Setup!$C$5+360,"dddd")</f>
        <v>Thursday</v>
      </c>
      <c r="B78" s="13" t="n">
        <f aca="false">Setup!$C$5+360</f>
        <v>46387</v>
      </c>
      <c r="C78" s="12" t="s">
        <v>96</v>
      </c>
      <c r="D78" s="14"/>
      <c r="E78" s="14"/>
      <c r="F78" s="14"/>
      <c r="G78" s="14"/>
      <c r="H78" s="15"/>
      <c r="I78" s="16"/>
      <c r="J78" s="17"/>
      <c r="K78" s="15"/>
      <c r="L78" s="18"/>
      <c r="M78" s="15"/>
      <c r="N78" s="17"/>
      <c r="O78" s="19"/>
      <c r="P78" s="20" t="n">
        <f aca="false">IFERROR(H78/Setup!$C$6,"")</f>
        <v>0</v>
      </c>
      <c r="Q78" s="20" t="n">
        <f aca="false">IFERROR(H78-P78,"")</f>
        <v>0</v>
      </c>
      <c r="R78" s="17"/>
      <c r="S78" s="16"/>
    </row>
    <row r="79" customFormat="false" ht="15" hidden="false" customHeight="false" outlineLevel="0" collapsed="false">
      <c r="A79" s="12" t="str">
        <f aca="false">TEXT(Setup!$C$5+360,"dddd")</f>
        <v>Thursday</v>
      </c>
      <c r="B79" s="13" t="n">
        <f aca="false">Setup!$C$5+360</f>
        <v>46387</v>
      </c>
      <c r="C79" s="12" t="s">
        <v>97</v>
      </c>
      <c r="D79" s="14"/>
      <c r="E79" s="14"/>
      <c r="F79" s="14"/>
      <c r="G79" s="14"/>
      <c r="H79" s="15"/>
      <c r="I79" s="16"/>
      <c r="J79" s="17"/>
      <c r="K79" s="15"/>
      <c r="L79" s="18"/>
      <c r="M79" s="15"/>
      <c r="N79" s="17"/>
      <c r="O79" s="19"/>
      <c r="P79" s="20" t="n">
        <f aca="false">IFERROR(H79/Setup!$C$6,"")</f>
        <v>0</v>
      </c>
      <c r="Q79" s="20" t="n">
        <f aca="false">IFERROR(H79-P79,"")</f>
        <v>0</v>
      </c>
      <c r="R79" s="17"/>
      <c r="S79" s="16"/>
    </row>
    <row r="80" customFormat="false" ht="15" hidden="false" customHeight="false" outlineLevel="0" collapsed="false">
      <c r="A80" s="12" t="str">
        <f aca="false">TEXT(Setup!$C$5+360,"dddd")</f>
        <v>Thursday</v>
      </c>
      <c r="B80" s="13" t="n">
        <f aca="false">Setup!$C$5+360</f>
        <v>46387</v>
      </c>
      <c r="C80" s="12" t="s">
        <v>98</v>
      </c>
      <c r="D80" s="14"/>
      <c r="E80" s="14"/>
      <c r="F80" s="14"/>
      <c r="G80" s="14"/>
      <c r="H80" s="15"/>
      <c r="I80" s="16"/>
      <c r="J80" s="17"/>
      <c r="K80" s="15"/>
      <c r="L80" s="18"/>
      <c r="M80" s="15"/>
      <c r="N80" s="17"/>
      <c r="O80" s="19"/>
      <c r="P80" s="20" t="n">
        <f aca="false">IFERROR(H80/Setup!$C$6,"")</f>
        <v>0</v>
      </c>
      <c r="Q80" s="20" t="n">
        <f aca="false">IFERROR(H80-P80,"")</f>
        <v>0</v>
      </c>
      <c r="R80" s="17"/>
      <c r="S80" s="16"/>
    </row>
    <row r="81" customFormat="false" ht="15" hidden="false" customHeight="false" outlineLevel="0" collapsed="false">
      <c r="A81" s="12" t="str">
        <f aca="false">TEXT(Setup!$C$5+360,"dddd")</f>
        <v>Thursday</v>
      </c>
      <c r="B81" s="13" t="n">
        <f aca="false">Setup!$C$5+360</f>
        <v>46387</v>
      </c>
      <c r="C81" s="12" t="s">
        <v>99</v>
      </c>
      <c r="D81" s="14"/>
      <c r="E81" s="14"/>
      <c r="F81" s="14"/>
      <c r="G81" s="14"/>
      <c r="H81" s="15"/>
      <c r="I81" s="16"/>
      <c r="J81" s="17"/>
      <c r="K81" s="15"/>
      <c r="L81" s="18"/>
      <c r="M81" s="15"/>
      <c r="N81" s="17"/>
      <c r="O81" s="19"/>
      <c r="P81" s="20" t="n">
        <f aca="false">IFERROR(H81/Setup!$C$6,"")</f>
        <v>0</v>
      </c>
      <c r="Q81" s="20" t="n">
        <f aca="false">IFERROR(H81-P81,"")</f>
        <v>0</v>
      </c>
      <c r="R81" s="17"/>
      <c r="S81" s="16"/>
    </row>
    <row r="82" customFormat="false" ht="15" hidden="false" customHeight="false" outlineLevel="0" collapsed="false">
      <c r="A82" s="12" t="str">
        <f aca="false">TEXT(Setup!$C$5+360,"dddd")</f>
        <v>Thursday</v>
      </c>
      <c r="B82" s="13" t="n">
        <f aca="false">Setup!$C$5+360</f>
        <v>46387</v>
      </c>
      <c r="C82" s="12" t="s">
        <v>100</v>
      </c>
      <c r="D82" s="14"/>
      <c r="E82" s="14"/>
      <c r="F82" s="14"/>
      <c r="G82" s="14"/>
      <c r="H82" s="15"/>
      <c r="I82" s="16"/>
      <c r="J82" s="17"/>
      <c r="K82" s="15"/>
      <c r="L82" s="18"/>
      <c r="M82" s="15"/>
      <c r="N82" s="17"/>
      <c r="O82" s="19"/>
      <c r="P82" s="20" t="n">
        <f aca="false">IFERROR(H82/Setup!$C$6,"")</f>
        <v>0</v>
      </c>
      <c r="Q82" s="20" t="n">
        <f aca="false">IFERROR(H82-P82,"")</f>
        <v>0</v>
      </c>
      <c r="R82" s="17"/>
      <c r="S82" s="16"/>
    </row>
    <row r="83" customFormat="false" ht="15" hidden="false" customHeight="false" outlineLevel="0" collapsed="false">
      <c r="A83" s="12" t="str">
        <f aca="false">TEXT(Setup!$C$5+360,"dddd")</f>
        <v>Thursday</v>
      </c>
      <c r="B83" s="13" t="n">
        <f aca="false">Setup!$C$5+360</f>
        <v>46387</v>
      </c>
      <c r="C83" s="12" t="s">
        <v>101</v>
      </c>
      <c r="D83" s="14"/>
      <c r="E83" s="14"/>
      <c r="F83" s="14"/>
      <c r="G83" s="14"/>
      <c r="H83" s="15"/>
      <c r="I83" s="16"/>
      <c r="J83" s="17"/>
      <c r="K83" s="15"/>
      <c r="L83" s="18"/>
      <c r="M83" s="15"/>
      <c r="N83" s="17"/>
      <c r="O83" s="19"/>
      <c r="P83" s="20" t="n">
        <f aca="false">IFERROR(H83/Setup!$C$6,"")</f>
        <v>0</v>
      </c>
      <c r="Q83" s="20" t="n">
        <f aca="false">IFERROR(H83-P83,"")</f>
        <v>0</v>
      </c>
      <c r="R83" s="17"/>
      <c r="S83" s="16"/>
    </row>
    <row r="84" customFormat="false" ht="15" hidden="false" customHeight="false" outlineLevel="0" collapsed="false">
      <c r="A84" s="12" t="str">
        <f aca="false">TEXT(Setup!$C$5+360,"dddd")</f>
        <v>Thursday</v>
      </c>
      <c r="B84" s="13" t="n">
        <f aca="false">Setup!$C$5+360</f>
        <v>46387</v>
      </c>
      <c r="C84" s="12" t="s">
        <v>102</v>
      </c>
      <c r="D84" s="14"/>
      <c r="E84" s="14"/>
      <c r="F84" s="14"/>
      <c r="G84" s="14"/>
      <c r="H84" s="15"/>
      <c r="I84" s="16"/>
      <c r="J84" s="17"/>
      <c r="K84" s="15"/>
      <c r="L84" s="18"/>
      <c r="M84" s="15"/>
      <c r="N84" s="17"/>
      <c r="O84" s="19"/>
      <c r="P84" s="20" t="n">
        <f aca="false">IFERROR(H84/Setup!$C$6,"")</f>
        <v>0</v>
      </c>
      <c r="Q84" s="20" t="n">
        <f aca="false">IFERROR(H84-P84,"")</f>
        <v>0</v>
      </c>
      <c r="R84" s="17"/>
      <c r="S84" s="16"/>
    </row>
    <row r="85" customFormat="false" ht="15" hidden="false" customHeight="false" outlineLevel="0" collapsed="false">
      <c r="A85" s="12" t="str">
        <f aca="false">TEXT(Setup!$C$5+360,"dddd")</f>
        <v>Thursday</v>
      </c>
      <c r="B85" s="13" t="n">
        <f aca="false">Setup!$C$5+360</f>
        <v>46387</v>
      </c>
      <c r="C85" s="12" t="s">
        <v>103</v>
      </c>
      <c r="D85" s="14"/>
      <c r="E85" s="14"/>
      <c r="F85" s="14"/>
      <c r="G85" s="14"/>
      <c r="H85" s="15"/>
      <c r="I85" s="16"/>
      <c r="J85" s="17"/>
      <c r="K85" s="15"/>
      <c r="L85" s="18"/>
      <c r="M85" s="15"/>
      <c r="N85" s="17"/>
      <c r="O85" s="19"/>
      <c r="P85" s="20" t="n">
        <f aca="false">IFERROR(H85/Setup!$C$6,"")</f>
        <v>0</v>
      </c>
      <c r="Q85" s="20" t="n">
        <f aca="false">IFERROR(H85-P85,"")</f>
        <v>0</v>
      </c>
      <c r="R85" s="17"/>
      <c r="S85" s="16"/>
    </row>
    <row r="86" customFormat="false" ht="15" hidden="false" customHeight="false" outlineLevel="0" collapsed="false">
      <c r="A86" s="12" t="str">
        <f aca="false">TEXT(Setup!$C$5+360,"dddd")</f>
        <v>Thursday</v>
      </c>
      <c r="B86" s="13" t="n">
        <f aca="false">Setup!$C$5+360</f>
        <v>46387</v>
      </c>
      <c r="C86" s="12" t="s">
        <v>104</v>
      </c>
      <c r="D86" s="14"/>
      <c r="E86" s="14"/>
      <c r="F86" s="14"/>
      <c r="G86" s="14"/>
      <c r="H86" s="15"/>
      <c r="I86" s="16"/>
      <c r="J86" s="17"/>
      <c r="K86" s="15"/>
      <c r="L86" s="18"/>
      <c r="M86" s="15"/>
      <c r="N86" s="17"/>
      <c r="O86" s="19"/>
      <c r="P86" s="20" t="n">
        <f aca="false">IFERROR(H86/Setup!$C$6,"")</f>
        <v>0</v>
      </c>
      <c r="Q86" s="20" t="n">
        <f aca="false">IFERROR(H86-P86,"")</f>
        <v>0</v>
      </c>
      <c r="R86" s="17"/>
      <c r="S86" s="16"/>
    </row>
    <row r="87" customFormat="false" ht="15" hidden="false" customHeight="false" outlineLevel="0" collapsed="false">
      <c r="A87" s="12" t="str">
        <f aca="false">TEXT(Setup!$C$5+360,"dddd")</f>
        <v>Thursday</v>
      </c>
      <c r="B87" s="13" t="n">
        <f aca="false">Setup!$C$5+360</f>
        <v>46387</v>
      </c>
      <c r="C87" s="12" t="s">
        <v>105</v>
      </c>
      <c r="D87" s="14"/>
      <c r="E87" s="14"/>
      <c r="F87" s="14"/>
      <c r="G87" s="14"/>
      <c r="H87" s="15"/>
      <c r="I87" s="16"/>
      <c r="J87" s="17"/>
      <c r="K87" s="15"/>
      <c r="L87" s="18"/>
      <c r="M87" s="15"/>
      <c r="N87" s="17"/>
      <c r="O87" s="19"/>
      <c r="P87" s="20" t="n">
        <f aca="false">IFERROR(H87/Setup!$C$6,"")</f>
        <v>0</v>
      </c>
      <c r="Q87" s="20" t="n">
        <f aca="false">IFERROR(H87-P87,"")</f>
        <v>0</v>
      </c>
      <c r="R87" s="17"/>
      <c r="S87" s="16"/>
    </row>
    <row r="88" customFormat="false" ht="15" hidden="false" customHeight="false" outlineLevel="0" collapsed="false">
      <c r="A88" s="12" t="str">
        <f aca="false">TEXT(Setup!$C$5+360,"dddd")</f>
        <v>Thursday</v>
      </c>
      <c r="B88" s="13" t="n">
        <f aca="false">Setup!$C$5+360</f>
        <v>46387</v>
      </c>
      <c r="C88" s="21" t="s">
        <v>106</v>
      </c>
      <c r="D88" s="14"/>
      <c r="E88" s="14"/>
      <c r="F88" s="14"/>
      <c r="G88" s="14"/>
      <c r="H88" s="15"/>
      <c r="I88" s="16"/>
      <c r="J88" s="17"/>
      <c r="K88" s="15"/>
      <c r="L88" s="18"/>
      <c r="M88" s="15"/>
      <c r="N88" s="17"/>
      <c r="O88" s="19"/>
      <c r="P88" s="20" t="n">
        <f aca="false">IFERROR(H88/Setup!$C$6,"")</f>
        <v>0</v>
      </c>
      <c r="Q88" s="20" t="n">
        <f aca="false">IFERROR(H88-P88,"")</f>
        <v>0</v>
      </c>
      <c r="R88" s="17"/>
      <c r="S88" s="16"/>
    </row>
    <row r="89" customFormat="false" ht="15" hidden="false" customHeight="false" outlineLevel="0" collapsed="false">
      <c r="A89" s="22" t="str">
        <f aca="false">TEXT(Setup!$C$5+360,"dddd")</f>
        <v>Thursday</v>
      </c>
      <c r="B89" s="23" t="n">
        <f aca="false">Setup!$C$5+360</f>
        <v>46387</v>
      </c>
      <c r="C89" s="22" t="s">
        <v>107</v>
      </c>
      <c r="D89" s="24" t="n">
        <f aca="false">SUM(D68:D88)</f>
        <v>0</v>
      </c>
      <c r="E89" s="24" t="n">
        <f aca="false">SUM(E68:E88)</f>
        <v>0</v>
      </c>
      <c r="F89" s="24" t="n">
        <f aca="false">SUM(F68:F88)</f>
        <v>0</v>
      </c>
      <c r="G89" s="24" t="n">
        <f aca="false">SUM(G68:G88)</f>
        <v>0</v>
      </c>
      <c r="H89" s="25" t="n">
        <f aca="false">SUM(H68:H88)</f>
        <v>0</v>
      </c>
      <c r="I89" s="26" t="str">
        <f aca="false">IFERROR(E89/D89,"")</f>
        <v/>
      </c>
      <c r="J89" s="25" t="str">
        <f aca="false">IFERROR(H89/E89,"")</f>
        <v/>
      </c>
      <c r="K89" s="25" t="n">
        <f aca="false">SUM(K68:K88)</f>
        <v>0</v>
      </c>
      <c r="L89" s="22"/>
      <c r="M89" s="25" t="n">
        <f aca="false">SUM(M68:M88)</f>
        <v>0</v>
      </c>
      <c r="N89" s="25" t="n">
        <f aca="false">IFERROR(H89-Wk51!H89,"")</f>
        <v>0</v>
      </c>
      <c r="O89" s="24" t="n">
        <f aca="false">IFERROR(D89-Wk51!D89,"")</f>
        <v>0</v>
      </c>
      <c r="P89" s="25" t="n">
        <f aca="false">SUM(P68:P88)</f>
        <v>0</v>
      </c>
      <c r="Q89" s="25" t="n">
        <f aca="false">SUM(Q68:Q88)</f>
        <v>0</v>
      </c>
      <c r="R89" s="25" t="n">
        <f aca="false">IFERROR(INDEX('Last Year'!$C$6:$C$369,MATCH(B89-364,'Last Year'!$B$6:$B$369,0)),"")</f>
        <v>0</v>
      </c>
      <c r="S89" s="26" t="str">
        <f aca="false">IFERROR(H89/R89-1,"")</f>
        <v/>
      </c>
    </row>
    <row r="90" customFormat="false" ht="15" hidden="false" customHeight="false" outlineLevel="0" collapsed="false">
      <c r="A90" s="12" t="str">
        <f aca="false">TEXT(Setup!$C$5+361,"dddd")</f>
        <v>Friday</v>
      </c>
      <c r="B90" s="13" t="n">
        <f aca="false">Setup!$C$5+361</f>
        <v>46388</v>
      </c>
      <c r="C90" s="12" t="s">
        <v>86</v>
      </c>
      <c r="D90" s="14"/>
      <c r="E90" s="14"/>
      <c r="F90" s="14"/>
      <c r="G90" s="14"/>
      <c r="H90" s="15"/>
      <c r="I90" s="16"/>
      <c r="J90" s="17"/>
      <c r="K90" s="15"/>
      <c r="L90" s="18"/>
      <c r="M90" s="15"/>
      <c r="N90" s="17"/>
      <c r="O90" s="19"/>
      <c r="P90" s="20" t="n">
        <f aca="false">IFERROR(H90/Setup!$C$6,"")</f>
        <v>0</v>
      </c>
      <c r="Q90" s="20" t="n">
        <f aca="false">IFERROR(H90-P90,"")</f>
        <v>0</v>
      </c>
      <c r="R90" s="17"/>
      <c r="S90" s="16"/>
    </row>
    <row r="91" customFormat="false" ht="15" hidden="false" customHeight="false" outlineLevel="0" collapsed="false">
      <c r="A91" s="12" t="str">
        <f aca="false">TEXT(Setup!$C$5+361,"dddd")</f>
        <v>Friday</v>
      </c>
      <c r="B91" s="13" t="n">
        <f aca="false">Setup!$C$5+361</f>
        <v>46388</v>
      </c>
      <c r="C91" s="12" t="s">
        <v>87</v>
      </c>
      <c r="D91" s="14"/>
      <c r="E91" s="14"/>
      <c r="F91" s="14"/>
      <c r="G91" s="14"/>
      <c r="H91" s="15"/>
      <c r="I91" s="16"/>
      <c r="J91" s="17"/>
      <c r="K91" s="15"/>
      <c r="L91" s="18"/>
      <c r="M91" s="15"/>
      <c r="N91" s="17"/>
      <c r="O91" s="19"/>
      <c r="P91" s="20" t="n">
        <f aca="false">IFERROR(H91/Setup!$C$6,"")</f>
        <v>0</v>
      </c>
      <c r="Q91" s="20" t="n">
        <f aca="false">IFERROR(H91-P91,"")</f>
        <v>0</v>
      </c>
      <c r="R91" s="17"/>
      <c r="S91" s="16"/>
    </row>
    <row r="92" customFormat="false" ht="15" hidden="false" customHeight="false" outlineLevel="0" collapsed="false">
      <c r="A92" s="12" t="str">
        <f aca="false">TEXT(Setup!$C$5+361,"dddd")</f>
        <v>Friday</v>
      </c>
      <c r="B92" s="13" t="n">
        <f aca="false">Setup!$C$5+361</f>
        <v>46388</v>
      </c>
      <c r="C92" s="12" t="s">
        <v>88</v>
      </c>
      <c r="D92" s="14"/>
      <c r="E92" s="14"/>
      <c r="F92" s="14"/>
      <c r="G92" s="14"/>
      <c r="H92" s="15"/>
      <c r="I92" s="16"/>
      <c r="J92" s="17"/>
      <c r="K92" s="15"/>
      <c r="L92" s="18"/>
      <c r="M92" s="15"/>
      <c r="N92" s="17"/>
      <c r="O92" s="19"/>
      <c r="P92" s="20" t="n">
        <f aca="false">IFERROR(H92/Setup!$C$6,"")</f>
        <v>0</v>
      </c>
      <c r="Q92" s="20" t="n">
        <f aca="false">IFERROR(H92-P92,"")</f>
        <v>0</v>
      </c>
      <c r="R92" s="17"/>
      <c r="S92" s="16"/>
    </row>
    <row r="93" customFormat="false" ht="15" hidden="false" customHeight="false" outlineLevel="0" collapsed="false">
      <c r="A93" s="12" t="str">
        <f aca="false">TEXT(Setup!$C$5+361,"dddd")</f>
        <v>Friday</v>
      </c>
      <c r="B93" s="13" t="n">
        <f aca="false">Setup!$C$5+361</f>
        <v>46388</v>
      </c>
      <c r="C93" s="12" t="s">
        <v>89</v>
      </c>
      <c r="D93" s="14"/>
      <c r="E93" s="14"/>
      <c r="F93" s="14"/>
      <c r="G93" s="14"/>
      <c r="H93" s="15"/>
      <c r="I93" s="16"/>
      <c r="J93" s="17"/>
      <c r="K93" s="15"/>
      <c r="L93" s="18"/>
      <c r="M93" s="15"/>
      <c r="N93" s="17"/>
      <c r="O93" s="19"/>
      <c r="P93" s="20" t="n">
        <f aca="false">IFERROR(H93/Setup!$C$6,"")</f>
        <v>0</v>
      </c>
      <c r="Q93" s="20" t="n">
        <f aca="false">IFERROR(H93-P93,"")</f>
        <v>0</v>
      </c>
      <c r="R93" s="17"/>
      <c r="S93" s="16"/>
    </row>
    <row r="94" customFormat="false" ht="15" hidden="false" customHeight="false" outlineLevel="0" collapsed="false">
      <c r="A94" s="12" t="str">
        <f aca="false">TEXT(Setup!$C$5+361,"dddd")</f>
        <v>Friday</v>
      </c>
      <c r="B94" s="13" t="n">
        <f aca="false">Setup!$C$5+361</f>
        <v>46388</v>
      </c>
      <c r="C94" s="12" t="s">
        <v>90</v>
      </c>
      <c r="D94" s="14"/>
      <c r="E94" s="14"/>
      <c r="F94" s="14"/>
      <c r="G94" s="14"/>
      <c r="H94" s="15"/>
      <c r="I94" s="16"/>
      <c r="J94" s="17"/>
      <c r="K94" s="15"/>
      <c r="L94" s="18"/>
      <c r="M94" s="15"/>
      <c r="N94" s="17"/>
      <c r="O94" s="19"/>
      <c r="P94" s="20" t="n">
        <f aca="false">IFERROR(H94/Setup!$C$6,"")</f>
        <v>0</v>
      </c>
      <c r="Q94" s="20" t="n">
        <f aca="false">IFERROR(H94-P94,"")</f>
        <v>0</v>
      </c>
      <c r="R94" s="17"/>
      <c r="S94" s="16"/>
    </row>
    <row r="95" customFormat="false" ht="15" hidden="false" customHeight="false" outlineLevel="0" collapsed="false">
      <c r="A95" s="12" t="str">
        <f aca="false">TEXT(Setup!$C$5+361,"dddd")</f>
        <v>Friday</v>
      </c>
      <c r="B95" s="13" t="n">
        <f aca="false">Setup!$C$5+361</f>
        <v>46388</v>
      </c>
      <c r="C95" s="12" t="s">
        <v>91</v>
      </c>
      <c r="D95" s="14"/>
      <c r="E95" s="14"/>
      <c r="F95" s="14"/>
      <c r="G95" s="14"/>
      <c r="H95" s="15"/>
      <c r="I95" s="16"/>
      <c r="J95" s="17"/>
      <c r="K95" s="15"/>
      <c r="L95" s="18"/>
      <c r="M95" s="15"/>
      <c r="N95" s="17"/>
      <c r="O95" s="19"/>
      <c r="P95" s="20" t="n">
        <f aca="false">IFERROR(H95/Setup!$C$6,"")</f>
        <v>0</v>
      </c>
      <c r="Q95" s="20" t="n">
        <f aca="false">IFERROR(H95-P95,"")</f>
        <v>0</v>
      </c>
      <c r="R95" s="17"/>
      <c r="S95" s="16"/>
    </row>
    <row r="96" customFormat="false" ht="15" hidden="false" customHeight="false" outlineLevel="0" collapsed="false">
      <c r="A96" s="12" t="str">
        <f aca="false">TEXT(Setup!$C$5+361,"dddd")</f>
        <v>Friday</v>
      </c>
      <c r="B96" s="13" t="n">
        <f aca="false">Setup!$C$5+361</f>
        <v>46388</v>
      </c>
      <c r="C96" s="12" t="s">
        <v>92</v>
      </c>
      <c r="D96" s="14"/>
      <c r="E96" s="14"/>
      <c r="F96" s="14"/>
      <c r="G96" s="14"/>
      <c r="H96" s="15"/>
      <c r="I96" s="16"/>
      <c r="J96" s="17"/>
      <c r="K96" s="15"/>
      <c r="L96" s="18"/>
      <c r="M96" s="15"/>
      <c r="N96" s="17"/>
      <c r="O96" s="19"/>
      <c r="P96" s="20" t="n">
        <f aca="false">IFERROR(H96/Setup!$C$6,"")</f>
        <v>0</v>
      </c>
      <c r="Q96" s="20" t="n">
        <f aca="false">IFERROR(H96-P96,"")</f>
        <v>0</v>
      </c>
      <c r="R96" s="17"/>
      <c r="S96" s="16"/>
    </row>
    <row r="97" customFormat="false" ht="15" hidden="false" customHeight="false" outlineLevel="0" collapsed="false">
      <c r="A97" s="12" t="str">
        <f aca="false">TEXT(Setup!$C$5+361,"dddd")</f>
        <v>Friday</v>
      </c>
      <c r="B97" s="13" t="n">
        <f aca="false">Setup!$C$5+361</f>
        <v>46388</v>
      </c>
      <c r="C97" s="12" t="s">
        <v>93</v>
      </c>
      <c r="D97" s="14"/>
      <c r="E97" s="14"/>
      <c r="F97" s="14"/>
      <c r="G97" s="14"/>
      <c r="H97" s="15"/>
      <c r="I97" s="16"/>
      <c r="J97" s="17"/>
      <c r="K97" s="15"/>
      <c r="L97" s="18"/>
      <c r="M97" s="15"/>
      <c r="N97" s="17"/>
      <c r="O97" s="19"/>
      <c r="P97" s="20" t="n">
        <f aca="false">IFERROR(H97/Setup!$C$6,"")</f>
        <v>0</v>
      </c>
      <c r="Q97" s="20" t="n">
        <f aca="false">IFERROR(H97-P97,"")</f>
        <v>0</v>
      </c>
      <c r="R97" s="17"/>
      <c r="S97" s="16"/>
    </row>
    <row r="98" customFormat="false" ht="15" hidden="false" customHeight="false" outlineLevel="0" collapsed="false">
      <c r="A98" s="12" t="str">
        <f aca="false">TEXT(Setup!$C$5+361,"dddd")</f>
        <v>Friday</v>
      </c>
      <c r="B98" s="13" t="n">
        <f aca="false">Setup!$C$5+361</f>
        <v>46388</v>
      </c>
      <c r="C98" s="12" t="s">
        <v>94</v>
      </c>
      <c r="D98" s="14"/>
      <c r="E98" s="14"/>
      <c r="F98" s="14"/>
      <c r="G98" s="14"/>
      <c r="H98" s="15"/>
      <c r="I98" s="16"/>
      <c r="J98" s="17"/>
      <c r="K98" s="15"/>
      <c r="L98" s="18"/>
      <c r="M98" s="15"/>
      <c r="N98" s="17"/>
      <c r="O98" s="19"/>
      <c r="P98" s="20" t="n">
        <f aca="false">IFERROR(H98/Setup!$C$6,"")</f>
        <v>0</v>
      </c>
      <c r="Q98" s="20" t="n">
        <f aca="false">IFERROR(H98-P98,"")</f>
        <v>0</v>
      </c>
      <c r="R98" s="17"/>
      <c r="S98" s="16"/>
    </row>
    <row r="99" customFormat="false" ht="15" hidden="false" customHeight="false" outlineLevel="0" collapsed="false">
      <c r="A99" s="12" t="str">
        <f aca="false">TEXT(Setup!$C$5+361,"dddd")</f>
        <v>Friday</v>
      </c>
      <c r="B99" s="13" t="n">
        <f aca="false">Setup!$C$5+361</f>
        <v>46388</v>
      </c>
      <c r="C99" s="12" t="s">
        <v>95</v>
      </c>
      <c r="D99" s="14"/>
      <c r="E99" s="14"/>
      <c r="F99" s="14"/>
      <c r="G99" s="14"/>
      <c r="H99" s="15"/>
      <c r="I99" s="16"/>
      <c r="J99" s="17"/>
      <c r="K99" s="15"/>
      <c r="L99" s="18"/>
      <c r="M99" s="15"/>
      <c r="N99" s="17"/>
      <c r="O99" s="19"/>
      <c r="P99" s="20" t="n">
        <f aca="false">IFERROR(H99/Setup!$C$6,"")</f>
        <v>0</v>
      </c>
      <c r="Q99" s="20" t="n">
        <f aca="false">IFERROR(H99-P99,"")</f>
        <v>0</v>
      </c>
      <c r="R99" s="17"/>
      <c r="S99" s="16"/>
    </row>
    <row r="100" customFormat="false" ht="15" hidden="false" customHeight="false" outlineLevel="0" collapsed="false">
      <c r="A100" s="12" t="str">
        <f aca="false">TEXT(Setup!$C$5+361,"dddd")</f>
        <v>Friday</v>
      </c>
      <c r="B100" s="13" t="n">
        <f aca="false">Setup!$C$5+361</f>
        <v>46388</v>
      </c>
      <c r="C100" s="12" t="s">
        <v>96</v>
      </c>
      <c r="D100" s="14"/>
      <c r="E100" s="14"/>
      <c r="F100" s="14"/>
      <c r="G100" s="14"/>
      <c r="H100" s="15"/>
      <c r="I100" s="16"/>
      <c r="J100" s="17"/>
      <c r="K100" s="15"/>
      <c r="L100" s="18"/>
      <c r="M100" s="15"/>
      <c r="N100" s="17"/>
      <c r="O100" s="19"/>
      <c r="P100" s="20" t="n">
        <f aca="false">IFERROR(H100/Setup!$C$6,"")</f>
        <v>0</v>
      </c>
      <c r="Q100" s="20" t="n">
        <f aca="false">IFERROR(H100-P100,"")</f>
        <v>0</v>
      </c>
      <c r="R100" s="17"/>
      <c r="S100" s="16"/>
    </row>
    <row r="101" customFormat="false" ht="15" hidden="false" customHeight="false" outlineLevel="0" collapsed="false">
      <c r="A101" s="12" t="str">
        <f aca="false">TEXT(Setup!$C$5+361,"dddd")</f>
        <v>Friday</v>
      </c>
      <c r="B101" s="13" t="n">
        <f aca="false">Setup!$C$5+361</f>
        <v>46388</v>
      </c>
      <c r="C101" s="12" t="s">
        <v>97</v>
      </c>
      <c r="D101" s="14"/>
      <c r="E101" s="14"/>
      <c r="F101" s="14"/>
      <c r="G101" s="14"/>
      <c r="H101" s="15"/>
      <c r="I101" s="16"/>
      <c r="J101" s="17"/>
      <c r="K101" s="15"/>
      <c r="L101" s="18"/>
      <c r="M101" s="15"/>
      <c r="N101" s="17"/>
      <c r="O101" s="19"/>
      <c r="P101" s="20" t="n">
        <f aca="false">IFERROR(H101/Setup!$C$6,"")</f>
        <v>0</v>
      </c>
      <c r="Q101" s="20" t="n">
        <f aca="false">IFERROR(H101-P101,"")</f>
        <v>0</v>
      </c>
      <c r="R101" s="17"/>
      <c r="S101" s="16"/>
    </row>
    <row r="102" customFormat="false" ht="15" hidden="false" customHeight="false" outlineLevel="0" collapsed="false">
      <c r="A102" s="12" t="str">
        <f aca="false">TEXT(Setup!$C$5+361,"dddd")</f>
        <v>Friday</v>
      </c>
      <c r="B102" s="13" t="n">
        <f aca="false">Setup!$C$5+361</f>
        <v>46388</v>
      </c>
      <c r="C102" s="12" t="s">
        <v>98</v>
      </c>
      <c r="D102" s="14"/>
      <c r="E102" s="14"/>
      <c r="F102" s="14"/>
      <c r="G102" s="14"/>
      <c r="H102" s="15"/>
      <c r="I102" s="16"/>
      <c r="J102" s="17"/>
      <c r="K102" s="15"/>
      <c r="L102" s="18"/>
      <c r="M102" s="15"/>
      <c r="N102" s="17"/>
      <c r="O102" s="19"/>
      <c r="P102" s="20" t="n">
        <f aca="false">IFERROR(H102/Setup!$C$6,"")</f>
        <v>0</v>
      </c>
      <c r="Q102" s="20" t="n">
        <f aca="false">IFERROR(H102-P102,"")</f>
        <v>0</v>
      </c>
      <c r="R102" s="17"/>
      <c r="S102" s="16"/>
    </row>
    <row r="103" customFormat="false" ht="15" hidden="false" customHeight="false" outlineLevel="0" collapsed="false">
      <c r="A103" s="12" t="str">
        <f aca="false">TEXT(Setup!$C$5+361,"dddd")</f>
        <v>Friday</v>
      </c>
      <c r="B103" s="13" t="n">
        <f aca="false">Setup!$C$5+361</f>
        <v>46388</v>
      </c>
      <c r="C103" s="12" t="s">
        <v>99</v>
      </c>
      <c r="D103" s="14"/>
      <c r="E103" s="14"/>
      <c r="F103" s="14"/>
      <c r="G103" s="14"/>
      <c r="H103" s="15"/>
      <c r="I103" s="16"/>
      <c r="J103" s="17"/>
      <c r="K103" s="15"/>
      <c r="L103" s="18"/>
      <c r="M103" s="15"/>
      <c r="N103" s="17"/>
      <c r="O103" s="19"/>
      <c r="P103" s="20" t="n">
        <f aca="false">IFERROR(H103/Setup!$C$6,"")</f>
        <v>0</v>
      </c>
      <c r="Q103" s="20" t="n">
        <f aca="false">IFERROR(H103-P103,"")</f>
        <v>0</v>
      </c>
      <c r="R103" s="17"/>
      <c r="S103" s="16"/>
    </row>
    <row r="104" customFormat="false" ht="15" hidden="false" customHeight="false" outlineLevel="0" collapsed="false">
      <c r="A104" s="12" t="str">
        <f aca="false">TEXT(Setup!$C$5+361,"dddd")</f>
        <v>Friday</v>
      </c>
      <c r="B104" s="13" t="n">
        <f aca="false">Setup!$C$5+361</f>
        <v>46388</v>
      </c>
      <c r="C104" s="12" t="s">
        <v>100</v>
      </c>
      <c r="D104" s="14"/>
      <c r="E104" s="14"/>
      <c r="F104" s="14"/>
      <c r="G104" s="14"/>
      <c r="H104" s="15"/>
      <c r="I104" s="16"/>
      <c r="J104" s="17"/>
      <c r="K104" s="15"/>
      <c r="L104" s="18"/>
      <c r="M104" s="15"/>
      <c r="N104" s="17"/>
      <c r="O104" s="19"/>
      <c r="P104" s="20" t="n">
        <f aca="false">IFERROR(H104/Setup!$C$6,"")</f>
        <v>0</v>
      </c>
      <c r="Q104" s="20" t="n">
        <f aca="false">IFERROR(H104-P104,"")</f>
        <v>0</v>
      </c>
      <c r="R104" s="17"/>
      <c r="S104" s="16"/>
    </row>
    <row r="105" customFormat="false" ht="15" hidden="false" customHeight="false" outlineLevel="0" collapsed="false">
      <c r="A105" s="12" t="str">
        <f aca="false">TEXT(Setup!$C$5+361,"dddd")</f>
        <v>Friday</v>
      </c>
      <c r="B105" s="13" t="n">
        <f aca="false">Setup!$C$5+361</f>
        <v>46388</v>
      </c>
      <c r="C105" s="12" t="s">
        <v>101</v>
      </c>
      <c r="D105" s="14"/>
      <c r="E105" s="14"/>
      <c r="F105" s="14"/>
      <c r="G105" s="14"/>
      <c r="H105" s="15"/>
      <c r="I105" s="16"/>
      <c r="J105" s="17"/>
      <c r="K105" s="15"/>
      <c r="L105" s="18"/>
      <c r="M105" s="15"/>
      <c r="N105" s="17"/>
      <c r="O105" s="19"/>
      <c r="P105" s="20" t="n">
        <f aca="false">IFERROR(H105/Setup!$C$6,"")</f>
        <v>0</v>
      </c>
      <c r="Q105" s="20" t="n">
        <f aca="false">IFERROR(H105-P105,"")</f>
        <v>0</v>
      </c>
      <c r="R105" s="17"/>
      <c r="S105" s="16"/>
    </row>
    <row r="106" customFormat="false" ht="15" hidden="false" customHeight="false" outlineLevel="0" collapsed="false">
      <c r="A106" s="12" t="str">
        <f aca="false">TEXT(Setup!$C$5+361,"dddd")</f>
        <v>Friday</v>
      </c>
      <c r="B106" s="13" t="n">
        <f aca="false">Setup!$C$5+361</f>
        <v>46388</v>
      </c>
      <c r="C106" s="12" t="s">
        <v>102</v>
      </c>
      <c r="D106" s="14"/>
      <c r="E106" s="14"/>
      <c r="F106" s="14"/>
      <c r="G106" s="14"/>
      <c r="H106" s="15"/>
      <c r="I106" s="16"/>
      <c r="J106" s="17"/>
      <c r="K106" s="15"/>
      <c r="L106" s="18"/>
      <c r="M106" s="15"/>
      <c r="N106" s="17"/>
      <c r="O106" s="19"/>
      <c r="P106" s="20" t="n">
        <f aca="false">IFERROR(H106/Setup!$C$6,"")</f>
        <v>0</v>
      </c>
      <c r="Q106" s="20" t="n">
        <f aca="false">IFERROR(H106-P106,"")</f>
        <v>0</v>
      </c>
      <c r="R106" s="17"/>
      <c r="S106" s="16"/>
    </row>
    <row r="107" customFormat="false" ht="15" hidden="false" customHeight="false" outlineLevel="0" collapsed="false">
      <c r="A107" s="12" t="str">
        <f aca="false">TEXT(Setup!$C$5+361,"dddd")</f>
        <v>Friday</v>
      </c>
      <c r="B107" s="13" t="n">
        <f aca="false">Setup!$C$5+361</f>
        <v>46388</v>
      </c>
      <c r="C107" s="12" t="s">
        <v>103</v>
      </c>
      <c r="D107" s="14"/>
      <c r="E107" s="14"/>
      <c r="F107" s="14"/>
      <c r="G107" s="14"/>
      <c r="H107" s="15"/>
      <c r="I107" s="16"/>
      <c r="J107" s="17"/>
      <c r="K107" s="15"/>
      <c r="L107" s="18"/>
      <c r="M107" s="15"/>
      <c r="N107" s="17"/>
      <c r="O107" s="19"/>
      <c r="P107" s="20" t="n">
        <f aca="false">IFERROR(H107/Setup!$C$6,"")</f>
        <v>0</v>
      </c>
      <c r="Q107" s="20" t="n">
        <f aca="false">IFERROR(H107-P107,"")</f>
        <v>0</v>
      </c>
      <c r="R107" s="17"/>
      <c r="S107" s="16"/>
    </row>
    <row r="108" customFormat="false" ht="15" hidden="false" customHeight="false" outlineLevel="0" collapsed="false">
      <c r="A108" s="12" t="str">
        <f aca="false">TEXT(Setup!$C$5+361,"dddd")</f>
        <v>Friday</v>
      </c>
      <c r="B108" s="13" t="n">
        <f aca="false">Setup!$C$5+361</f>
        <v>46388</v>
      </c>
      <c r="C108" s="12" t="s">
        <v>104</v>
      </c>
      <c r="D108" s="14"/>
      <c r="E108" s="14"/>
      <c r="F108" s="14"/>
      <c r="G108" s="14"/>
      <c r="H108" s="15"/>
      <c r="I108" s="16"/>
      <c r="J108" s="17"/>
      <c r="K108" s="15"/>
      <c r="L108" s="18"/>
      <c r="M108" s="15"/>
      <c r="N108" s="17"/>
      <c r="O108" s="19"/>
      <c r="P108" s="20" t="n">
        <f aca="false">IFERROR(H108/Setup!$C$6,"")</f>
        <v>0</v>
      </c>
      <c r="Q108" s="20" t="n">
        <f aca="false">IFERROR(H108-P108,"")</f>
        <v>0</v>
      </c>
      <c r="R108" s="17"/>
      <c r="S108" s="16"/>
    </row>
    <row r="109" customFormat="false" ht="15" hidden="false" customHeight="false" outlineLevel="0" collapsed="false">
      <c r="A109" s="12" t="str">
        <f aca="false">TEXT(Setup!$C$5+361,"dddd")</f>
        <v>Friday</v>
      </c>
      <c r="B109" s="13" t="n">
        <f aca="false">Setup!$C$5+361</f>
        <v>46388</v>
      </c>
      <c r="C109" s="12" t="s">
        <v>105</v>
      </c>
      <c r="D109" s="14"/>
      <c r="E109" s="14"/>
      <c r="F109" s="14"/>
      <c r="G109" s="14"/>
      <c r="H109" s="15"/>
      <c r="I109" s="16"/>
      <c r="J109" s="17"/>
      <c r="K109" s="15"/>
      <c r="L109" s="18"/>
      <c r="M109" s="15"/>
      <c r="N109" s="17"/>
      <c r="O109" s="19"/>
      <c r="P109" s="20" t="n">
        <f aca="false">IFERROR(H109/Setup!$C$6,"")</f>
        <v>0</v>
      </c>
      <c r="Q109" s="20" t="n">
        <f aca="false">IFERROR(H109-P109,"")</f>
        <v>0</v>
      </c>
      <c r="R109" s="17"/>
      <c r="S109" s="16"/>
    </row>
    <row r="110" customFormat="false" ht="15" hidden="false" customHeight="false" outlineLevel="0" collapsed="false">
      <c r="A110" s="12" t="str">
        <f aca="false">TEXT(Setup!$C$5+361,"dddd")</f>
        <v>Friday</v>
      </c>
      <c r="B110" s="13" t="n">
        <f aca="false">Setup!$C$5+361</f>
        <v>46388</v>
      </c>
      <c r="C110" s="21" t="s">
        <v>106</v>
      </c>
      <c r="D110" s="14"/>
      <c r="E110" s="14"/>
      <c r="F110" s="14"/>
      <c r="G110" s="14"/>
      <c r="H110" s="15"/>
      <c r="I110" s="16"/>
      <c r="J110" s="17"/>
      <c r="K110" s="15"/>
      <c r="L110" s="18"/>
      <c r="M110" s="15"/>
      <c r="N110" s="17"/>
      <c r="O110" s="19"/>
      <c r="P110" s="20" t="n">
        <f aca="false">IFERROR(H110/Setup!$C$6,"")</f>
        <v>0</v>
      </c>
      <c r="Q110" s="20" t="n">
        <f aca="false">IFERROR(H110-P110,"")</f>
        <v>0</v>
      </c>
      <c r="R110" s="17"/>
      <c r="S110" s="16"/>
    </row>
    <row r="111" customFormat="false" ht="15" hidden="false" customHeight="false" outlineLevel="0" collapsed="false">
      <c r="A111" s="22" t="str">
        <f aca="false">TEXT(Setup!$C$5+361,"dddd")</f>
        <v>Friday</v>
      </c>
      <c r="B111" s="23" t="n">
        <f aca="false">Setup!$C$5+361</f>
        <v>46388</v>
      </c>
      <c r="C111" s="22" t="s">
        <v>107</v>
      </c>
      <c r="D111" s="24" t="n">
        <f aca="false">SUM(D90:D110)</f>
        <v>0</v>
      </c>
      <c r="E111" s="24" t="n">
        <f aca="false">SUM(E90:E110)</f>
        <v>0</v>
      </c>
      <c r="F111" s="24" t="n">
        <f aca="false">SUM(F90:F110)</f>
        <v>0</v>
      </c>
      <c r="G111" s="24" t="n">
        <f aca="false">SUM(G90:G110)</f>
        <v>0</v>
      </c>
      <c r="H111" s="25" t="n">
        <f aca="false">SUM(H90:H110)</f>
        <v>0</v>
      </c>
      <c r="I111" s="26" t="str">
        <f aca="false">IFERROR(E111/D111,"")</f>
        <v/>
      </c>
      <c r="J111" s="25" t="str">
        <f aca="false">IFERROR(H111/E111,"")</f>
        <v/>
      </c>
      <c r="K111" s="25" t="n">
        <f aca="false">SUM(K90:K110)</f>
        <v>0</v>
      </c>
      <c r="L111" s="22"/>
      <c r="M111" s="25" t="n">
        <f aca="false">SUM(M90:M110)</f>
        <v>0</v>
      </c>
      <c r="N111" s="25" t="n">
        <f aca="false">IFERROR(H111-Wk51!H111,"")</f>
        <v>0</v>
      </c>
      <c r="O111" s="24" t="n">
        <f aca="false">IFERROR(D111-Wk51!D111,"")</f>
        <v>0</v>
      </c>
      <c r="P111" s="25" t="n">
        <f aca="false">SUM(P90:P110)</f>
        <v>0</v>
      </c>
      <c r="Q111" s="25" t="n">
        <f aca="false">SUM(Q90:Q110)</f>
        <v>0</v>
      </c>
      <c r="R111" s="25" t="n">
        <f aca="false">IFERROR(INDEX('Last Year'!$C$6:$C$369,MATCH(B111-364,'Last Year'!$B$6:$B$369,0)),"")</f>
        <v>0</v>
      </c>
      <c r="S111" s="26" t="str">
        <f aca="false">IFERROR(H111/R111-1,"")</f>
        <v/>
      </c>
    </row>
    <row r="112" customFormat="false" ht="15" hidden="false" customHeight="false" outlineLevel="0" collapsed="false">
      <c r="A112" s="12" t="str">
        <f aca="false">TEXT(Setup!$C$5+362,"dddd")</f>
        <v>Saturday</v>
      </c>
      <c r="B112" s="13" t="n">
        <f aca="false">Setup!$C$5+362</f>
        <v>46389</v>
      </c>
      <c r="C112" s="12" t="s">
        <v>86</v>
      </c>
      <c r="D112" s="14"/>
      <c r="E112" s="14"/>
      <c r="F112" s="14"/>
      <c r="G112" s="14"/>
      <c r="H112" s="15"/>
      <c r="I112" s="16"/>
      <c r="J112" s="17"/>
      <c r="K112" s="15"/>
      <c r="L112" s="18"/>
      <c r="M112" s="15"/>
      <c r="N112" s="17"/>
      <c r="O112" s="19"/>
      <c r="P112" s="20" t="n">
        <f aca="false">IFERROR(H112/Setup!$C$6,"")</f>
        <v>0</v>
      </c>
      <c r="Q112" s="20" t="n">
        <f aca="false">IFERROR(H112-P112,"")</f>
        <v>0</v>
      </c>
      <c r="R112" s="17"/>
      <c r="S112" s="16"/>
    </row>
    <row r="113" customFormat="false" ht="15" hidden="false" customHeight="false" outlineLevel="0" collapsed="false">
      <c r="A113" s="12" t="str">
        <f aca="false">TEXT(Setup!$C$5+362,"dddd")</f>
        <v>Saturday</v>
      </c>
      <c r="B113" s="13" t="n">
        <f aca="false">Setup!$C$5+362</f>
        <v>46389</v>
      </c>
      <c r="C113" s="12" t="s">
        <v>87</v>
      </c>
      <c r="D113" s="14"/>
      <c r="E113" s="14"/>
      <c r="F113" s="14"/>
      <c r="G113" s="14"/>
      <c r="H113" s="15"/>
      <c r="I113" s="16"/>
      <c r="J113" s="17"/>
      <c r="K113" s="15"/>
      <c r="L113" s="18"/>
      <c r="M113" s="15"/>
      <c r="N113" s="17"/>
      <c r="O113" s="19"/>
      <c r="P113" s="20" t="n">
        <f aca="false">IFERROR(H113/Setup!$C$6,"")</f>
        <v>0</v>
      </c>
      <c r="Q113" s="20" t="n">
        <f aca="false">IFERROR(H113-P113,"")</f>
        <v>0</v>
      </c>
      <c r="R113" s="17"/>
      <c r="S113" s="16"/>
    </row>
    <row r="114" customFormat="false" ht="15" hidden="false" customHeight="false" outlineLevel="0" collapsed="false">
      <c r="A114" s="12" t="str">
        <f aca="false">TEXT(Setup!$C$5+362,"dddd")</f>
        <v>Saturday</v>
      </c>
      <c r="B114" s="13" t="n">
        <f aca="false">Setup!$C$5+362</f>
        <v>46389</v>
      </c>
      <c r="C114" s="12" t="s">
        <v>88</v>
      </c>
      <c r="D114" s="14"/>
      <c r="E114" s="14"/>
      <c r="F114" s="14"/>
      <c r="G114" s="14"/>
      <c r="H114" s="15"/>
      <c r="I114" s="16"/>
      <c r="J114" s="17"/>
      <c r="K114" s="15"/>
      <c r="L114" s="18"/>
      <c r="M114" s="15"/>
      <c r="N114" s="17"/>
      <c r="O114" s="19"/>
      <c r="P114" s="20" t="n">
        <f aca="false">IFERROR(H114/Setup!$C$6,"")</f>
        <v>0</v>
      </c>
      <c r="Q114" s="20" t="n">
        <f aca="false">IFERROR(H114-P114,"")</f>
        <v>0</v>
      </c>
      <c r="R114" s="17"/>
      <c r="S114" s="16"/>
    </row>
    <row r="115" customFormat="false" ht="15" hidden="false" customHeight="false" outlineLevel="0" collapsed="false">
      <c r="A115" s="12" t="str">
        <f aca="false">TEXT(Setup!$C$5+362,"dddd")</f>
        <v>Saturday</v>
      </c>
      <c r="B115" s="13" t="n">
        <f aca="false">Setup!$C$5+362</f>
        <v>46389</v>
      </c>
      <c r="C115" s="12" t="s">
        <v>89</v>
      </c>
      <c r="D115" s="14"/>
      <c r="E115" s="14"/>
      <c r="F115" s="14"/>
      <c r="G115" s="14"/>
      <c r="H115" s="15"/>
      <c r="I115" s="16"/>
      <c r="J115" s="17"/>
      <c r="K115" s="15"/>
      <c r="L115" s="18"/>
      <c r="M115" s="15"/>
      <c r="N115" s="17"/>
      <c r="O115" s="19"/>
      <c r="P115" s="20" t="n">
        <f aca="false">IFERROR(H115/Setup!$C$6,"")</f>
        <v>0</v>
      </c>
      <c r="Q115" s="20" t="n">
        <f aca="false">IFERROR(H115-P115,"")</f>
        <v>0</v>
      </c>
      <c r="R115" s="17"/>
      <c r="S115" s="16"/>
    </row>
    <row r="116" customFormat="false" ht="15" hidden="false" customHeight="false" outlineLevel="0" collapsed="false">
      <c r="A116" s="12" t="str">
        <f aca="false">TEXT(Setup!$C$5+362,"dddd")</f>
        <v>Saturday</v>
      </c>
      <c r="B116" s="13" t="n">
        <f aca="false">Setup!$C$5+362</f>
        <v>46389</v>
      </c>
      <c r="C116" s="12" t="s">
        <v>90</v>
      </c>
      <c r="D116" s="14"/>
      <c r="E116" s="14"/>
      <c r="F116" s="14"/>
      <c r="G116" s="14"/>
      <c r="H116" s="15"/>
      <c r="I116" s="16"/>
      <c r="J116" s="17"/>
      <c r="K116" s="15"/>
      <c r="L116" s="18"/>
      <c r="M116" s="15"/>
      <c r="N116" s="17"/>
      <c r="O116" s="19"/>
      <c r="P116" s="20" t="n">
        <f aca="false">IFERROR(H116/Setup!$C$6,"")</f>
        <v>0</v>
      </c>
      <c r="Q116" s="20" t="n">
        <f aca="false">IFERROR(H116-P116,"")</f>
        <v>0</v>
      </c>
      <c r="R116" s="17"/>
      <c r="S116" s="16"/>
    </row>
    <row r="117" customFormat="false" ht="15" hidden="false" customHeight="false" outlineLevel="0" collapsed="false">
      <c r="A117" s="12" t="str">
        <f aca="false">TEXT(Setup!$C$5+362,"dddd")</f>
        <v>Saturday</v>
      </c>
      <c r="B117" s="13" t="n">
        <f aca="false">Setup!$C$5+362</f>
        <v>46389</v>
      </c>
      <c r="C117" s="12" t="s">
        <v>91</v>
      </c>
      <c r="D117" s="14"/>
      <c r="E117" s="14"/>
      <c r="F117" s="14"/>
      <c r="G117" s="14"/>
      <c r="H117" s="15"/>
      <c r="I117" s="16"/>
      <c r="J117" s="17"/>
      <c r="K117" s="15"/>
      <c r="L117" s="18"/>
      <c r="M117" s="15"/>
      <c r="N117" s="17"/>
      <c r="O117" s="19"/>
      <c r="P117" s="20" t="n">
        <f aca="false">IFERROR(H117/Setup!$C$6,"")</f>
        <v>0</v>
      </c>
      <c r="Q117" s="20" t="n">
        <f aca="false">IFERROR(H117-P117,"")</f>
        <v>0</v>
      </c>
      <c r="R117" s="17"/>
      <c r="S117" s="16"/>
    </row>
    <row r="118" customFormat="false" ht="15" hidden="false" customHeight="false" outlineLevel="0" collapsed="false">
      <c r="A118" s="12" t="str">
        <f aca="false">TEXT(Setup!$C$5+362,"dddd")</f>
        <v>Saturday</v>
      </c>
      <c r="B118" s="13" t="n">
        <f aca="false">Setup!$C$5+362</f>
        <v>46389</v>
      </c>
      <c r="C118" s="12" t="s">
        <v>92</v>
      </c>
      <c r="D118" s="14"/>
      <c r="E118" s="14"/>
      <c r="F118" s="14"/>
      <c r="G118" s="14"/>
      <c r="H118" s="15"/>
      <c r="I118" s="16"/>
      <c r="J118" s="17"/>
      <c r="K118" s="15"/>
      <c r="L118" s="18"/>
      <c r="M118" s="15"/>
      <c r="N118" s="17"/>
      <c r="O118" s="19"/>
      <c r="P118" s="20" t="n">
        <f aca="false">IFERROR(H118/Setup!$C$6,"")</f>
        <v>0</v>
      </c>
      <c r="Q118" s="20" t="n">
        <f aca="false">IFERROR(H118-P118,"")</f>
        <v>0</v>
      </c>
      <c r="R118" s="17"/>
      <c r="S118" s="16"/>
    </row>
    <row r="119" customFormat="false" ht="15" hidden="false" customHeight="false" outlineLevel="0" collapsed="false">
      <c r="A119" s="12" t="str">
        <f aca="false">TEXT(Setup!$C$5+362,"dddd")</f>
        <v>Saturday</v>
      </c>
      <c r="B119" s="13" t="n">
        <f aca="false">Setup!$C$5+362</f>
        <v>46389</v>
      </c>
      <c r="C119" s="12" t="s">
        <v>93</v>
      </c>
      <c r="D119" s="14"/>
      <c r="E119" s="14"/>
      <c r="F119" s="14"/>
      <c r="G119" s="14"/>
      <c r="H119" s="15"/>
      <c r="I119" s="16"/>
      <c r="J119" s="17"/>
      <c r="K119" s="15"/>
      <c r="L119" s="18"/>
      <c r="M119" s="15"/>
      <c r="N119" s="17"/>
      <c r="O119" s="19"/>
      <c r="P119" s="20" t="n">
        <f aca="false">IFERROR(H119/Setup!$C$6,"")</f>
        <v>0</v>
      </c>
      <c r="Q119" s="20" t="n">
        <f aca="false">IFERROR(H119-P119,"")</f>
        <v>0</v>
      </c>
      <c r="R119" s="17"/>
      <c r="S119" s="16"/>
    </row>
    <row r="120" customFormat="false" ht="15" hidden="false" customHeight="false" outlineLevel="0" collapsed="false">
      <c r="A120" s="12" t="str">
        <f aca="false">TEXT(Setup!$C$5+362,"dddd")</f>
        <v>Saturday</v>
      </c>
      <c r="B120" s="13" t="n">
        <f aca="false">Setup!$C$5+362</f>
        <v>46389</v>
      </c>
      <c r="C120" s="12" t="s">
        <v>94</v>
      </c>
      <c r="D120" s="14"/>
      <c r="E120" s="14"/>
      <c r="F120" s="14"/>
      <c r="G120" s="14"/>
      <c r="H120" s="15"/>
      <c r="I120" s="16"/>
      <c r="J120" s="17"/>
      <c r="K120" s="15"/>
      <c r="L120" s="18"/>
      <c r="M120" s="15"/>
      <c r="N120" s="17"/>
      <c r="O120" s="19"/>
      <c r="P120" s="20" t="n">
        <f aca="false">IFERROR(H120/Setup!$C$6,"")</f>
        <v>0</v>
      </c>
      <c r="Q120" s="20" t="n">
        <f aca="false">IFERROR(H120-P120,"")</f>
        <v>0</v>
      </c>
      <c r="R120" s="17"/>
      <c r="S120" s="16"/>
    </row>
    <row r="121" customFormat="false" ht="15" hidden="false" customHeight="false" outlineLevel="0" collapsed="false">
      <c r="A121" s="12" t="str">
        <f aca="false">TEXT(Setup!$C$5+362,"dddd")</f>
        <v>Saturday</v>
      </c>
      <c r="B121" s="13" t="n">
        <f aca="false">Setup!$C$5+362</f>
        <v>46389</v>
      </c>
      <c r="C121" s="12" t="s">
        <v>95</v>
      </c>
      <c r="D121" s="14"/>
      <c r="E121" s="14"/>
      <c r="F121" s="14"/>
      <c r="G121" s="14"/>
      <c r="H121" s="15"/>
      <c r="I121" s="16"/>
      <c r="J121" s="17"/>
      <c r="K121" s="15"/>
      <c r="L121" s="18"/>
      <c r="M121" s="15"/>
      <c r="N121" s="17"/>
      <c r="O121" s="19"/>
      <c r="P121" s="20" t="n">
        <f aca="false">IFERROR(H121/Setup!$C$6,"")</f>
        <v>0</v>
      </c>
      <c r="Q121" s="20" t="n">
        <f aca="false">IFERROR(H121-P121,"")</f>
        <v>0</v>
      </c>
      <c r="R121" s="17"/>
      <c r="S121" s="16"/>
    </row>
    <row r="122" customFormat="false" ht="15" hidden="false" customHeight="false" outlineLevel="0" collapsed="false">
      <c r="A122" s="12" t="str">
        <f aca="false">TEXT(Setup!$C$5+362,"dddd")</f>
        <v>Saturday</v>
      </c>
      <c r="B122" s="13" t="n">
        <f aca="false">Setup!$C$5+362</f>
        <v>46389</v>
      </c>
      <c r="C122" s="12" t="s">
        <v>96</v>
      </c>
      <c r="D122" s="14"/>
      <c r="E122" s="14"/>
      <c r="F122" s="14"/>
      <c r="G122" s="14"/>
      <c r="H122" s="15"/>
      <c r="I122" s="16"/>
      <c r="J122" s="17"/>
      <c r="K122" s="15"/>
      <c r="L122" s="18"/>
      <c r="M122" s="15"/>
      <c r="N122" s="17"/>
      <c r="O122" s="19"/>
      <c r="P122" s="20" t="n">
        <f aca="false">IFERROR(H122/Setup!$C$6,"")</f>
        <v>0</v>
      </c>
      <c r="Q122" s="20" t="n">
        <f aca="false">IFERROR(H122-P122,"")</f>
        <v>0</v>
      </c>
      <c r="R122" s="17"/>
      <c r="S122" s="16"/>
    </row>
    <row r="123" customFormat="false" ht="15" hidden="false" customHeight="false" outlineLevel="0" collapsed="false">
      <c r="A123" s="12" t="str">
        <f aca="false">TEXT(Setup!$C$5+362,"dddd")</f>
        <v>Saturday</v>
      </c>
      <c r="B123" s="13" t="n">
        <f aca="false">Setup!$C$5+362</f>
        <v>46389</v>
      </c>
      <c r="C123" s="12" t="s">
        <v>97</v>
      </c>
      <c r="D123" s="14"/>
      <c r="E123" s="14"/>
      <c r="F123" s="14"/>
      <c r="G123" s="14"/>
      <c r="H123" s="15"/>
      <c r="I123" s="16"/>
      <c r="J123" s="17"/>
      <c r="K123" s="15"/>
      <c r="L123" s="18"/>
      <c r="M123" s="15"/>
      <c r="N123" s="17"/>
      <c r="O123" s="19"/>
      <c r="P123" s="20" t="n">
        <f aca="false">IFERROR(H123/Setup!$C$6,"")</f>
        <v>0</v>
      </c>
      <c r="Q123" s="20" t="n">
        <f aca="false">IFERROR(H123-P123,"")</f>
        <v>0</v>
      </c>
      <c r="R123" s="17"/>
      <c r="S123" s="16"/>
    </row>
    <row r="124" customFormat="false" ht="15" hidden="false" customHeight="false" outlineLevel="0" collapsed="false">
      <c r="A124" s="12" t="str">
        <f aca="false">TEXT(Setup!$C$5+362,"dddd")</f>
        <v>Saturday</v>
      </c>
      <c r="B124" s="13" t="n">
        <f aca="false">Setup!$C$5+362</f>
        <v>46389</v>
      </c>
      <c r="C124" s="12" t="s">
        <v>98</v>
      </c>
      <c r="D124" s="14"/>
      <c r="E124" s="14"/>
      <c r="F124" s="14"/>
      <c r="G124" s="14"/>
      <c r="H124" s="15"/>
      <c r="I124" s="16"/>
      <c r="J124" s="17"/>
      <c r="K124" s="15"/>
      <c r="L124" s="18"/>
      <c r="M124" s="15"/>
      <c r="N124" s="17"/>
      <c r="O124" s="19"/>
      <c r="P124" s="20" t="n">
        <f aca="false">IFERROR(H124/Setup!$C$6,"")</f>
        <v>0</v>
      </c>
      <c r="Q124" s="20" t="n">
        <f aca="false">IFERROR(H124-P124,"")</f>
        <v>0</v>
      </c>
      <c r="R124" s="17"/>
      <c r="S124" s="16"/>
    </row>
    <row r="125" customFormat="false" ht="15" hidden="false" customHeight="false" outlineLevel="0" collapsed="false">
      <c r="A125" s="12" t="str">
        <f aca="false">TEXT(Setup!$C$5+362,"dddd")</f>
        <v>Saturday</v>
      </c>
      <c r="B125" s="13" t="n">
        <f aca="false">Setup!$C$5+362</f>
        <v>46389</v>
      </c>
      <c r="C125" s="12" t="s">
        <v>99</v>
      </c>
      <c r="D125" s="14"/>
      <c r="E125" s="14"/>
      <c r="F125" s="14"/>
      <c r="G125" s="14"/>
      <c r="H125" s="15"/>
      <c r="I125" s="16"/>
      <c r="J125" s="17"/>
      <c r="K125" s="15"/>
      <c r="L125" s="18"/>
      <c r="M125" s="15"/>
      <c r="N125" s="17"/>
      <c r="O125" s="19"/>
      <c r="P125" s="20" t="n">
        <f aca="false">IFERROR(H125/Setup!$C$6,"")</f>
        <v>0</v>
      </c>
      <c r="Q125" s="20" t="n">
        <f aca="false">IFERROR(H125-P125,"")</f>
        <v>0</v>
      </c>
      <c r="R125" s="17"/>
      <c r="S125" s="16"/>
    </row>
    <row r="126" customFormat="false" ht="15" hidden="false" customHeight="false" outlineLevel="0" collapsed="false">
      <c r="A126" s="12" t="str">
        <f aca="false">TEXT(Setup!$C$5+362,"dddd")</f>
        <v>Saturday</v>
      </c>
      <c r="B126" s="13" t="n">
        <f aca="false">Setup!$C$5+362</f>
        <v>46389</v>
      </c>
      <c r="C126" s="12" t="s">
        <v>100</v>
      </c>
      <c r="D126" s="14"/>
      <c r="E126" s="14"/>
      <c r="F126" s="14"/>
      <c r="G126" s="14"/>
      <c r="H126" s="15"/>
      <c r="I126" s="16"/>
      <c r="J126" s="17"/>
      <c r="K126" s="15"/>
      <c r="L126" s="18"/>
      <c r="M126" s="15"/>
      <c r="N126" s="17"/>
      <c r="O126" s="19"/>
      <c r="P126" s="20" t="n">
        <f aca="false">IFERROR(H126/Setup!$C$6,"")</f>
        <v>0</v>
      </c>
      <c r="Q126" s="20" t="n">
        <f aca="false">IFERROR(H126-P126,"")</f>
        <v>0</v>
      </c>
      <c r="R126" s="17"/>
      <c r="S126" s="16"/>
    </row>
    <row r="127" customFormat="false" ht="15" hidden="false" customHeight="false" outlineLevel="0" collapsed="false">
      <c r="A127" s="12" t="str">
        <f aca="false">TEXT(Setup!$C$5+362,"dddd")</f>
        <v>Saturday</v>
      </c>
      <c r="B127" s="13" t="n">
        <f aca="false">Setup!$C$5+362</f>
        <v>46389</v>
      </c>
      <c r="C127" s="12" t="s">
        <v>101</v>
      </c>
      <c r="D127" s="14"/>
      <c r="E127" s="14"/>
      <c r="F127" s="14"/>
      <c r="G127" s="14"/>
      <c r="H127" s="15"/>
      <c r="I127" s="16"/>
      <c r="J127" s="17"/>
      <c r="K127" s="15"/>
      <c r="L127" s="18"/>
      <c r="M127" s="15"/>
      <c r="N127" s="17"/>
      <c r="O127" s="19"/>
      <c r="P127" s="20" t="n">
        <f aca="false">IFERROR(H127/Setup!$C$6,"")</f>
        <v>0</v>
      </c>
      <c r="Q127" s="20" t="n">
        <f aca="false">IFERROR(H127-P127,"")</f>
        <v>0</v>
      </c>
      <c r="R127" s="17"/>
      <c r="S127" s="16"/>
    </row>
    <row r="128" customFormat="false" ht="15" hidden="false" customHeight="false" outlineLevel="0" collapsed="false">
      <c r="A128" s="12" t="str">
        <f aca="false">TEXT(Setup!$C$5+362,"dddd")</f>
        <v>Saturday</v>
      </c>
      <c r="B128" s="13" t="n">
        <f aca="false">Setup!$C$5+362</f>
        <v>46389</v>
      </c>
      <c r="C128" s="12" t="s">
        <v>102</v>
      </c>
      <c r="D128" s="14"/>
      <c r="E128" s="14"/>
      <c r="F128" s="14"/>
      <c r="G128" s="14"/>
      <c r="H128" s="15"/>
      <c r="I128" s="16"/>
      <c r="J128" s="17"/>
      <c r="K128" s="15"/>
      <c r="L128" s="18"/>
      <c r="M128" s="15"/>
      <c r="N128" s="17"/>
      <c r="O128" s="19"/>
      <c r="P128" s="20" t="n">
        <f aca="false">IFERROR(H128/Setup!$C$6,"")</f>
        <v>0</v>
      </c>
      <c r="Q128" s="20" t="n">
        <f aca="false">IFERROR(H128-P128,"")</f>
        <v>0</v>
      </c>
      <c r="R128" s="17"/>
      <c r="S128" s="16"/>
    </row>
    <row r="129" customFormat="false" ht="15" hidden="false" customHeight="false" outlineLevel="0" collapsed="false">
      <c r="A129" s="12" t="str">
        <f aca="false">TEXT(Setup!$C$5+362,"dddd")</f>
        <v>Saturday</v>
      </c>
      <c r="B129" s="13" t="n">
        <f aca="false">Setup!$C$5+362</f>
        <v>46389</v>
      </c>
      <c r="C129" s="12" t="s">
        <v>103</v>
      </c>
      <c r="D129" s="14"/>
      <c r="E129" s="14"/>
      <c r="F129" s="14"/>
      <c r="G129" s="14"/>
      <c r="H129" s="15"/>
      <c r="I129" s="16"/>
      <c r="J129" s="17"/>
      <c r="K129" s="15"/>
      <c r="L129" s="18"/>
      <c r="M129" s="15"/>
      <c r="N129" s="17"/>
      <c r="O129" s="19"/>
      <c r="P129" s="20" t="n">
        <f aca="false">IFERROR(H129/Setup!$C$6,"")</f>
        <v>0</v>
      </c>
      <c r="Q129" s="20" t="n">
        <f aca="false">IFERROR(H129-P129,"")</f>
        <v>0</v>
      </c>
      <c r="R129" s="17"/>
      <c r="S129" s="16"/>
    </row>
    <row r="130" customFormat="false" ht="15" hidden="false" customHeight="false" outlineLevel="0" collapsed="false">
      <c r="A130" s="12" t="str">
        <f aca="false">TEXT(Setup!$C$5+362,"dddd")</f>
        <v>Saturday</v>
      </c>
      <c r="B130" s="13" t="n">
        <f aca="false">Setup!$C$5+362</f>
        <v>46389</v>
      </c>
      <c r="C130" s="12" t="s">
        <v>104</v>
      </c>
      <c r="D130" s="14"/>
      <c r="E130" s="14"/>
      <c r="F130" s="14"/>
      <c r="G130" s="14"/>
      <c r="H130" s="15"/>
      <c r="I130" s="16"/>
      <c r="J130" s="17"/>
      <c r="K130" s="15"/>
      <c r="L130" s="18"/>
      <c r="M130" s="15"/>
      <c r="N130" s="17"/>
      <c r="O130" s="19"/>
      <c r="P130" s="20" t="n">
        <f aca="false">IFERROR(H130/Setup!$C$6,"")</f>
        <v>0</v>
      </c>
      <c r="Q130" s="20" t="n">
        <f aca="false">IFERROR(H130-P130,"")</f>
        <v>0</v>
      </c>
      <c r="R130" s="17"/>
      <c r="S130" s="16"/>
    </row>
    <row r="131" customFormat="false" ht="15" hidden="false" customHeight="false" outlineLevel="0" collapsed="false">
      <c r="A131" s="12" t="str">
        <f aca="false">TEXT(Setup!$C$5+362,"dddd")</f>
        <v>Saturday</v>
      </c>
      <c r="B131" s="13" t="n">
        <f aca="false">Setup!$C$5+362</f>
        <v>46389</v>
      </c>
      <c r="C131" s="12" t="s">
        <v>105</v>
      </c>
      <c r="D131" s="14"/>
      <c r="E131" s="14"/>
      <c r="F131" s="14"/>
      <c r="G131" s="14"/>
      <c r="H131" s="15"/>
      <c r="I131" s="16"/>
      <c r="J131" s="17"/>
      <c r="K131" s="15"/>
      <c r="L131" s="18"/>
      <c r="M131" s="15"/>
      <c r="N131" s="17"/>
      <c r="O131" s="19"/>
      <c r="P131" s="20" t="n">
        <f aca="false">IFERROR(H131/Setup!$C$6,"")</f>
        <v>0</v>
      </c>
      <c r="Q131" s="20" t="n">
        <f aca="false">IFERROR(H131-P131,"")</f>
        <v>0</v>
      </c>
      <c r="R131" s="17"/>
      <c r="S131" s="16"/>
    </row>
    <row r="132" customFormat="false" ht="15" hidden="false" customHeight="false" outlineLevel="0" collapsed="false">
      <c r="A132" s="12" t="str">
        <f aca="false">TEXT(Setup!$C$5+362,"dddd")</f>
        <v>Saturday</v>
      </c>
      <c r="B132" s="13" t="n">
        <f aca="false">Setup!$C$5+362</f>
        <v>46389</v>
      </c>
      <c r="C132" s="21" t="s">
        <v>106</v>
      </c>
      <c r="D132" s="14"/>
      <c r="E132" s="14"/>
      <c r="F132" s="14"/>
      <c r="G132" s="14"/>
      <c r="H132" s="15"/>
      <c r="I132" s="16"/>
      <c r="J132" s="17"/>
      <c r="K132" s="15"/>
      <c r="L132" s="18"/>
      <c r="M132" s="15"/>
      <c r="N132" s="17"/>
      <c r="O132" s="19"/>
      <c r="P132" s="20" t="n">
        <f aca="false">IFERROR(H132/Setup!$C$6,"")</f>
        <v>0</v>
      </c>
      <c r="Q132" s="20" t="n">
        <f aca="false">IFERROR(H132-P132,"")</f>
        <v>0</v>
      </c>
      <c r="R132" s="17"/>
      <c r="S132" s="16"/>
    </row>
    <row r="133" customFormat="false" ht="15" hidden="false" customHeight="false" outlineLevel="0" collapsed="false">
      <c r="A133" s="22" t="str">
        <f aca="false">TEXT(Setup!$C$5+362,"dddd")</f>
        <v>Saturday</v>
      </c>
      <c r="B133" s="23" t="n">
        <f aca="false">Setup!$C$5+362</f>
        <v>46389</v>
      </c>
      <c r="C133" s="22" t="s">
        <v>107</v>
      </c>
      <c r="D133" s="24" t="n">
        <f aca="false">SUM(D112:D132)</f>
        <v>0</v>
      </c>
      <c r="E133" s="24" t="n">
        <f aca="false">SUM(E112:E132)</f>
        <v>0</v>
      </c>
      <c r="F133" s="24" t="n">
        <f aca="false">SUM(F112:F132)</f>
        <v>0</v>
      </c>
      <c r="G133" s="24" t="n">
        <f aca="false">SUM(G112:G132)</f>
        <v>0</v>
      </c>
      <c r="H133" s="25" t="n">
        <f aca="false">SUM(H112:H132)</f>
        <v>0</v>
      </c>
      <c r="I133" s="26" t="str">
        <f aca="false">IFERROR(E133/D133,"")</f>
        <v/>
      </c>
      <c r="J133" s="25" t="str">
        <f aca="false">IFERROR(H133/E133,"")</f>
        <v/>
      </c>
      <c r="K133" s="25" t="n">
        <f aca="false">SUM(K112:K132)</f>
        <v>0</v>
      </c>
      <c r="L133" s="22"/>
      <c r="M133" s="25" t="n">
        <f aca="false">SUM(M112:M132)</f>
        <v>0</v>
      </c>
      <c r="N133" s="25" t="n">
        <f aca="false">IFERROR(H133-Wk51!H133,"")</f>
        <v>0</v>
      </c>
      <c r="O133" s="24" t="n">
        <f aca="false">IFERROR(D133-Wk51!D133,"")</f>
        <v>0</v>
      </c>
      <c r="P133" s="25" t="n">
        <f aca="false">SUM(P112:P132)</f>
        <v>0</v>
      </c>
      <c r="Q133" s="25" t="n">
        <f aca="false">SUM(Q112:Q132)</f>
        <v>0</v>
      </c>
      <c r="R133" s="25" t="n">
        <f aca="false">IFERROR(INDEX('Last Year'!$C$6:$C$369,MATCH(B133-364,'Last Year'!$B$6:$B$369,0)),"")</f>
        <v>0</v>
      </c>
      <c r="S133" s="26" t="str">
        <f aca="false">IFERROR(H133/R133-1,"")</f>
        <v/>
      </c>
    </row>
    <row r="134" customFormat="false" ht="15" hidden="false" customHeight="false" outlineLevel="0" collapsed="false">
      <c r="A134" s="12" t="str">
        <f aca="false">TEXT(Setup!$C$5+363,"dddd")</f>
        <v>Sunday</v>
      </c>
      <c r="B134" s="13" t="n">
        <f aca="false">Setup!$C$5+363</f>
        <v>46390</v>
      </c>
      <c r="C134" s="12" t="s">
        <v>86</v>
      </c>
      <c r="D134" s="14"/>
      <c r="E134" s="14"/>
      <c r="F134" s="14"/>
      <c r="G134" s="14"/>
      <c r="H134" s="15"/>
      <c r="I134" s="16"/>
      <c r="J134" s="17"/>
      <c r="K134" s="15"/>
      <c r="L134" s="18"/>
      <c r="M134" s="15"/>
      <c r="N134" s="17"/>
      <c r="O134" s="19"/>
      <c r="P134" s="20" t="n">
        <f aca="false">IFERROR(H134/Setup!$C$6,"")</f>
        <v>0</v>
      </c>
      <c r="Q134" s="20" t="n">
        <f aca="false">IFERROR(H134-P134,"")</f>
        <v>0</v>
      </c>
      <c r="R134" s="17"/>
      <c r="S134" s="16"/>
    </row>
    <row r="135" customFormat="false" ht="15" hidden="false" customHeight="false" outlineLevel="0" collapsed="false">
      <c r="A135" s="12" t="str">
        <f aca="false">TEXT(Setup!$C$5+363,"dddd")</f>
        <v>Sunday</v>
      </c>
      <c r="B135" s="13" t="n">
        <f aca="false">Setup!$C$5+363</f>
        <v>46390</v>
      </c>
      <c r="C135" s="12" t="s">
        <v>87</v>
      </c>
      <c r="D135" s="14"/>
      <c r="E135" s="14"/>
      <c r="F135" s="14"/>
      <c r="G135" s="14"/>
      <c r="H135" s="15"/>
      <c r="I135" s="16"/>
      <c r="J135" s="17"/>
      <c r="K135" s="15"/>
      <c r="L135" s="18"/>
      <c r="M135" s="15"/>
      <c r="N135" s="17"/>
      <c r="O135" s="19"/>
      <c r="P135" s="20" t="n">
        <f aca="false">IFERROR(H135/Setup!$C$6,"")</f>
        <v>0</v>
      </c>
      <c r="Q135" s="20" t="n">
        <f aca="false">IFERROR(H135-P135,"")</f>
        <v>0</v>
      </c>
      <c r="R135" s="17"/>
      <c r="S135" s="16"/>
    </row>
    <row r="136" customFormat="false" ht="15" hidden="false" customHeight="false" outlineLevel="0" collapsed="false">
      <c r="A136" s="12" t="str">
        <f aca="false">TEXT(Setup!$C$5+363,"dddd")</f>
        <v>Sunday</v>
      </c>
      <c r="B136" s="13" t="n">
        <f aca="false">Setup!$C$5+363</f>
        <v>46390</v>
      </c>
      <c r="C136" s="12" t="s">
        <v>88</v>
      </c>
      <c r="D136" s="14"/>
      <c r="E136" s="14"/>
      <c r="F136" s="14"/>
      <c r="G136" s="14"/>
      <c r="H136" s="15"/>
      <c r="I136" s="16"/>
      <c r="J136" s="17"/>
      <c r="K136" s="15"/>
      <c r="L136" s="18"/>
      <c r="M136" s="15"/>
      <c r="N136" s="17"/>
      <c r="O136" s="19"/>
      <c r="P136" s="20" t="n">
        <f aca="false">IFERROR(H136/Setup!$C$6,"")</f>
        <v>0</v>
      </c>
      <c r="Q136" s="20" t="n">
        <f aca="false">IFERROR(H136-P136,"")</f>
        <v>0</v>
      </c>
      <c r="R136" s="17"/>
      <c r="S136" s="16"/>
    </row>
    <row r="137" customFormat="false" ht="15" hidden="false" customHeight="false" outlineLevel="0" collapsed="false">
      <c r="A137" s="12" t="str">
        <f aca="false">TEXT(Setup!$C$5+363,"dddd")</f>
        <v>Sunday</v>
      </c>
      <c r="B137" s="13" t="n">
        <f aca="false">Setup!$C$5+363</f>
        <v>46390</v>
      </c>
      <c r="C137" s="12" t="s">
        <v>89</v>
      </c>
      <c r="D137" s="14"/>
      <c r="E137" s="14"/>
      <c r="F137" s="14"/>
      <c r="G137" s="14"/>
      <c r="H137" s="15"/>
      <c r="I137" s="16"/>
      <c r="J137" s="17"/>
      <c r="K137" s="15"/>
      <c r="L137" s="18"/>
      <c r="M137" s="15"/>
      <c r="N137" s="17"/>
      <c r="O137" s="19"/>
      <c r="P137" s="20" t="n">
        <f aca="false">IFERROR(H137/Setup!$C$6,"")</f>
        <v>0</v>
      </c>
      <c r="Q137" s="20" t="n">
        <f aca="false">IFERROR(H137-P137,"")</f>
        <v>0</v>
      </c>
      <c r="R137" s="17"/>
      <c r="S137" s="16"/>
    </row>
    <row r="138" customFormat="false" ht="15" hidden="false" customHeight="false" outlineLevel="0" collapsed="false">
      <c r="A138" s="12" t="str">
        <f aca="false">TEXT(Setup!$C$5+363,"dddd")</f>
        <v>Sunday</v>
      </c>
      <c r="B138" s="13" t="n">
        <f aca="false">Setup!$C$5+363</f>
        <v>46390</v>
      </c>
      <c r="C138" s="12" t="s">
        <v>90</v>
      </c>
      <c r="D138" s="14"/>
      <c r="E138" s="14"/>
      <c r="F138" s="14"/>
      <c r="G138" s="14"/>
      <c r="H138" s="15"/>
      <c r="I138" s="16"/>
      <c r="J138" s="17"/>
      <c r="K138" s="15"/>
      <c r="L138" s="18"/>
      <c r="M138" s="15"/>
      <c r="N138" s="17"/>
      <c r="O138" s="19"/>
      <c r="P138" s="20" t="n">
        <f aca="false">IFERROR(H138/Setup!$C$6,"")</f>
        <v>0</v>
      </c>
      <c r="Q138" s="20" t="n">
        <f aca="false">IFERROR(H138-P138,"")</f>
        <v>0</v>
      </c>
      <c r="R138" s="17"/>
      <c r="S138" s="16"/>
    </row>
    <row r="139" customFormat="false" ht="15" hidden="false" customHeight="false" outlineLevel="0" collapsed="false">
      <c r="A139" s="12" t="str">
        <f aca="false">TEXT(Setup!$C$5+363,"dddd")</f>
        <v>Sunday</v>
      </c>
      <c r="B139" s="13" t="n">
        <f aca="false">Setup!$C$5+363</f>
        <v>46390</v>
      </c>
      <c r="C139" s="12" t="s">
        <v>91</v>
      </c>
      <c r="D139" s="14"/>
      <c r="E139" s="14"/>
      <c r="F139" s="14"/>
      <c r="G139" s="14"/>
      <c r="H139" s="15"/>
      <c r="I139" s="16"/>
      <c r="J139" s="17"/>
      <c r="K139" s="15"/>
      <c r="L139" s="18"/>
      <c r="M139" s="15"/>
      <c r="N139" s="17"/>
      <c r="O139" s="19"/>
      <c r="P139" s="20" t="n">
        <f aca="false">IFERROR(H139/Setup!$C$6,"")</f>
        <v>0</v>
      </c>
      <c r="Q139" s="20" t="n">
        <f aca="false">IFERROR(H139-P139,"")</f>
        <v>0</v>
      </c>
      <c r="R139" s="17"/>
      <c r="S139" s="16"/>
    </row>
    <row r="140" customFormat="false" ht="15" hidden="false" customHeight="false" outlineLevel="0" collapsed="false">
      <c r="A140" s="12" t="str">
        <f aca="false">TEXT(Setup!$C$5+363,"dddd")</f>
        <v>Sunday</v>
      </c>
      <c r="B140" s="13" t="n">
        <f aca="false">Setup!$C$5+363</f>
        <v>46390</v>
      </c>
      <c r="C140" s="12" t="s">
        <v>92</v>
      </c>
      <c r="D140" s="14"/>
      <c r="E140" s="14"/>
      <c r="F140" s="14"/>
      <c r="G140" s="14"/>
      <c r="H140" s="15"/>
      <c r="I140" s="16"/>
      <c r="J140" s="17"/>
      <c r="K140" s="15"/>
      <c r="L140" s="18"/>
      <c r="M140" s="15"/>
      <c r="N140" s="17"/>
      <c r="O140" s="19"/>
      <c r="P140" s="20" t="n">
        <f aca="false">IFERROR(H140/Setup!$C$6,"")</f>
        <v>0</v>
      </c>
      <c r="Q140" s="20" t="n">
        <f aca="false">IFERROR(H140-P140,"")</f>
        <v>0</v>
      </c>
      <c r="R140" s="17"/>
      <c r="S140" s="16"/>
    </row>
    <row r="141" customFormat="false" ht="15" hidden="false" customHeight="false" outlineLevel="0" collapsed="false">
      <c r="A141" s="12" t="str">
        <f aca="false">TEXT(Setup!$C$5+363,"dddd")</f>
        <v>Sunday</v>
      </c>
      <c r="B141" s="13" t="n">
        <f aca="false">Setup!$C$5+363</f>
        <v>46390</v>
      </c>
      <c r="C141" s="12" t="s">
        <v>93</v>
      </c>
      <c r="D141" s="14"/>
      <c r="E141" s="14"/>
      <c r="F141" s="14"/>
      <c r="G141" s="14"/>
      <c r="H141" s="15"/>
      <c r="I141" s="16"/>
      <c r="J141" s="17"/>
      <c r="K141" s="15"/>
      <c r="L141" s="18"/>
      <c r="M141" s="15"/>
      <c r="N141" s="17"/>
      <c r="O141" s="19"/>
      <c r="P141" s="20" t="n">
        <f aca="false">IFERROR(H141/Setup!$C$6,"")</f>
        <v>0</v>
      </c>
      <c r="Q141" s="20" t="n">
        <f aca="false">IFERROR(H141-P141,"")</f>
        <v>0</v>
      </c>
      <c r="R141" s="17"/>
      <c r="S141" s="16"/>
    </row>
    <row r="142" customFormat="false" ht="15" hidden="false" customHeight="false" outlineLevel="0" collapsed="false">
      <c r="A142" s="12" t="str">
        <f aca="false">TEXT(Setup!$C$5+363,"dddd")</f>
        <v>Sunday</v>
      </c>
      <c r="B142" s="13" t="n">
        <f aca="false">Setup!$C$5+363</f>
        <v>46390</v>
      </c>
      <c r="C142" s="12" t="s">
        <v>94</v>
      </c>
      <c r="D142" s="14"/>
      <c r="E142" s="14"/>
      <c r="F142" s="14"/>
      <c r="G142" s="14"/>
      <c r="H142" s="15"/>
      <c r="I142" s="16"/>
      <c r="J142" s="17"/>
      <c r="K142" s="15"/>
      <c r="L142" s="18"/>
      <c r="M142" s="15"/>
      <c r="N142" s="17"/>
      <c r="O142" s="19"/>
      <c r="P142" s="20" t="n">
        <f aca="false">IFERROR(H142/Setup!$C$6,"")</f>
        <v>0</v>
      </c>
      <c r="Q142" s="20" t="n">
        <f aca="false">IFERROR(H142-P142,"")</f>
        <v>0</v>
      </c>
      <c r="R142" s="17"/>
      <c r="S142" s="16"/>
    </row>
    <row r="143" customFormat="false" ht="15" hidden="false" customHeight="false" outlineLevel="0" collapsed="false">
      <c r="A143" s="12" t="str">
        <f aca="false">TEXT(Setup!$C$5+363,"dddd")</f>
        <v>Sunday</v>
      </c>
      <c r="B143" s="13" t="n">
        <f aca="false">Setup!$C$5+363</f>
        <v>46390</v>
      </c>
      <c r="C143" s="12" t="s">
        <v>95</v>
      </c>
      <c r="D143" s="14"/>
      <c r="E143" s="14"/>
      <c r="F143" s="14"/>
      <c r="G143" s="14"/>
      <c r="H143" s="15"/>
      <c r="I143" s="16"/>
      <c r="J143" s="17"/>
      <c r="K143" s="15"/>
      <c r="L143" s="18"/>
      <c r="M143" s="15"/>
      <c r="N143" s="17"/>
      <c r="O143" s="19"/>
      <c r="P143" s="20" t="n">
        <f aca="false">IFERROR(H143/Setup!$C$6,"")</f>
        <v>0</v>
      </c>
      <c r="Q143" s="20" t="n">
        <f aca="false">IFERROR(H143-P143,"")</f>
        <v>0</v>
      </c>
      <c r="R143" s="17"/>
      <c r="S143" s="16"/>
    </row>
    <row r="144" customFormat="false" ht="15" hidden="false" customHeight="false" outlineLevel="0" collapsed="false">
      <c r="A144" s="12" t="str">
        <f aca="false">TEXT(Setup!$C$5+363,"dddd")</f>
        <v>Sunday</v>
      </c>
      <c r="B144" s="13" t="n">
        <f aca="false">Setup!$C$5+363</f>
        <v>46390</v>
      </c>
      <c r="C144" s="12" t="s">
        <v>96</v>
      </c>
      <c r="D144" s="14"/>
      <c r="E144" s="14"/>
      <c r="F144" s="14"/>
      <c r="G144" s="14"/>
      <c r="H144" s="15"/>
      <c r="I144" s="16"/>
      <c r="J144" s="17"/>
      <c r="K144" s="15"/>
      <c r="L144" s="18"/>
      <c r="M144" s="15"/>
      <c r="N144" s="17"/>
      <c r="O144" s="19"/>
      <c r="P144" s="20" t="n">
        <f aca="false">IFERROR(H144/Setup!$C$6,"")</f>
        <v>0</v>
      </c>
      <c r="Q144" s="20" t="n">
        <f aca="false">IFERROR(H144-P144,"")</f>
        <v>0</v>
      </c>
      <c r="R144" s="17"/>
      <c r="S144" s="16"/>
    </row>
    <row r="145" customFormat="false" ht="15" hidden="false" customHeight="false" outlineLevel="0" collapsed="false">
      <c r="A145" s="12" t="str">
        <f aca="false">TEXT(Setup!$C$5+363,"dddd")</f>
        <v>Sunday</v>
      </c>
      <c r="B145" s="13" t="n">
        <f aca="false">Setup!$C$5+363</f>
        <v>46390</v>
      </c>
      <c r="C145" s="12" t="s">
        <v>97</v>
      </c>
      <c r="D145" s="14"/>
      <c r="E145" s="14"/>
      <c r="F145" s="14"/>
      <c r="G145" s="14"/>
      <c r="H145" s="15"/>
      <c r="I145" s="16"/>
      <c r="J145" s="17"/>
      <c r="K145" s="15"/>
      <c r="L145" s="18"/>
      <c r="M145" s="15"/>
      <c r="N145" s="17"/>
      <c r="O145" s="19"/>
      <c r="P145" s="20" t="n">
        <f aca="false">IFERROR(H145/Setup!$C$6,"")</f>
        <v>0</v>
      </c>
      <c r="Q145" s="20" t="n">
        <f aca="false">IFERROR(H145-P145,"")</f>
        <v>0</v>
      </c>
      <c r="R145" s="17"/>
      <c r="S145" s="16"/>
    </row>
    <row r="146" customFormat="false" ht="15" hidden="false" customHeight="false" outlineLevel="0" collapsed="false">
      <c r="A146" s="12" t="str">
        <f aca="false">TEXT(Setup!$C$5+363,"dddd")</f>
        <v>Sunday</v>
      </c>
      <c r="B146" s="13" t="n">
        <f aca="false">Setup!$C$5+363</f>
        <v>46390</v>
      </c>
      <c r="C146" s="12" t="s">
        <v>98</v>
      </c>
      <c r="D146" s="14"/>
      <c r="E146" s="14"/>
      <c r="F146" s="14"/>
      <c r="G146" s="14"/>
      <c r="H146" s="15"/>
      <c r="I146" s="16"/>
      <c r="J146" s="17"/>
      <c r="K146" s="15"/>
      <c r="L146" s="18"/>
      <c r="M146" s="15"/>
      <c r="N146" s="17"/>
      <c r="O146" s="19"/>
      <c r="P146" s="20" t="n">
        <f aca="false">IFERROR(H146/Setup!$C$6,"")</f>
        <v>0</v>
      </c>
      <c r="Q146" s="20" t="n">
        <f aca="false">IFERROR(H146-P146,"")</f>
        <v>0</v>
      </c>
      <c r="R146" s="17"/>
      <c r="S146" s="16"/>
    </row>
    <row r="147" customFormat="false" ht="15" hidden="false" customHeight="false" outlineLevel="0" collapsed="false">
      <c r="A147" s="12" t="str">
        <f aca="false">TEXT(Setup!$C$5+363,"dddd")</f>
        <v>Sunday</v>
      </c>
      <c r="B147" s="13" t="n">
        <f aca="false">Setup!$C$5+363</f>
        <v>46390</v>
      </c>
      <c r="C147" s="12" t="s">
        <v>99</v>
      </c>
      <c r="D147" s="14"/>
      <c r="E147" s="14"/>
      <c r="F147" s="14"/>
      <c r="G147" s="14"/>
      <c r="H147" s="15"/>
      <c r="I147" s="16"/>
      <c r="J147" s="17"/>
      <c r="K147" s="15"/>
      <c r="L147" s="18"/>
      <c r="M147" s="15"/>
      <c r="N147" s="17"/>
      <c r="O147" s="19"/>
      <c r="P147" s="20" t="n">
        <f aca="false">IFERROR(H147/Setup!$C$6,"")</f>
        <v>0</v>
      </c>
      <c r="Q147" s="20" t="n">
        <f aca="false">IFERROR(H147-P147,"")</f>
        <v>0</v>
      </c>
      <c r="R147" s="17"/>
      <c r="S147" s="16"/>
    </row>
    <row r="148" customFormat="false" ht="15" hidden="false" customHeight="false" outlineLevel="0" collapsed="false">
      <c r="A148" s="12" t="str">
        <f aca="false">TEXT(Setup!$C$5+363,"dddd")</f>
        <v>Sunday</v>
      </c>
      <c r="B148" s="13" t="n">
        <f aca="false">Setup!$C$5+363</f>
        <v>46390</v>
      </c>
      <c r="C148" s="12" t="s">
        <v>100</v>
      </c>
      <c r="D148" s="14"/>
      <c r="E148" s="14"/>
      <c r="F148" s="14"/>
      <c r="G148" s="14"/>
      <c r="H148" s="15"/>
      <c r="I148" s="16"/>
      <c r="J148" s="17"/>
      <c r="K148" s="15"/>
      <c r="L148" s="18"/>
      <c r="M148" s="15"/>
      <c r="N148" s="17"/>
      <c r="O148" s="19"/>
      <c r="P148" s="20" t="n">
        <f aca="false">IFERROR(H148/Setup!$C$6,"")</f>
        <v>0</v>
      </c>
      <c r="Q148" s="20" t="n">
        <f aca="false">IFERROR(H148-P148,"")</f>
        <v>0</v>
      </c>
      <c r="R148" s="17"/>
      <c r="S148" s="16"/>
    </row>
    <row r="149" customFormat="false" ht="15" hidden="false" customHeight="false" outlineLevel="0" collapsed="false">
      <c r="A149" s="12" t="str">
        <f aca="false">TEXT(Setup!$C$5+363,"dddd")</f>
        <v>Sunday</v>
      </c>
      <c r="B149" s="13" t="n">
        <f aca="false">Setup!$C$5+363</f>
        <v>46390</v>
      </c>
      <c r="C149" s="12" t="s">
        <v>101</v>
      </c>
      <c r="D149" s="14"/>
      <c r="E149" s="14"/>
      <c r="F149" s="14"/>
      <c r="G149" s="14"/>
      <c r="H149" s="15"/>
      <c r="I149" s="16"/>
      <c r="J149" s="17"/>
      <c r="K149" s="15"/>
      <c r="L149" s="18"/>
      <c r="M149" s="15"/>
      <c r="N149" s="17"/>
      <c r="O149" s="19"/>
      <c r="P149" s="20" t="n">
        <f aca="false">IFERROR(H149/Setup!$C$6,"")</f>
        <v>0</v>
      </c>
      <c r="Q149" s="20" t="n">
        <f aca="false">IFERROR(H149-P149,"")</f>
        <v>0</v>
      </c>
      <c r="R149" s="17"/>
      <c r="S149" s="16"/>
    </row>
    <row r="150" customFormat="false" ht="15" hidden="false" customHeight="false" outlineLevel="0" collapsed="false">
      <c r="A150" s="12" t="str">
        <f aca="false">TEXT(Setup!$C$5+363,"dddd")</f>
        <v>Sunday</v>
      </c>
      <c r="B150" s="13" t="n">
        <f aca="false">Setup!$C$5+363</f>
        <v>46390</v>
      </c>
      <c r="C150" s="12" t="s">
        <v>102</v>
      </c>
      <c r="D150" s="14"/>
      <c r="E150" s="14"/>
      <c r="F150" s="14"/>
      <c r="G150" s="14"/>
      <c r="H150" s="15"/>
      <c r="I150" s="16"/>
      <c r="J150" s="17"/>
      <c r="K150" s="15"/>
      <c r="L150" s="18"/>
      <c r="M150" s="15"/>
      <c r="N150" s="17"/>
      <c r="O150" s="19"/>
      <c r="P150" s="20" t="n">
        <f aca="false">IFERROR(H150/Setup!$C$6,"")</f>
        <v>0</v>
      </c>
      <c r="Q150" s="20" t="n">
        <f aca="false">IFERROR(H150-P150,"")</f>
        <v>0</v>
      </c>
      <c r="R150" s="17"/>
      <c r="S150" s="16"/>
    </row>
    <row r="151" customFormat="false" ht="15" hidden="false" customHeight="false" outlineLevel="0" collapsed="false">
      <c r="A151" s="12" t="str">
        <f aca="false">TEXT(Setup!$C$5+363,"dddd")</f>
        <v>Sunday</v>
      </c>
      <c r="B151" s="13" t="n">
        <f aca="false">Setup!$C$5+363</f>
        <v>46390</v>
      </c>
      <c r="C151" s="12" t="s">
        <v>103</v>
      </c>
      <c r="D151" s="14"/>
      <c r="E151" s="14"/>
      <c r="F151" s="14"/>
      <c r="G151" s="14"/>
      <c r="H151" s="15"/>
      <c r="I151" s="16"/>
      <c r="J151" s="17"/>
      <c r="K151" s="15"/>
      <c r="L151" s="18"/>
      <c r="M151" s="15"/>
      <c r="N151" s="17"/>
      <c r="O151" s="19"/>
      <c r="P151" s="20" t="n">
        <f aca="false">IFERROR(H151/Setup!$C$6,"")</f>
        <v>0</v>
      </c>
      <c r="Q151" s="20" t="n">
        <f aca="false">IFERROR(H151-P151,"")</f>
        <v>0</v>
      </c>
      <c r="R151" s="17"/>
      <c r="S151" s="16"/>
    </row>
    <row r="152" customFormat="false" ht="15" hidden="false" customHeight="false" outlineLevel="0" collapsed="false">
      <c r="A152" s="12" t="str">
        <f aca="false">TEXT(Setup!$C$5+363,"dddd")</f>
        <v>Sunday</v>
      </c>
      <c r="B152" s="13" t="n">
        <f aca="false">Setup!$C$5+363</f>
        <v>46390</v>
      </c>
      <c r="C152" s="12" t="s">
        <v>104</v>
      </c>
      <c r="D152" s="14"/>
      <c r="E152" s="14"/>
      <c r="F152" s="14"/>
      <c r="G152" s="14"/>
      <c r="H152" s="15"/>
      <c r="I152" s="16"/>
      <c r="J152" s="17"/>
      <c r="K152" s="15"/>
      <c r="L152" s="18"/>
      <c r="M152" s="15"/>
      <c r="N152" s="17"/>
      <c r="O152" s="19"/>
      <c r="P152" s="20" t="n">
        <f aca="false">IFERROR(H152/Setup!$C$6,"")</f>
        <v>0</v>
      </c>
      <c r="Q152" s="20" t="n">
        <f aca="false">IFERROR(H152-P152,"")</f>
        <v>0</v>
      </c>
      <c r="R152" s="17"/>
      <c r="S152" s="16"/>
    </row>
    <row r="153" customFormat="false" ht="15" hidden="false" customHeight="false" outlineLevel="0" collapsed="false">
      <c r="A153" s="12" t="str">
        <f aca="false">TEXT(Setup!$C$5+363,"dddd")</f>
        <v>Sunday</v>
      </c>
      <c r="B153" s="13" t="n">
        <f aca="false">Setup!$C$5+363</f>
        <v>46390</v>
      </c>
      <c r="C153" s="12" t="s">
        <v>105</v>
      </c>
      <c r="D153" s="14"/>
      <c r="E153" s="14"/>
      <c r="F153" s="14"/>
      <c r="G153" s="14"/>
      <c r="H153" s="15"/>
      <c r="I153" s="16"/>
      <c r="J153" s="17"/>
      <c r="K153" s="15"/>
      <c r="L153" s="18"/>
      <c r="M153" s="15"/>
      <c r="N153" s="17"/>
      <c r="O153" s="19"/>
      <c r="P153" s="20" t="n">
        <f aca="false">IFERROR(H153/Setup!$C$6,"")</f>
        <v>0</v>
      </c>
      <c r="Q153" s="20" t="n">
        <f aca="false">IFERROR(H153-P153,"")</f>
        <v>0</v>
      </c>
      <c r="R153" s="17"/>
      <c r="S153" s="16"/>
    </row>
    <row r="154" customFormat="false" ht="15" hidden="false" customHeight="false" outlineLevel="0" collapsed="false">
      <c r="A154" s="12" t="str">
        <f aca="false">TEXT(Setup!$C$5+363,"dddd")</f>
        <v>Sunday</v>
      </c>
      <c r="B154" s="13" t="n">
        <f aca="false">Setup!$C$5+363</f>
        <v>46390</v>
      </c>
      <c r="C154" s="21" t="s">
        <v>106</v>
      </c>
      <c r="D154" s="14"/>
      <c r="E154" s="14"/>
      <c r="F154" s="14"/>
      <c r="G154" s="14"/>
      <c r="H154" s="15"/>
      <c r="I154" s="16"/>
      <c r="J154" s="17"/>
      <c r="K154" s="15"/>
      <c r="L154" s="18"/>
      <c r="M154" s="15"/>
      <c r="N154" s="17"/>
      <c r="O154" s="19"/>
      <c r="P154" s="20" t="n">
        <f aca="false">IFERROR(H154/Setup!$C$6,"")</f>
        <v>0</v>
      </c>
      <c r="Q154" s="20" t="n">
        <f aca="false">IFERROR(H154-P154,"")</f>
        <v>0</v>
      </c>
      <c r="R154" s="17"/>
      <c r="S154" s="16"/>
    </row>
    <row r="155" customFormat="false" ht="15" hidden="false" customHeight="false" outlineLevel="0" collapsed="false">
      <c r="A155" s="22" t="str">
        <f aca="false">TEXT(Setup!$C$5+363,"dddd")</f>
        <v>Sunday</v>
      </c>
      <c r="B155" s="23" t="n">
        <f aca="false">Setup!$C$5+363</f>
        <v>46390</v>
      </c>
      <c r="C155" s="22" t="s">
        <v>107</v>
      </c>
      <c r="D155" s="24" t="n">
        <f aca="false">SUM(D134:D154)</f>
        <v>0</v>
      </c>
      <c r="E155" s="24" t="n">
        <f aca="false">SUM(E134:E154)</f>
        <v>0</v>
      </c>
      <c r="F155" s="24" t="n">
        <f aca="false">SUM(F134:F154)</f>
        <v>0</v>
      </c>
      <c r="G155" s="24" t="n">
        <f aca="false">SUM(G134:G154)</f>
        <v>0</v>
      </c>
      <c r="H155" s="25" t="n">
        <f aca="false">SUM(H134:H154)</f>
        <v>0</v>
      </c>
      <c r="I155" s="26" t="str">
        <f aca="false">IFERROR(E155/D155,"")</f>
        <v/>
      </c>
      <c r="J155" s="25" t="str">
        <f aca="false">IFERROR(H155/E155,"")</f>
        <v/>
      </c>
      <c r="K155" s="25" t="n">
        <f aca="false">SUM(K134:K154)</f>
        <v>0</v>
      </c>
      <c r="L155" s="22"/>
      <c r="M155" s="25" t="n">
        <f aca="false">SUM(M134:M154)</f>
        <v>0</v>
      </c>
      <c r="N155" s="25" t="n">
        <f aca="false">IFERROR(H155-Wk51!H155,"")</f>
        <v>0</v>
      </c>
      <c r="O155" s="24" t="n">
        <f aca="false">IFERROR(D155-Wk51!D155,"")</f>
        <v>0</v>
      </c>
      <c r="P155" s="25" t="n">
        <f aca="false">SUM(P134:P154)</f>
        <v>0</v>
      </c>
      <c r="Q155" s="25" t="n">
        <f aca="false">SUM(Q134:Q154)</f>
        <v>0</v>
      </c>
      <c r="R155" s="25" t="n">
        <f aca="false">IFERROR(INDEX('Last Year'!$C$6:$C$369,MATCH(B155-364,'Last Year'!$B$6:$B$369,0)),"")</f>
        <v>0</v>
      </c>
      <c r="S155" s="26" t="str">
        <f aca="false">IFERROR(H155/R155-1,"")</f>
        <v/>
      </c>
    </row>
    <row r="156" customFormat="false" ht="15" hidden="false" customHeight="false" outlineLevel="0" collapsed="false">
      <c r="A156" s="27"/>
      <c r="B156" s="27"/>
      <c r="C156" s="27" t="s">
        <v>108</v>
      </c>
      <c r="D156" s="28" t="n">
        <f aca="false">D23+D45+D67+D89+D111+D133+D155</f>
        <v>0</v>
      </c>
      <c r="E156" s="28" t="n">
        <f aca="false">E23+E45+E67+E89+E111+E133+E155</f>
        <v>0</v>
      </c>
      <c r="F156" s="28" t="n">
        <f aca="false">F23+F45+F67+F89+F111+F133+F155</f>
        <v>0</v>
      </c>
      <c r="G156" s="28" t="n">
        <f aca="false">G23+G45+G67+G89+G111+G133+G155</f>
        <v>0</v>
      </c>
      <c r="H156" s="29" t="n">
        <f aca="false">H23+H45+H67+H89+H111+H133+H155</f>
        <v>0</v>
      </c>
      <c r="I156" s="30" t="str">
        <f aca="false">IFERROR(E156/D156,"")</f>
        <v/>
      </c>
      <c r="J156" s="29" t="str">
        <f aca="false">IFERROR(H156/E156,"")</f>
        <v/>
      </c>
      <c r="K156" s="29" t="n">
        <f aca="false">K23+K45+K67+K89+K111+K133+K155</f>
        <v>0</v>
      </c>
      <c r="L156" s="27"/>
      <c r="M156" s="29" t="n">
        <f aca="false">M23+M45+M67+M89+M111+M133+M155</f>
        <v>0</v>
      </c>
      <c r="N156" s="29"/>
      <c r="O156" s="28"/>
      <c r="P156" s="29" t="n">
        <f aca="false">P23+P45+P67+P89+P111+P133+P155</f>
        <v>0</v>
      </c>
      <c r="Q156" s="29" t="n">
        <f aca="false">Q23+Q45+Q67+Q89+Q111+Q133+Q155</f>
        <v>0</v>
      </c>
      <c r="R156" s="29" t="n">
        <f aca="false">R23+R45+R67+R89+R111+R133+R155</f>
        <v>0</v>
      </c>
      <c r="S156" s="30" t="str">
        <f aca="false">IFERROR(H156/R156-1,"")</f>
        <v/>
      </c>
    </row>
    <row r="157" customFormat="false" ht="15" hidden="false" customHeight="false" outlineLevel="0" collapsed="false">
      <c r="C157" s="6" t="s">
        <v>109</v>
      </c>
      <c r="D157" s="34" t="n">
        <f aca="false">IFERROR(D156-Wk51!D156,"")</f>
        <v>0</v>
      </c>
      <c r="E157" s="34" t="n">
        <f aca="false">IFERROR(E156-Wk51!E156,"")</f>
        <v>0</v>
      </c>
      <c r="H157" s="32" t="n">
        <f aca="false">IFERROR(H156-Wk51!H156,"")</f>
        <v>0</v>
      </c>
      <c r="K157" s="32" t="n">
        <f aca="false">IFERROR(K156-Wk51!K156,"")</f>
        <v>0</v>
      </c>
      <c r="M157" s="32" t="n">
        <f aca="false">IFERROR(M156-Wk51!M156,"")</f>
        <v>0</v>
      </c>
    </row>
    <row r="158" customFormat="false" ht="15" hidden="false" customHeight="false" outlineLevel="0" collapsed="false">
      <c r="C158" s="6" t="s">
        <v>110</v>
      </c>
      <c r="H158" s="31" t="n">
        <f aca="false">IFERROR(Q156-Setup!$C$7-Setup!$C$8-H156*Setup!$C$9,"")</f>
        <v>0</v>
      </c>
    </row>
    <row r="159" customFormat="false" ht="15" hidden="false" customHeight="false" outlineLevel="0" collapsed="false">
      <c r="C159" s="6" t="s">
        <v>111</v>
      </c>
      <c r="H159" s="31" t="n">
        <f aca="false">IFERROR(H158*(1-Setup!$C$10),"")</f>
        <v>0</v>
      </c>
    </row>
    <row r="161" customFormat="false" ht="15" hidden="false" customHeight="false" outlineLevel="0" collapsed="false">
      <c r="C161" s="4" t="s">
        <v>112</v>
      </c>
    </row>
    <row r="162" customFormat="false" ht="15" hidden="false" customHeight="false" outlineLevel="0" collapsed="false">
      <c r="C162" s="3" t="s">
        <v>113</v>
      </c>
      <c r="D162" s="32" t="n">
        <f aca="false">K156</f>
        <v>0</v>
      </c>
      <c r="E162" s="33" t="str">
        <f aca="false">IFERROR(K156/H156,"")</f>
        <v/>
      </c>
    </row>
    <row r="163" customFormat="false" ht="15" hidden="false" customHeight="false" outlineLevel="0" collapsed="false">
      <c r="C163" s="3" t="s">
        <v>114</v>
      </c>
      <c r="D163" s="32" t="n">
        <f aca="false">H156-K156</f>
        <v>0</v>
      </c>
      <c r="E163" s="33" t="str">
        <f aca="false">IFERROR((H156-K156)/H156,"")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5D4A"/>
    <pageSetUpPr fitToPage="false"/>
  </sheetPr>
  <dimension ref="A1:M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2"/>
    <col collapsed="false" customWidth="true" hidden="false" outlineLevel="0" max="6" min="6" style="0" width="13"/>
    <col collapsed="false" customWidth="true" hidden="false" outlineLevel="0" max="7" min="7" style="0" width="34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2"/>
  </cols>
  <sheetData>
    <row r="1" customFormat="false" ht="25.5" hidden="false" customHeight="true" outlineLevel="0" collapsed="false">
      <c r="A1" s="35" t="s">
        <v>115</v>
      </c>
      <c r="B1" s="35" t="s">
        <v>68</v>
      </c>
      <c r="C1" s="35" t="s">
        <v>67</v>
      </c>
      <c r="D1" s="35" t="s">
        <v>79</v>
      </c>
      <c r="E1" s="35" t="s">
        <v>116</v>
      </c>
      <c r="F1" s="35" t="s">
        <v>117</v>
      </c>
      <c r="G1" s="35" t="s">
        <v>78</v>
      </c>
      <c r="H1" s="35" t="s">
        <v>118</v>
      </c>
      <c r="I1" s="35" t="s">
        <v>119</v>
      </c>
      <c r="J1" s="35" t="s">
        <v>120</v>
      </c>
      <c r="K1" s="35" t="s">
        <v>121</v>
      </c>
      <c r="L1" s="35" t="s">
        <v>71</v>
      </c>
      <c r="M1" s="35" t="s">
        <v>122</v>
      </c>
    </row>
    <row r="2" customFormat="false" ht="15" hidden="false" customHeight="false" outlineLevel="0" collapsed="false">
      <c r="A2" s="12" t="s">
        <v>123</v>
      </c>
      <c r="B2" s="13" t="n">
        <f aca="false">Wk1!B23</f>
        <v>46027</v>
      </c>
      <c r="C2" s="12" t="str">
        <f aca="false">TEXT(B2,"dddd")</f>
        <v>Monday</v>
      </c>
      <c r="D2" s="20" t="n">
        <f aca="false">Wk1!M23</f>
        <v>0</v>
      </c>
      <c r="E2" s="20" t="n">
        <f aca="false">IFERROR(F2-D2,"")</f>
        <v>0</v>
      </c>
      <c r="F2" s="20" t="n">
        <f aca="false">Wk1!H23</f>
        <v>0</v>
      </c>
      <c r="G2" s="12" t="str">
        <f aca="false">IF(Wk1!L23="","",Wk1!L23)</f>
        <v/>
      </c>
      <c r="H2" s="20" t="n">
        <f aca="false">Wk1!R23</f>
        <v>0</v>
      </c>
      <c r="I2" s="20" t="str">
        <f aca="false">IF(OR(F2=0,H2=0),"",F2-H2)</f>
        <v/>
      </c>
      <c r="J2" s="36" t="str">
        <f aca="false">IFERROR(I2/H2,"")</f>
        <v/>
      </c>
      <c r="K2" s="37" t="n">
        <f aca="false">Wk1!D23</f>
        <v>0</v>
      </c>
      <c r="L2" s="37" t="n">
        <f aca="false">Wk1!E23</f>
        <v>0</v>
      </c>
      <c r="M2" s="20" t="n">
        <f aca="false">Wk1!K23</f>
        <v>0</v>
      </c>
    </row>
    <row r="3" customFormat="false" ht="15" hidden="false" customHeight="false" outlineLevel="0" collapsed="false">
      <c r="A3" s="12" t="s">
        <v>123</v>
      </c>
      <c r="B3" s="13" t="n">
        <f aca="false">Wk1!B45</f>
        <v>46028</v>
      </c>
      <c r="C3" s="12" t="str">
        <f aca="false">TEXT(B3,"dddd")</f>
        <v>Tuesday</v>
      </c>
      <c r="D3" s="20" t="n">
        <f aca="false">Wk1!M45</f>
        <v>0</v>
      </c>
      <c r="E3" s="20" t="n">
        <f aca="false">IFERROR(F3-D3,"")</f>
        <v>0</v>
      </c>
      <c r="F3" s="20" t="n">
        <f aca="false">Wk1!H45</f>
        <v>0</v>
      </c>
      <c r="G3" s="12" t="str">
        <f aca="false">IF(Wk1!L45="","",Wk1!L45)</f>
        <v/>
      </c>
      <c r="H3" s="20" t="n">
        <f aca="false">Wk1!R45</f>
        <v>0</v>
      </c>
      <c r="I3" s="20" t="str">
        <f aca="false">IF(OR(F3=0,H3=0),"",F3-H3)</f>
        <v/>
      </c>
      <c r="J3" s="36" t="str">
        <f aca="false">IFERROR(I3/H3,"")</f>
        <v/>
      </c>
      <c r="K3" s="37" t="n">
        <f aca="false">Wk1!D45</f>
        <v>0</v>
      </c>
      <c r="L3" s="37" t="n">
        <f aca="false">Wk1!E45</f>
        <v>0</v>
      </c>
      <c r="M3" s="20" t="n">
        <f aca="false">Wk1!K45</f>
        <v>0</v>
      </c>
    </row>
    <row r="4" customFormat="false" ht="15" hidden="false" customHeight="false" outlineLevel="0" collapsed="false">
      <c r="A4" s="12" t="s">
        <v>123</v>
      </c>
      <c r="B4" s="13" t="n">
        <f aca="false">Wk1!B67</f>
        <v>46029</v>
      </c>
      <c r="C4" s="12" t="str">
        <f aca="false">TEXT(B4,"dddd")</f>
        <v>Wednesday</v>
      </c>
      <c r="D4" s="20" t="n">
        <f aca="false">Wk1!M67</f>
        <v>0</v>
      </c>
      <c r="E4" s="20" t="n">
        <f aca="false">IFERROR(F4-D4,"")</f>
        <v>0</v>
      </c>
      <c r="F4" s="20" t="n">
        <f aca="false">Wk1!H67</f>
        <v>0</v>
      </c>
      <c r="G4" s="12" t="str">
        <f aca="false">IF(Wk1!L67="","",Wk1!L67)</f>
        <v/>
      </c>
      <c r="H4" s="20" t="n">
        <f aca="false">Wk1!R67</f>
        <v>0</v>
      </c>
      <c r="I4" s="20" t="str">
        <f aca="false">IF(OR(F4=0,H4=0),"",F4-H4)</f>
        <v/>
      </c>
      <c r="J4" s="36" t="str">
        <f aca="false">IFERROR(I4/H4,"")</f>
        <v/>
      </c>
      <c r="K4" s="37" t="n">
        <f aca="false">Wk1!D67</f>
        <v>0</v>
      </c>
      <c r="L4" s="37" t="n">
        <f aca="false">Wk1!E67</f>
        <v>0</v>
      </c>
      <c r="M4" s="20" t="n">
        <f aca="false">Wk1!K67</f>
        <v>0</v>
      </c>
    </row>
    <row r="5" customFormat="false" ht="15" hidden="false" customHeight="false" outlineLevel="0" collapsed="false">
      <c r="A5" s="12" t="s">
        <v>123</v>
      </c>
      <c r="B5" s="13" t="n">
        <f aca="false">Wk1!B89</f>
        <v>46030</v>
      </c>
      <c r="C5" s="12" t="str">
        <f aca="false">TEXT(B5,"dddd")</f>
        <v>Thursday</v>
      </c>
      <c r="D5" s="20" t="n">
        <f aca="false">Wk1!M89</f>
        <v>0</v>
      </c>
      <c r="E5" s="20" t="n">
        <f aca="false">IFERROR(F5-D5,"")</f>
        <v>0</v>
      </c>
      <c r="F5" s="20" t="n">
        <f aca="false">Wk1!H89</f>
        <v>0</v>
      </c>
      <c r="G5" s="12" t="str">
        <f aca="false">IF(Wk1!L89="","",Wk1!L89)</f>
        <v/>
      </c>
      <c r="H5" s="20" t="n">
        <f aca="false">Wk1!R89</f>
        <v>0</v>
      </c>
      <c r="I5" s="20" t="str">
        <f aca="false">IF(OR(F5=0,H5=0),"",F5-H5)</f>
        <v/>
      </c>
      <c r="J5" s="36" t="str">
        <f aca="false">IFERROR(I5/H5,"")</f>
        <v/>
      </c>
      <c r="K5" s="37" t="n">
        <f aca="false">Wk1!D89</f>
        <v>0</v>
      </c>
      <c r="L5" s="37" t="n">
        <f aca="false">Wk1!E89</f>
        <v>0</v>
      </c>
      <c r="M5" s="20" t="n">
        <f aca="false">Wk1!K89</f>
        <v>0</v>
      </c>
    </row>
    <row r="6" customFormat="false" ht="15" hidden="false" customHeight="false" outlineLevel="0" collapsed="false">
      <c r="A6" s="12" t="s">
        <v>123</v>
      </c>
      <c r="B6" s="13" t="n">
        <f aca="false">Wk1!B111</f>
        <v>46031</v>
      </c>
      <c r="C6" s="12" t="str">
        <f aca="false">TEXT(B6,"dddd")</f>
        <v>Friday</v>
      </c>
      <c r="D6" s="20" t="n">
        <f aca="false">Wk1!M111</f>
        <v>0</v>
      </c>
      <c r="E6" s="20" t="n">
        <f aca="false">IFERROR(F6-D6,"")</f>
        <v>0</v>
      </c>
      <c r="F6" s="20" t="n">
        <f aca="false">Wk1!H111</f>
        <v>0</v>
      </c>
      <c r="G6" s="12" t="str">
        <f aca="false">IF(Wk1!L111="","",Wk1!L111)</f>
        <v/>
      </c>
      <c r="H6" s="20" t="n">
        <f aca="false">Wk1!R111</f>
        <v>0</v>
      </c>
      <c r="I6" s="20" t="str">
        <f aca="false">IF(OR(F6=0,H6=0),"",F6-H6)</f>
        <v/>
      </c>
      <c r="J6" s="36" t="str">
        <f aca="false">IFERROR(I6/H6,"")</f>
        <v/>
      </c>
      <c r="K6" s="37" t="n">
        <f aca="false">Wk1!D111</f>
        <v>0</v>
      </c>
      <c r="L6" s="37" t="n">
        <f aca="false">Wk1!E111</f>
        <v>0</v>
      </c>
      <c r="M6" s="20" t="n">
        <f aca="false">Wk1!K111</f>
        <v>0</v>
      </c>
    </row>
    <row r="7" customFormat="false" ht="15" hidden="false" customHeight="false" outlineLevel="0" collapsed="false">
      <c r="A7" s="12" t="s">
        <v>123</v>
      </c>
      <c r="B7" s="13" t="n">
        <f aca="false">Wk1!B133</f>
        <v>46032</v>
      </c>
      <c r="C7" s="12" t="str">
        <f aca="false">TEXT(B7,"dddd")</f>
        <v>Saturday</v>
      </c>
      <c r="D7" s="20" t="n">
        <f aca="false">Wk1!M133</f>
        <v>0</v>
      </c>
      <c r="E7" s="20" t="n">
        <f aca="false">IFERROR(F7-D7,"")</f>
        <v>0</v>
      </c>
      <c r="F7" s="20" t="n">
        <f aca="false">Wk1!H133</f>
        <v>0</v>
      </c>
      <c r="G7" s="12" t="str">
        <f aca="false">IF(Wk1!L133="","",Wk1!L133)</f>
        <v/>
      </c>
      <c r="H7" s="20" t="n">
        <f aca="false">Wk1!R133</f>
        <v>0</v>
      </c>
      <c r="I7" s="20" t="str">
        <f aca="false">IF(OR(F7=0,H7=0),"",F7-H7)</f>
        <v/>
      </c>
      <c r="J7" s="36" t="str">
        <f aca="false">IFERROR(I7/H7,"")</f>
        <v/>
      </c>
      <c r="K7" s="37" t="n">
        <f aca="false">Wk1!D133</f>
        <v>0</v>
      </c>
      <c r="L7" s="37" t="n">
        <f aca="false">Wk1!E133</f>
        <v>0</v>
      </c>
      <c r="M7" s="20" t="n">
        <f aca="false">Wk1!K133</f>
        <v>0</v>
      </c>
    </row>
    <row r="8" customFormat="false" ht="15" hidden="false" customHeight="false" outlineLevel="0" collapsed="false">
      <c r="A8" s="12" t="s">
        <v>123</v>
      </c>
      <c r="B8" s="13" t="n">
        <f aca="false">Wk1!B155</f>
        <v>46033</v>
      </c>
      <c r="C8" s="12" t="str">
        <f aca="false">TEXT(B8,"dddd")</f>
        <v>Sunday</v>
      </c>
      <c r="D8" s="20" t="n">
        <f aca="false">Wk1!M155</f>
        <v>0</v>
      </c>
      <c r="E8" s="20" t="n">
        <f aca="false">IFERROR(F8-D8,"")</f>
        <v>0</v>
      </c>
      <c r="F8" s="20" t="n">
        <f aca="false">Wk1!H155</f>
        <v>0</v>
      </c>
      <c r="G8" s="12" t="str">
        <f aca="false">IF(Wk1!L155="","",Wk1!L155)</f>
        <v/>
      </c>
      <c r="H8" s="20" t="n">
        <f aca="false">Wk1!R155</f>
        <v>0</v>
      </c>
      <c r="I8" s="20" t="str">
        <f aca="false">IF(OR(F8=0,H8=0),"",F8-H8)</f>
        <v/>
      </c>
      <c r="J8" s="36" t="str">
        <f aca="false">IFERROR(I8/H8,"")</f>
        <v/>
      </c>
      <c r="K8" s="37" t="n">
        <f aca="false">Wk1!D155</f>
        <v>0</v>
      </c>
      <c r="L8" s="37" t="n">
        <f aca="false">Wk1!E155</f>
        <v>0</v>
      </c>
      <c r="M8" s="20" t="n">
        <f aca="false">Wk1!K155</f>
        <v>0</v>
      </c>
    </row>
    <row r="9" customFormat="false" ht="15" hidden="false" customHeight="false" outlineLevel="0" collapsed="false">
      <c r="A9" s="12" t="s">
        <v>124</v>
      </c>
      <c r="B9" s="13" t="n">
        <f aca="false">Wk2!B23</f>
        <v>46034</v>
      </c>
      <c r="C9" s="12" t="str">
        <f aca="false">TEXT(B9,"dddd")</f>
        <v>Monday</v>
      </c>
      <c r="D9" s="20" t="n">
        <f aca="false">Wk2!M23</f>
        <v>0</v>
      </c>
      <c r="E9" s="20" t="n">
        <f aca="false">IFERROR(F9-D9,"")</f>
        <v>0</v>
      </c>
      <c r="F9" s="20" t="n">
        <f aca="false">Wk2!H23</f>
        <v>0</v>
      </c>
      <c r="G9" s="12" t="str">
        <f aca="false">IF(Wk2!L23="","",Wk2!L23)</f>
        <v/>
      </c>
      <c r="H9" s="20" t="n">
        <f aca="false">Wk2!R23</f>
        <v>0</v>
      </c>
      <c r="I9" s="20" t="str">
        <f aca="false">IF(OR(F9=0,H9=0),"",F9-H9)</f>
        <v/>
      </c>
      <c r="J9" s="36" t="str">
        <f aca="false">IFERROR(I9/H9,"")</f>
        <v/>
      </c>
      <c r="K9" s="37" t="n">
        <f aca="false">Wk2!D23</f>
        <v>0</v>
      </c>
      <c r="L9" s="37" t="n">
        <f aca="false">Wk2!E23</f>
        <v>0</v>
      </c>
      <c r="M9" s="20" t="n">
        <f aca="false">Wk2!K23</f>
        <v>0</v>
      </c>
    </row>
    <row r="10" customFormat="false" ht="15" hidden="false" customHeight="false" outlineLevel="0" collapsed="false">
      <c r="A10" s="12" t="s">
        <v>124</v>
      </c>
      <c r="B10" s="13" t="n">
        <f aca="false">Wk2!B45</f>
        <v>46035</v>
      </c>
      <c r="C10" s="12" t="str">
        <f aca="false">TEXT(B10,"dddd")</f>
        <v>Tuesday</v>
      </c>
      <c r="D10" s="20" t="n">
        <f aca="false">Wk2!M45</f>
        <v>0</v>
      </c>
      <c r="E10" s="20" t="n">
        <f aca="false">IFERROR(F10-D10,"")</f>
        <v>0</v>
      </c>
      <c r="F10" s="20" t="n">
        <f aca="false">Wk2!H45</f>
        <v>0</v>
      </c>
      <c r="G10" s="12" t="str">
        <f aca="false">IF(Wk2!L45="","",Wk2!L45)</f>
        <v/>
      </c>
      <c r="H10" s="20" t="n">
        <f aca="false">Wk2!R45</f>
        <v>0</v>
      </c>
      <c r="I10" s="20" t="str">
        <f aca="false">IF(OR(F10=0,H10=0),"",F10-H10)</f>
        <v/>
      </c>
      <c r="J10" s="36" t="str">
        <f aca="false">IFERROR(I10/H10,"")</f>
        <v/>
      </c>
      <c r="K10" s="37" t="n">
        <f aca="false">Wk2!D45</f>
        <v>0</v>
      </c>
      <c r="L10" s="37" t="n">
        <f aca="false">Wk2!E45</f>
        <v>0</v>
      </c>
      <c r="M10" s="20" t="n">
        <f aca="false">Wk2!K45</f>
        <v>0</v>
      </c>
    </row>
    <row r="11" customFormat="false" ht="15" hidden="false" customHeight="false" outlineLevel="0" collapsed="false">
      <c r="A11" s="12" t="s">
        <v>124</v>
      </c>
      <c r="B11" s="13" t="n">
        <f aca="false">Wk2!B67</f>
        <v>46036</v>
      </c>
      <c r="C11" s="12" t="str">
        <f aca="false">TEXT(B11,"dddd")</f>
        <v>Wednesday</v>
      </c>
      <c r="D11" s="20" t="n">
        <f aca="false">Wk2!M67</f>
        <v>0</v>
      </c>
      <c r="E11" s="20" t="n">
        <f aca="false">IFERROR(F11-D11,"")</f>
        <v>0</v>
      </c>
      <c r="F11" s="20" t="n">
        <f aca="false">Wk2!H67</f>
        <v>0</v>
      </c>
      <c r="G11" s="12" t="str">
        <f aca="false">IF(Wk2!L67="","",Wk2!L67)</f>
        <v/>
      </c>
      <c r="H11" s="20" t="n">
        <f aca="false">Wk2!R67</f>
        <v>0</v>
      </c>
      <c r="I11" s="20" t="str">
        <f aca="false">IF(OR(F11=0,H11=0),"",F11-H11)</f>
        <v/>
      </c>
      <c r="J11" s="36" t="str">
        <f aca="false">IFERROR(I11/H11,"")</f>
        <v/>
      </c>
      <c r="K11" s="37" t="n">
        <f aca="false">Wk2!D67</f>
        <v>0</v>
      </c>
      <c r="L11" s="37" t="n">
        <f aca="false">Wk2!E67</f>
        <v>0</v>
      </c>
      <c r="M11" s="20" t="n">
        <f aca="false">Wk2!K67</f>
        <v>0</v>
      </c>
    </row>
    <row r="12" customFormat="false" ht="15" hidden="false" customHeight="false" outlineLevel="0" collapsed="false">
      <c r="A12" s="12" t="s">
        <v>124</v>
      </c>
      <c r="B12" s="13" t="n">
        <f aca="false">Wk2!B89</f>
        <v>46037</v>
      </c>
      <c r="C12" s="12" t="str">
        <f aca="false">TEXT(B12,"dddd")</f>
        <v>Thursday</v>
      </c>
      <c r="D12" s="20" t="n">
        <f aca="false">Wk2!M89</f>
        <v>0</v>
      </c>
      <c r="E12" s="20" t="n">
        <f aca="false">IFERROR(F12-D12,"")</f>
        <v>0</v>
      </c>
      <c r="F12" s="20" t="n">
        <f aca="false">Wk2!H89</f>
        <v>0</v>
      </c>
      <c r="G12" s="12" t="str">
        <f aca="false">IF(Wk2!L89="","",Wk2!L89)</f>
        <v/>
      </c>
      <c r="H12" s="20" t="n">
        <f aca="false">Wk2!R89</f>
        <v>0</v>
      </c>
      <c r="I12" s="20" t="str">
        <f aca="false">IF(OR(F12=0,H12=0),"",F12-H12)</f>
        <v/>
      </c>
      <c r="J12" s="36" t="str">
        <f aca="false">IFERROR(I12/H12,"")</f>
        <v/>
      </c>
      <c r="K12" s="37" t="n">
        <f aca="false">Wk2!D89</f>
        <v>0</v>
      </c>
      <c r="L12" s="37" t="n">
        <f aca="false">Wk2!E89</f>
        <v>0</v>
      </c>
      <c r="M12" s="20" t="n">
        <f aca="false">Wk2!K89</f>
        <v>0</v>
      </c>
    </row>
    <row r="13" customFormat="false" ht="15" hidden="false" customHeight="false" outlineLevel="0" collapsed="false">
      <c r="A13" s="12" t="s">
        <v>124</v>
      </c>
      <c r="B13" s="13" t="n">
        <f aca="false">Wk2!B111</f>
        <v>46038</v>
      </c>
      <c r="C13" s="12" t="str">
        <f aca="false">TEXT(B13,"dddd")</f>
        <v>Friday</v>
      </c>
      <c r="D13" s="20" t="n">
        <f aca="false">Wk2!M111</f>
        <v>0</v>
      </c>
      <c r="E13" s="20" t="n">
        <f aca="false">IFERROR(F13-D13,"")</f>
        <v>0</v>
      </c>
      <c r="F13" s="20" t="n">
        <f aca="false">Wk2!H111</f>
        <v>0</v>
      </c>
      <c r="G13" s="12" t="str">
        <f aca="false">IF(Wk2!L111="","",Wk2!L111)</f>
        <v/>
      </c>
      <c r="H13" s="20" t="n">
        <f aca="false">Wk2!R111</f>
        <v>0</v>
      </c>
      <c r="I13" s="20" t="str">
        <f aca="false">IF(OR(F13=0,H13=0),"",F13-H13)</f>
        <v/>
      </c>
      <c r="J13" s="36" t="str">
        <f aca="false">IFERROR(I13/H13,"")</f>
        <v/>
      </c>
      <c r="K13" s="37" t="n">
        <f aca="false">Wk2!D111</f>
        <v>0</v>
      </c>
      <c r="L13" s="37" t="n">
        <f aca="false">Wk2!E111</f>
        <v>0</v>
      </c>
      <c r="M13" s="20" t="n">
        <f aca="false">Wk2!K111</f>
        <v>0</v>
      </c>
    </row>
    <row r="14" customFormat="false" ht="15" hidden="false" customHeight="false" outlineLevel="0" collapsed="false">
      <c r="A14" s="12" t="s">
        <v>124</v>
      </c>
      <c r="B14" s="13" t="n">
        <f aca="false">Wk2!B133</f>
        <v>46039</v>
      </c>
      <c r="C14" s="12" t="str">
        <f aca="false">TEXT(B14,"dddd")</f>
        <v>Saturday</v>
      </c>
      <c r="D14" s="20" t="n">
        <f aca="false">Wk2!M133</f>
        <v>0</v>
      </c>
      <c r="E14" s="20" t="n">
        <f aca="false">IFERROR(F14-D14,"")</f>
        <v>0</v>
      </c>
      <c r="F14" s="20" t="n">
        <f aca="false">Wk2!H133</f>
        <v>0</v>
      </c>
      <c r="G14" s="12" t="str">
        <f aca="false">IF(Wk2!L133="","",Wk2!L133)</f>
        <v/>
      </c>
      <c r="H14" s="20" t="n">
        <f aca="false">Wk2!R133</f>
        <v>0</v>
      </c>
      <c r="I14" s="20" t="str">
        <f aca="false">IF(OR(F14=0,H14=0),"",F14-H14)</f>
        <v/>
      </c>
      <c r="J14" s="36" t="str">
        <f aca="false">IFERROR(I14/H14,"")</f>
        <v/>
      </c>
      <c r="K14" s="37" t="n">
        <f aca="false">Wk2!D133</f>
        <v>0</v>
      </c>
      <c r="L14" s="37" t="n">
        <f aca="false">Wk2!E133</f>
        <v>0</v>
      </c>
      <c r="M14" s="20" t="n">
        <f aca="false">Wk2!K133</f>
        <v>0</v>
      </c>
    </row>
    <row r="15" customFormat="false" ht="15" hidden="false" customHeight="false" outlineLevel="0" collapsed="false">
      <c r="A15" s="12" t="s">
        <v>124</v>
      </c>
      <c r="B15" s="13" t="n">
        <f aca="false">Wk2!B155</f>
        <v>46040</v>
      </c>
      <c r="C15" s="12" t="str">
        <f aca="false">TEXT(B15,"dddd")</f>
        <v>Sunday</v>
      </c>
      <c r="D15" s="20" t="n">
        <f aca="false">Wk2!M155</f>
        <v>0</v>
      </c>
      <c r="E15" s="20" t="n">
        <f aca="false">IFERROR(F15-D15,"")</f>
        <v>0</v>
      </c>
      <c r="F15" s="20" t="n">
        <f aca="false">Wk2!H155</f>
        <v>0</v>
      </c>
      <c r="G15" s="12" t="str">
        <f aca="false">IF(Wk2!L155="","",Wk2!L155)</f>
        <v/>
      </c>
      <c r="H15" s="20" t="n">
        <f aca="false">Wk2!R155</f>
        <v>0</v>
      </c>
      <c r="I15" s="20" t="str">
        <f aca="false">IF(OR(F15=0,H15=0),"",F15-H15)</f>
        <v/>
      </c>
      <c r="J15" s="36" t="str">
        <f aca="false">IFERROR(I15/H15,"")</f>
        <v/>
      </c>
      <c r="K15" s="37" t="n">
        <f aca="false">Wk2!D155</f>
        <v>0</v>
      </c>
      <c r="L15" s="37" t="n">
        <f aca="false">Wk2!E155</f>
        <v>0</v>
      </c>
      <c r="M15" s="20" t="n">
        <f aca="false">Wk2!K155</f>
        <v>0</v>
      </c>
    </row>
    <row r="16" customFormat="false" ht="15" hidden="false" customHeight="false" outlineLevel="0" collapsed="false">
      <c r="A16" s="12" t="s">
        <v>125</v>
      </c>
      <c r="B16" s="13" t="n">
        <f aca="false">Wk3!B23</f>
        <v>46041</v>
      </c>
      <c r="C16" s="12" t="str">
        <f aca="false">TEXT(B16,"dddd")</f>
        <v>Monday</v>
      </c>
      <c r="D16" s="20" t="n">
        <f aca="false">Wk3!M23</f>
        <v>0</v>
      </c>
      <c r="E16" s="20" t="n">
        <f aca="false">IFERROR(F16-D16,"")</f>
        <v>0</v>
      </c>
      <c r="F16" s="20" t="n">
        <f aca="false">Wk3!H23</f>
        <v>0</v>
      </c>
      <c r="G16" s="12" t="str">
        <f aca="false">IF(Wk3!L23="","",Wk3!L23)</f>
        <v/>
      </c>
      <c r="H16" s="20" t="n">
        <f aca="false">Wk3!R23</f>
        <v>0</v>
      </c>
      <c r="I16" s="20" t="str">
        <f aca="false">IF(OR(F16=0,H16=0),"",F16-H16)</f>
        <v/>
      </c>
      <c r="J16" s="36" t="str">
        <f aca="false">IFERROR(I16/H16,"")</f>
        <v/>
      </c>
      <c r="K16" s="37" t="n">
        <f aca="false">Wk3!D23</f>
        <v>0</v>
      </c>
      <c r="L16" s="37" t="n">
        <f aca="false">Wk3!E23</f>
        <v>0</v>
      </c>
      <c r="M16" s="20" t="n">
        <f aca="false">Wk3!K23</f>
        <v>0</v>
      </c>
    </row>
    <row r="17" customFormat="false" ht="15" hidden="false" customHeight="false" outlineLevel="0" collapsed="false">
      <c r="A17" s="12" t="s">
        <v>125</v>
      </c>
      <c r="B17" s="13" t="n">
        <f aca="false">Wk3!B45</f>
        <v>46042</v>
      </c>
      <c r="C17" s="12" t="str">
        <f aca="false">TEXT(B17,"dddd")</f>
        <v>Tuesday</v>
      </c>
      <c r="D17" s="20" t="n">
        <f aca="false">Wk3!M45</f>
        <v>0</v>
      </c>
      <c r="E17" s="20" t="n">
        <f aca="false">IFERROR(F17-D17,"")</f>
        <v>0</v>
      </c>
      <c r="F17" s="20" t="n">
        <f aca="false">Wk3!H45</f>
        <v>0</v>
      </c>
      <c r="G17" s="12" t="str">
        <f aca="false">IF(Wk3!L45="","",Wk3!L45)</f>
        <v/>
      </c>
      <c r="H17" s="20" t="n">
        <f aca="false">Wk3!R45</f>
        <v>0</v>
      </c>
      <c r="I17" s="20" t="str">
        <f aca="false">IF(OR(F17=0,H17=0),"",F17-H17)</f>
        <v/>
      </c>
      <c r="J17" s="36" t="str">
        <f aca="false">IFERROR(I17/H17,"")</f>
        <v/>
      </c>
      <c r="K17" s="37" t="n">
        <f aca="false">Wk3!D45</f>
        <v>0</v>
      </c>
      <c r="L17" s="37" t="n">
        <f aca="false">Wk3!E45</f>
        <v>0</v>
      </c>
      <c r="M17" s="20" t="n">
        <f aca="false">Wk3!K45</f>
        <v>0</v>
      </c>
    </row>
    <row r="18" customFormat="false" ht="15" hidden="false" customHeight="false" outlineLevel="0" collapsed="false">
      <c r="A18" s="12" t="s">
        <v>125</v>
      </c>
      <c r="B18" s="13" t="n">
        <f aca="false">Wk3!B67</f>
        <v>46043</v>
      </c>
      <c r="C18" s="12" t="str">
        <f aca="false">TEXT(B18,"dddd")</f>
        <v>Wednesday</v>
      </c>
      <c r="D18" s="20" t="n">
        <f aca="false">Wk3!M67</f>
        <v>0</v>
      </c>
      <c r="E18" s="20" t="n">
        <f aca="false">IFERROR(F18-D18,"")</f>
        <v>0</v>
      </c>
      <c r="F18" s="20" t="n">
        <f aca="false">Wk3!H67</f>
        <v>0</v>
      </c>
      <c r="G18" s="12" t="str">
        <f aca="false">IF(Wk3!L67="","",Wk3!L67)</f>
        <v/>
      </c>
      <c r="H18" s="20" t="n">
        <f aca="false">Wk3!R67</f>
        <v>0</v>
      </c>
      <c r="I18" s="20" t="str">
        <f aca="false">IF(OR(F18=0,H18=0),"",F18-H18)</f>
        <v/>
      </c>
      <c r="J18" s="36" t="str">
        <f aca="false">IFERROR(I18/H18,"")</f>
        <v/>
      </c>
      <c r="K18" s="37" t="n">
        <f aca="false">Wk3!D67</f>
        <v>0</v>
      </c>
      <c r="L18" s="37" t="n">
        <f aca="false">Wk3!E67</f>
        <v>0</v>
      </c>
      <c r="M18" s="20" t="n">
        <f aca="false">Wk3!K67</f>
        <v>0</v>
      </c>
    </row>
    <row r="19" customFormat="false" ht="15" hidden="false" customHeight="false" outlineLevel="0" collapsed="false">
      <c r="A19" s="12" t="s">
        <v>125</v>
      </c>
      <c r="B19" s="13" t="n">
        <f aca="false">Wk3!B89</f>
        <v>46044</v>
      </c>
      <c r="C19" s="12" t="str">
        <f aca="false">TEXT(B19,"dddd")</f>
        <v>Thursday</v>
      </c>
      <c r="D19" s="20" t="n">
        <f aca="false">Wk3!M89</f>
        <v>0</v>
      </c>
      <c r="E19" s="20" t="n">
        <f aca="false">IFERROR(F19-D19,"")</f>
        <v>0</v>
      </c>
      <c r="F19" s="20" t="n">
        <f aca="false">Wk3!H89</f>
        <v>0</v>
      </c>
      <c r="G19" s="12" t="str">
        <f aca="false">IF(Wk3!L89="","",Wk3!L89)</f>
        <v/>
      </c>
      <c r="H19" s="20" t="n">
        <f aca="false">Wk3!R89</f>
        <v>0</v>
      </c>
      <c r="I19" s="20" t="str">
        <f aca="false">IF(OR(F19=0,H19=0),"",F19-H19)</f>
        <v/>
      </c>
      <c r="J19" s="36" t="str">
        <f aca="false">IFERROR(I19/H19,"")</f>
        <v/>
      </c>
      <c r="K19" s="37" t="n">
        <f aca="false">Wk3!D89</f>
        <v>0</v>
      </c>
      <c r="L19" s="37" t="n">
        <f aca="false">Wk3!E89</f>
        <v>0</v>
      </c>
      <c r="M19" s="20" t="n">
        <f aca="false">Wk3!K89</f>
        <v>0</v>
      </c>
    </row>
    <row r="20" customFormat="false" ht="15" hidden="false" customHeight="false" outlineLevel="0" collapsed="false">
      <c r="A20" s="12" t="s">
        <v>125</v>
      </c>
      <c r="B20" s="13" t="n">
        <f aca="false">Wk3!B111</f>
        <v>46045</v>
      </c>
      <c r="C20" s="12" t="str">
        <f aca="false">TEXT(B20,"dddd")</f>
        <v>Friday</v>
      </c>
      <c r="D20" s="20" t="n">
        <f aca="false">Wk3!M111</f>
        <v>0</v>
      </c>
      <c r="E20" s="20" t="n">
        <f aca="false">IFERROR(F20-D20,"")</f>
        <v>0</v>
      </c>
      <c r="F20" s="20" t="n">
        <f aca="false">Wk3!H111</f>
        <v>0</v>
      </c>
      <c r="G20" s="12" t="str">
        <f aca="false">IF(Wk3!L111="","",Wk3!L111)</f>
        <v/>
      </c>
      <c r="H20" s="20" t="n">
        <f aca="false">Wk3!R111</f>
        <v>0</v>
      </c>
      <c r="I20" s="20" t="str">
        <f aca="false">IF(OR(F20=0,H20=0),"",F20-H20)</f>
        <v/>
      </c>
      <c r="J20" s="36" t="str">
        <f aca="false">IFERROR(I20/H20,"")</f>
        <v/>
      </c>
      <c r="K20" s="37" t="n">
        <f aca="false">Wk3!D111</f>
        <v>0</v>
      </c>
      <c r="L20" s="37" t="n">
        <f aca="false">Wk3!E111</f>
        <v>0</v>
      </c>
      <c r="M20" s="20" t="n">
        <f aca="false">Wk3!K111</f>
        <v>0</v>
      </c>
    </row>
    <row r="21" customFormat="false" ht="15" hidden="false" customHeight="false" outlineLevel="0" collapsed="false">
      <c r="A21" s="12" t="s">
        <v>125</v>
      </c>
      <c r="B21" s="13" t="n">
        <f aca="false">Wk3!B133</f>
        <v>46046</v>
      </c>
      <c r="C21" s="12" t="str">
        <f aca="false">TEXT(B21,"dddd")</f>
        <v>Saturday</v>
      </c>
      <c r="D21" s="20" t="n">
        <f aca="false">Wk3!M133</f>
        <v>0</v>
      </c>
      <c r="E21" s="20" t="n">
        <f aca="false">IFERROR(F21-D21,"")</f>
        <v>0</v>
      </c>
      <c r="F21" s="20" t="n">
        <f aca="false">Wk3!H133</f>
        <v>0</v>
      </c>
      <c r="G21" s="12" t="str">
        <f aca="false">IF(Wk3!L133="","",Wk3!L133)</f>
        <v/>
      </c>
      <c r="H21" s="20" t="n">
        <f aca="false">Wk3!R133</f>
        <v>0</v>
      </c>
      <c r="I21" s="20" t="str">
        <f aca="false">IF(OR(F21=0,H21=0),"",F21-H21)</f>
        <v/>
      </c>
      <c r="J21" s="36" t="str">
        <f aca="false">IFERROR(I21/H21,"")</f>
        <v/>
      </c>
      <c r="K21" s="37" t="n">
        <f aca="false">Wk3!D133</f>
        <v>0</v>
      </c>
      <c r="L21" s="37" t="n">
        <f aca="false">Wk3!E133</f>
        <v>0</v>
      </c>
      <c r="M21" s="20" t="n">
        <f aca="false">Wk3!K133</f>
        <v>0</v>
      </c>
    </row>
    <row r="22" customFormat="false" ht="15" hidden="false" customHeight="false" outlineLevel="0" collapsed="false">
      <c r="A22" s="12" t="s">
        <v>125</v>
      </c>
      <c r="B22" s="13" t="n">
        <f aca="false">Wk3!B155</f>
        <v>46047</v>
      </c>
      <c r="C22" s="12" t="str">
        <f aca="false">TEXT(B22,"dddd")</f>
        <v>Sunday</v>
      </c>
      <c r="D22" s="20" t="n">
        <f aca="false">Wk3!M155</f>
        <v>0</v>
      </c>
      <c r="E22" s="20" t="n">
        <f aca="false">IFERROR(F22-D22,"")</f>
        <v>0</v>
      </c>
      <c r="F22" s="20" t="n">
        <f aca="false">Wk3!H155</f>
        <v>0</v>
      </c>
      <c r="G22" s="12" t="str">
        <f aca="false">IF(Wk3!L155="","",Wk3!L155)</f>
        <v/>
      </c>
      <c r="H22" s="20" t="n">
        <f aca="false">Wk3!R155</f>
        <v>0</v>
      </c>
      <c r="I22" s="20" t="str">
        <f aca="false">IF(OR(F22=0,H22=0),"",F22-H22)</f>
        <v/>
      </c>
      <c r="J22" s="36" t="str">
        <f aca="false">IFERROR(I22/H22,"")</f>
        <v/>
      </c>
      <c r="K22" s="37" t="n">
        <f aca="false">Wk3!D155</f>
        <v>0</v>
      </c>
      <c r="L22" s="37" t="n">
        <f aca="false">Wk3!E155</f>
        <v>0</v>
      </c>
      <c r="M22" s="20" t="n">
        <f aca="false">Wk3!K155</f>
        <v>0</v>
      </c>
    </row>
    <row r="23" customFormat="false" ht="15" hidden="false" customHeight="false" outlineLevel="0" collapsed="false">
      <c r="A23" s="12" t="s">
        <v>126</v>
      </c>
      <c r="B23" s="13" t="n">
        <f aca="false">Wk4!B23</f>
        <v>46048</v>
      </c>
      <c r="C23" s="12" t="str">
        <f aca="false">TEXT(B23,"dddd")</f>
        <v>Monday</v>
      </c>
      <c r="D23" s="20" t="n">
        <f aca="false">Wk4!M23</f>
        <v>0</v>
      </c>
      <c r="E23" s="20" t="n">
        <f aca="false">IFERROR(F23-D23,"")</f>
        <v>0</v>
      </c>
      <c r="F23" s="20" t="n">
        <f aca="false">Wk4!H23</f>
        <v>0</v>
      </c>
      <c r="G23" s="12" t="str">
        <f aca="false">IF(Wk4!L23="","",Wk4!L23)</f>
        <v/>
      </c>
      <c r="H23" s="20" t="n">
        <f aca="false">Wk4!R23</f>
        <v>0</v>
      </c>
      <c r="I23" s="20" t="str">
        <f aca="false">IF(OR(F23=0,H23=0),"",F23-H23)</f>
        <v/>
      </c>
      <c r="J23" s="36" t="str">
        <f aca="false">IFERROR(I23/H23,"")</f>
        <v/>
      </c>
      <c r="K23" s="37" t="n">
        <f aca="false">Wk4!D23</f>
        <v>0</v>
      </c>
      <c r="L23" s="37" t="n">
        <f aca="false">Wk4!E23</f>
        <v>0</v>
      </c>
      <c r="M23" s="20" t="n">
        <f aca="false">Wk4!K23</f>
        <v>0</v>
      </c>
    </row>
    <row r="24" customFormat="false" ht="15" hidden="false" customHeight="false" outlineLevel="0" collapsed="false">
      <c r="A24" s="12" t="s">
        <v>126</v>
      </c>
      <c r="B24" s="13" t="n">
        <f aca="false">Wk4!B45</f>
        <v>46049</v>
      </c>
      <c r="C24" s="12" t="str">
        <f aca="false">TEXT(B24,"dddd")</f>
        <v>Tuesday</v>
      </c>
      <c r="D24" s="20" t="n">
        <f aca="false">Wk4!M45</f>
        <v>0</v>
      </c>
      <c r="E24" s="20" t="n">
        <f aca="false">IFERROR(F24-D24,"")</f>
        <v>0</v>
      </c>
      <c r="F24" s="20" t="n">
        <f aca="false">Wk4!H45</f>
        <v>0</v>
      </c>
      <c r="G24" s="12" t="str">
        <f aca="false">IF(Wk4!L45="","",Wk4!L45)</f>
        <v/>
      </c>
      <c r="H24" s="20" t="n">
        <f aca="false">Wk4!R45</f>
        <v>0</v>
      </c>
      <c r="I24" s="20" t="str">
        <f aca="false">IF(OR(F24=0,H24=0),"",F24-H24)</f>
        <v/>
      </c>
      <c r="J24" s="36" t="str">
        <f aca="false">IFERROR(I24/H24,"")</f>
        <v/>
      </c>
      <c r="K24" s="37" t="n">
        <f aca="false">Wk4!D45</f>
        <v>0</v>
      </c>
      <c r="L24" s="37" t="n">
        <f aca="false">Wk4!E45</f>
        <v>0</v>
      </c>
      <c r="M24" s="20" t="n">
        <f aca="false">Wk4!K45</f>
        <v>0</v>
      </c>
    </row>
    <row r="25" customFormat="false" ht="15" hidden="false" customHeight="false" outlineLevel="0" collapsed="false">
      <c r="A25" s="12" t="s">
        <v>126</v>
      </c>
      <c r="B25" s="13" t="n">
        <f aca="false">Wk4!B67</f>
        <v>46050</v>
      </c>
      <c r="C25" s="12" t="str">
        <f aca="false">TEXT(B25,"dddd")</f>
        <v>Wednesday</v>
      </c>
      <c r="D25" s="20" t="n">
        <f aca="false">Wk4!M67</f>
        <v>0</v>
      </c>
      <c r="E25" s="20" t="n">
        <f aca="false">IFERROR(F25-D25,"")</f>
        <v>0</v>
      </c>
      <c r="F25" s="20" t="n">
        <f aca="false">Wk4!H67</f>
        <v>0</v>
      </c>
      <c r="G25" s="12" t="str">
        <f aca="false">IF(Wk4!L67="","",Wk4!L67)</f>
        <v/>
      </c>
      <c r="H25" s="20" t="n">
        <f aca="false">Wk4!R67</f>
        <v>0</v>
      </c>
      <c r="I25" s="20" t="str">
        <f aca="false">IF(OR(F25=0,H25=0),"",F25-H25)</f>
        <v/>
      </c>
      <c r="J25" s="36" t="str">
        <f aca="false">IFERROR(I25/H25,"")</f>
        <v/>
      </c>
      <c r="K25" s="37" t="n">
        <f aca="false">Wk4!D67</f>
        <v>0</v>
      </c>
      <c r="L25" s="37" t="n">
        <f aca="false">Wk4!E67</f>
        <v>0</v>
      </c>
      <c r="M25" s="20" t="n">
        <f aca="false">Wk4!K67</f>
        <v>0</v>
      </c>
    </row>
    <row r="26" customFormat="false" ht="15" hidden="false" customHeight="false" outlineLevel="0" collapsed="false">
      <c r="A26" s="12" t="s">
        <v>126</v>
      </c>
      <c r="B26" s="13" t="n">
        <f aca="false">Wk4!B89</f>
        <v>46051</v>
      </c>
      <c r="C26" s="12" t="str">
        <f aca="false">TEXT(B26,"dddd")</f>
        <v>Thursday</v>
      </c>
      <c r="D26" s="20" t="n">
        <f aca="false">Wk4!M89</f>
        <v>0</v>
      </c>
      <c r="E26" s="20" t="n">
        <f aca="false">IFERROR(F26-D26,"")</f>
        <v>0</v>
      </c>
      <c r="F26" s="20" t="n">
        <f aca="false">Wk4!H89</f>
        <v>0</v>
      </c>
      <c r="G26" s="12" t="str">
        <f aca="false">IF(Wk4!L89="","",Wk4!L89)</f>
        <v/>
      </c>
      <c r="H26" s="20" t="n">
        <f aca="false">Wk4!R89</f>
        <v>0</v>
      </c>
      <c r="I26" s="20" t="str">
        <f aca="false">IF(OR(F26=0,H26=0),"",F26-H26)</f>
        <v/>
      </c>
      <c r="J26" s="36" t="str">
        <f aca="false">IFERROR(I26/H26,"")</f>
        <v/>
      </c>
      <c r="K26" s="37" t="n">
        <f aca="false">Wk4!D89</f>
        <v>0</v>
      </c>
      <c r="L26" s="37" t="n">
        <f aca="false">Wk4!E89</f>
        <v>0</v>
      </c>
      <c r="M26" s="20" t="n">
        <f aca="false">Wk4!K89</f>
        <v>0</v>
      </c>
    </row>
    <row r="27" customFormat="false" ht="15" hidden="false" customHeight="false" outlineLevel="0" collapsed="false">
      <c r="A27" s="12" t="s">
        <v>126</v>
      </c>
      <c r="B27" s="13" t="n">
        <f aca="false">Wk4!B111</f>
        <v>46052</v>
      </c>
      <c r="C27" s="12" t="str">
        <f aca="false">TEXT(B27,"dddd")</f>
        <v>Friday</v>
      </c>
      <c r="D27" s="20" t="n">
        <f aca="false">Wk4!M111</f>
        <v>0</v>
      </c>
      <c r="E27" s="20" t="n">
        <f aca="false">IFERROR(F27-D27,"")</f>
        <v>0</v>
      </c>
      <c r="F27" s="20" t="n">
        <f aca="false">Wk4!H111</f>
        <v>0</v>
      </c>
      <c r="G27" s="12" t="str">
        <f aca="false">IF(Wk4!L111="","",Wk4!L111)</f>
        <v/>
      </c>
      <c r="H27" s="20" t="n">
        <f aca="false">Wk4!R111</f>
        <v>0</v>
      </c>
      <c r="I27" s="20" t="str">
        <f aca="false">IF(OR(F27=0,H27=0),"",F27-H27)</f>
        <v/>
      </c>
      <c r="J27" s="36" t="str">
        <f aca="false">IFERROR(I27/H27,"")</f>
        <v/>
      </c>
      <c r="K27" s="37" t="n">
        <f aca="false">Wk4!D111</f>
        <v>0</v>
      </c>
      <c r="L27" s="37" t="n">
        <f aca="false">Wk4!E111</f>
        <v>0</v>
      </c>
      <c r="M27" s="20" t="n">
        <f aca="false">Wk4!K111</f>
        <v>0</v>
      </c>
    </row>
    <row r="28" customFormat="false" ht="15" hidden="false" customHeight="false" outlineLevel="0" collapsed="false">
      <c r="A28" s="12" t="s">
        <v>126</v>
      </c>
      <c r="B28" s="13" t="n">
        <f aca="false">Wk4!B133</f>
        <v>46053</v>
      </c>
      <c r="C28" s="12" t="str">
        <f aca="false">TEXT(B28,"dddd")</f>
        <v>Saturday</v>
      </c>
      <c r="D28" s="20" t="n">
        <f aca="false">Wk4!M133</f>
        <v>0</v>
      </c>
      <c r="E28" s="20" t="n">
        <f aca="false">IFERROR(F28-D28,"")</f>
        <v>0</v>
      </c>
      <c r="F28" s="20" t="n">
        <f aca="false">Wk4!H133</f>
        <v>0</v>
      </c>
      <c r="G28" s="12" t="str">
        <f aca="false">IF(Wk4!L133="","",Wk4!L133)</f>
        <v/>
      </c>
      <c r="H28" s="20" t="n">
        <f aca="false">Wk4!R133</f>
        <v>0</v>
      </c>
      <c r="I28" s="20" t="str">
        <f aca="false">IF(OR(F28=0,H28=0),"",F28-H28)</f>
        <v/>
      </c>
      <c r="J28" s="36" t="str">
        <f aca="false">IFERROR(I28/H28,"")</f>
        <v/>
      </c>
      <c r="K28" s="37" t="n">
        <f aca="false">Wk4!D133</f>
        <v>0</v>
      </c>
      <c r="L28" s="37" t="n">
        <f aca="false">Wk4!E133</f>
        <v>0</v>
      </c>
      <c r="M28" s="20" t="n">
        <f aca="false">Wk4!K133</f>
        <v>0</v>
      </c>
    </row>
    <row r="29" customFormat="false" ht="15" hidden="false" customHeight="false" outlineLevel="0" collapsed="false">
      <c r="A29" s="12" t="s">
        <v>126</v>
      </c>
      <c r="B29" s="13" t="n">
        <f aca="false">Wk4!B155</f>
        <v>46054</v>
      </c>
      <c r="C29" s="12" t="str">
        <f aca="false">TEXT(B29,"dddd")</f>
        <v>Sunday</v>
      </c>
      <c r="D29" s="20" t="n">
        <f aca="false">Wk4!M155</f>
        <v>0</v>
      </c>
      <c r="E29" s="20" t="n">
        <f aca="false">IFERROR(F29-D29,"")</f>
        <v>0</v>
      </c>
      <c r="F29" s="20" t="n">
        <f aca="false">Wk4!H155</f>
        <v>0</v>
      </c>
      <c r="G29" s="12" t="str">
        <f aca="false">IF(Wk4!L155="","",Wk4!L155)</f>
        <v/>
      </c>
      <c r="H29" s="20" t="n">
        <f aca="false">Wk4!R155</f>
        <v>0</v>
      </c>
      <c r="I29" s="20" t="str">
        <f aca="false">IF(OR(F29=0,H29=0),"",F29-H29)</f>
        <v/>
      </c>
      <c r="J29" s="36" t="str">
        <f aca="false">IFERROR(I29/H29,"")</f>
        <v/>
      </c>
      <c r="K29" s="37" t="n">
        <f aca="false">Wk4!D155</f>
        <v>0</v>
      </c>
      <c r="L29" s="37" t="n">
        <f aca="false">Wk4!E155</f>
        <v>0</v>
      </c>
      <c r="M29" s="20" t="n">
        <f aca="false">Wk4!K155</f>
        <v>0</v>
      </c>
    </row>
    <row r="30" customFormat="false" ht="15" hidden="false" customHeight="false" outlineLevel="0" collapsed="false">
      <c r="A30" s="12" t="s">
        <v>127</v>
      </c>
      <c r="B30" s="13" t="n">
        <f aca="false">Wk5!B23</f>
        <v>46055</v>
      </c>
      <c r="C30" s="12" t="str">
        <f aca="false">TEXT(B30,"dddd")</f>
        <v>Monday</v>
      </c>
      <c r="D30" s="20" t="n">
        <f aca="false">Wk5!M23</f>
        <v>0</v>
      </c>
      <c r="E30" s="20" t="n">
        <f aca="false">IFERROR(F30-D30,"")</f>
        <v>0</v>
      </c>
      <c r="F30" s="20" t="n">
        <f aca="false">Wk5!H23</f>
        <v>0</v>
      </c>
      <c r="G30" s="12" t="str">
        <f aca="false">IF(Wk5!L23="","",Wk5!L23)</f>
        <v/>
      </c>
      <c r="H30" s="20" t="n">
        <f aca="false">Wk5!R23</f>
        <v>0</v>
      </c>
      <c r="I30" s="20" t="str">
        <f aca="false">IF(OR(F30=0,H30=0),"",F30-H30)</f>
        <v/>
      </c>
      <c r="J30" s="36" t="str">
        <f aca="false">IFERROR(I30/H30,"")</f>
        <v/>
      </c>
      <c r="K30" s="37" t="n">
        <f aca="false">Wk5!D23</f>
        <v>0</v>
      </c>
      <c r="L30" s="37" t="n">
        <f aca="false">Wk5!E23</f>
        <v>0</v>
      </c>
      <c r="M30" s="20" t="n">
        <f aca="false">Wk5!K23</f>
        <v>0</v>
      </c>
    </row>
    <row r="31" customFormat="false" ht="15" hidden="false" customHeight="false" outlineLevel="0" collapsed="false">
      <c r="A31" s="12" t="s">
        <v>127</v>
      </c>
      <c r="B31" s="13" t="n">
        <f aca="false">Wk5!B45</f>
        <v>46056</v>
      </c>
      <c r="C31" s="12" t="str">
        <f aca="false">TEXT(B31,"dddd")</f>
        <v>Tuesday</v>
      </c>
      <c r="D31" s="20" t="n">
        <f aca="false">Wk5!M45</f>
        <v>0</v>
      </c>
      <c r="E31" s="20" t="n">
        <f aca="false">IFERROR(F31-D31,"")</f>
        <v>0</v>
      </c>
      <c r="F31" s="20" t="n">
        <f aca="false">Wk5!H45</f>
        <v>0</v>
      </c>
      <c r="G31" s="12" t="str">
        <f aca="false">IF(Wk5!L45="","",Wk5!L45)</f>
        <v/>
      </c>
      <c r="H31" s="20" t="n">
        <f aca="false">Wk5!R45</f>
        <v>0</v>
      </c>
      <c r="I31" s="20" t="str">
        <f aca="false">IF(OR(F31=0,H31=0),"",F31-H31)</f>
        <v/>
      </c>
      <c r="J31" s="36" t="str">
        <f aca="false">IFERROR(I31/H31,"")</f>
        <v/>
      </c>
      <c r="K31" s="37" t="n">
        <f aca="false">Wk5!D45</f>
        <v>0</v>
      </c>
      <c r="L31" s="37" t="n">
        <f aca="false">Wk5!E45</f>
        <v>0</v>
      </c>
      <c r="M31" s="20" t="n">
        <f aca="false">Wk5!K45</f>
        <v>0</v>
      </c>
    </row>
    <row r="32" customFormat="false" ht="15" hidden="false" customHeight="false" outlineLevel="0" collapsed="false">
      <c r="A32" s="12" t="s">
        <v>127</v>
      </c>
      <c r="B32" s="13" t="n">
        <f aca="false">Wk5!B67</f>
        <v>46057</v>
      </c>
      <c r="C32" s="12" t="str">
        <f aca="false">TEXT(B32,"dddd")</f>
        <v>Wednesday</v>
      </c>
      <c r="D32" s="20" t="n">
        <f aca="false">Wk5!M67</f>
        <v>0</v>
      </c>
      <c r="E32" s="20" t="n">
        <f aca="false">IFERROR(F32-D32,"")</f>
        <v>0</v>
      </c>
      <c r="F32" s="20" t="n">
        <f aca="false">Wk5!H67</f>
        <v>0</v>
      </c>
      <c r="G32" s="12" t="str">
        <f aca="false">IF(Wk5!L67="","",Wk5!L67)</f>
        <v/>
      </c>
      <c r="H32" s="20" t="n">
        <f aca="false">Wk5!R67</f>
        <v>0</v>
      </c>
      <c r="I32" s="20" t="str">
        <f aca="false">IF(OR(F32=0,H32=0),"",F32-H32)</f>
        <v/>
      </c>
      <c r="J32" s="36" t="str">
        <f aca="false">IFERROR(I32/H32,"")</f>
        <v/>
      </c>
      <c r="K32" s="37" t="n">
        <f aca="false">Wk5!D67</f>
        <v>0</v>
      </c>
      <c r="L32" s="37" t="n">
        <f aca="false">Wk5!E67</f>
        <v>0</v>
      </c>
      <c r="M32" s="20" t="n">
        <f aca="false">Wk5!K67</f>
        <v>0</v>
      </c>
    </row>
    <row r="33" customFormat="false" ht="15" hidden="false" customHeight="false" outlineLevel="0" collapsed="false">
      <c r="A33" s="12" t="s">
        <v>127</v>
      </c>
      <c r="B33" s="13" t="n">
        <f aca="false">Wk5!B89</f>
        <v>46058</v>
      </c>
      <c r="C33" s="12" t="str">
        <f aca="false">TEXT(B33,"dddd")</f>
        <v>Thursday</v>
      </c>
      <c r="D33" s="20" t="n">
        <f aca="false">Wk5!M89</f>
        <v>0</v>
      </c>
      <c r="E33" s="20" t="n">
        <f aca="false">IFERROR(F33-D33,"")</f>
        <v>0</v>
      </c>
      <c r="F33" s="20" t="n">
        <f aca="false">Wk5!H89</f>
        <v>0</v>
      </c>
      <c r="G33" s="12" t="str">
        <f aca="false">IF(Wk5!L89="","",Wk5!L89)</f>
        <v/>
      </c>
      <c r="H33" s="20" t="n">
        <f aca="false">Wk5!R89</f>
        <v>0</v>
      </c>
      <c r="I33" s="20" t="str">
        <f aca="false">IF(OR(F33=0,H33=0),"",F33-H33)</f>
        <v/>
      </c>
      <c r="J33" s="36" t="str">
        <f aca="false">IFERROR(I33/H33,"")</f>
        <v/>
      </c>
      <c r="K33" s="37" t="n">
        <f aca="false">Wk5!D89</f>
        <v>0</v>
      </c>
      <c r="L33" s="37" t="n">
        <f aca="false">Wk5!E89</f>
        <v>0</v>
      </c>
      <c r="M33" s="20" t="n">
        <f aca="false">Wk5!K89</f>
        <v>0</v>
      </c>
    </row>
    <row r="34" customFormat="false" ht="15" hidden="false" customHeight="false" outlineLevel="0" collapsed="false">
      <c r="A34" s="12" t="s">
        <v>127</v>
      </c>
      <c r="B34" s="13" t="n">
        <f aca="false">Wk5!B111</f>
        <v>46059</v>
      </c>
      <c r="C34" s="12" t="str">
        <f aca="false">TEXT(B34,"dddd")</f>
        <v>Friday</v>
      </c>
      <c r="D34" s="20" t="n">
        <f aca="false">Wk5!M111</f>
        <v>0</v>
      </c>
      <c r="E34" s="20" t="n">
        <f aca="false">IFERROR(F34-D34,"")</f>
        <v>0</v>
      </c>
      <c r="F34" s="20" t="n">
        <f aca="false">Wk5!H111</f>
        <v>0</v>
      </c>
      <c r="G34" s="12" t="str">
        <f aca="false">IF(Wk5!L111="","",Wk5!L111)</f>
        <v/>
      </c>
      <c r="H34" s="20" t="n">
        <f aca="false">Wk5!R111</f>
        <v>0</v>
      </c>
      <c r="I34" s="20" t="str">
        <f aca="false">IF(OR(F34=0,H34=0),"",F34-H34)</f>
        <v/>
      </c>
      <c r="J34" s="36" t="str">
        <f aca="false">IFERROR(I34/H34,"")</f>
        <v/>
      </c>
      <c r="K34" s="37" t="n">
        <f aca="false">Wk5!D111</f>
        <v>0</v>
      </c>
      <c r="L34" s="37" t="n">
        <f aca="false">Wk5!E111</f>
        <v>0</v>
      </c>
      <c r="M34" s="20" t="n">
        <f aca="false">Wk5!K111</f>
        <v>0</v>
      </c>
    </row>
    <row r="35" customFormat="false" ht="15" hidden="false" customHeight="false" outlineLevel="0" collapsed="false">
      <c r="A35" s="12" t="s">
        <v>127</v>
      </c>
      <c r="B35" s="13" t="n">
        <f aca="false">Wk5!B133</f>
        <v>46060</v>
      </c>
      <c r="C35" s="12" t="str">
        <f aca="false">TEXT(B35,"dddd")</f>
        <v>Saturday</v>
      </c>
      <c r="D35" s="20" t="n">
        <f aca="false">Wk5!M133</f>
        <v>0</v>
      </c>
      <c r="E35" s="20" t="n">
        <f aca="false">IFERROR(F35-D35,"")</f>
        <v>0</v>
      </c>
      <c r="F35" s="20" t="n">
        <f aca="false">Wk5!H133</f>
        <v>0</v>
      </c>
      <c r="G35" s="12" t="str">
        <f aca="false">IF(Wk5!L133="","",Wk5!L133)</f>
        <v/>
      </c>
      <c r="H35" s="20" t="n">
        <f aca="false">Wk5!R133</f>
        <v>0</v>
      </c>
      <c r="I35" s="20" t="str">
        <f aca="false">IF(OR(F35=0,H35=0),"",F35-H35)</f>
        <v/>
      </c>
      <c r="J35" s="36" t="str">
        <f aca="false">IFERROR(I35/H35,"")</f>
        <v/>
      </c>
      <c r="K35" s="37" t="n">
        <f aca="false">Wk5!D133</f>
        <v>0</v>
      </c>
      <c r="L35" s="37" t="n">
        <f aca="false">Wk5!E133</f>
        <v>0</v>
      </c>
      <c r="M35" s="20" t="n">
        <f aca="false">Wk5!K133</f>
        <v>0</v>
      </c>
    </row>
    <row r="36" customFormat="false" ht="15" hidden="false" customHeight="false" outlineLevel="0" collapsed="false">
      <c r="A36" s="12" t="s">
        <v>127</v>
      </c>
      <c r="B36" s="13" t="n">
        <f aca="false">Wk5!B155</f>
        <v>46061</v>
      </c>
      <c r="C36" s="12" t="str">
        <f aca="false">TEXT(B36,"dddd")</f>
        <v>Sunday</v>
      </c>
      <c r="D36" s="20" t="n">
        <f aca="false">Wk5!M155</f>
        <v>0</v>
      </c>
      <c r="E36" s="20" t="n">
        <f aca="false">IFERROR(F36-D36,"")</f>
        <v>0</v>
      </c>
      <c r="F36" s="20" t="n">
        <f aca="false">Wk5!H155</f>
        <v>0</v>
      </c>
      <c r="G36" s="12" t="str">
        <f aca="false">IF(Wk5!L155="","",Wk5!L155)</f>
        <v/>
      </c>
      <c r="H36" s="20" t="n">
        <f aca="false">Wk5!R155</f>
        <v>0</v>
      </c>
      <c r="I36" s="20" t="str">
        <f aca="false">IF(OR(F36=0,H36=0),"",F36-H36)</f>
        <v/>
      </c>
      <c r="J36" s="36" t="str">
        <f aca="false">IFERROR(I36/H36,"")</f>
        <v/>
      </c>
      <c r="K36" s="37" t="n">
        <f aca="false">Wk5!D155</f>
        <v>0</v>
      </c>
      <c r="L36" s="37" t="n">
        <f aca="false">Wk5!E155</f>
        <v>0</v>
      </c>
      <c r="M36" s="20" t="n">
        <f aca="false">Wk5!K155</f>
        <v>0</v>
      </c>
    </row>
    <row r="37" customFormat="false" ht="15" hidden="false" customHeight="false" outlineLevel="0" collapsed="false">
      <c r="A37" s="12" t="s">
        <v>128</v>
      </c>
      <c r="B37" s="13" t="n">
        <f aca="false">Wk6!B23</f>
        <v>46062</v>
      </c>
      <c r="C37" s="12" t="str">
        <f aca="false">TEXT(B37,"dddd")</f>
        <v>Monday</v>
      </c>
      <c r="D37" s="20" t="n">
        <f aca="false">Wk6!M23</f>
        <v>0</v>
      </c>
      <c r="E37" s="20" t="n">
        <f aca="false">IFERROR(F37-D37,"")</f>
        <v>0</v>
      </c>
      <c r="F37" s="20" t="n">
        <f aca="false">Wk6!H23</f>
        <v>0</v>
      </c>
      <c r="G37" s="12" t="str">
        <f aca="false">IF(Wk6!L23="","",Wk6!L23)</f>
        <v/>
      </c>
      <c r="H37" s="20" t="n">
        <f aca="false">Wk6!R23</f>
        <v>0</v>
      </c>
      <c r="I37" s="20" t="str">
        <f aca="false">IF(OR(F37=0,H37=0),"",F37-H37)</f>
        <v/>
      </c>
      <c r="J37" s="36" t="str">
        <f aca="false">IFERROR(I37/H37,"")</f>
        <v/>
      </c>
      <c r="K37" s="37" t="n">
        <f aca="false">Wk6!D23</f>
        <v>0</v>
      </c>
      <c r="L37" s="37" t="n">
        <f aca="false">Wk6!E23</f>
        <v>0</v>
      </c>
      <c r="M37" s="20" t="n">
        <f aca="false">Wk6!K23</f>
        <v>0</v>
      </c>
    </row>
    <row r="38" customFormat="false" ht="15" hidden="false" customHeight="false" outlineLevel="0" collapsed="false">
      <c r="A38" s="12" t="s">
        <v>128</v>
      </c>
      <c r="B38" s="13" t="n">
        <f aca="false">Wk6!B45</f>
        <v>46063</v>
      </c>
      <c r="C38" s="12" t="str">
        <f aca="false">TEXT(B38,"dddd")</f>
        <v>Tuesday</v>
      </c>
      <c r="D38" s="20" t="n">
        <f aca="false">Wk6!M45</f>
        <v>0</v>
      </c>
      <c r="E38" s="20" t="n">
        <f aca="false">IFERROR(F38-D38,"")</f>
        <v>0</v>
      </c>
      <c r="F38" s="20" t="n">
        <f aca="false">Wk6!H45</f>
        <v>0</v>
      </c>
      <c r="G38" s="12" t="str">
        <f aca="false">IF(Wk6!L45="","",Wk6!L45)</f>
        <v/>
      </c>
      <c r="H38" s="20" t="n">
        <f aca="false">Wk6!R45</f>
        <v>0</v>
      </c>
      <c r="I38" s="20" t="str">
        <f aca="false">IF(OR(F38=0,H38=0),"",F38-H38)</f>
        <v/>
      </c>
      <c r="J38" s="36" t="str">
        <f aca="false">IFERROR(I38/H38,"")</f>
        <v/>
      </c>
      <c r="K38" s="37" t="n">
        <f aca="false">Wk6!D45</f>
        <v>0</v>
      </c>
      <c r="L38" s="37" t="n">
        <f aca="false">Wk6!E45</f>
        <v>0</v>
      </c>
      <c r="M38" s="20" t="n">
        <f aca="false">Wk6!K45</f>
        <v>0</v>
      </c>
    </row>
    <row r="39" customFormat="false" ht="15" hidden="false" customHeight="false" outlineLevel="0" collapsed="false">
      <c r="A39" s="12" t="s">
        <v>128</v>
      </c>
      <c r="B39" s="13" t="n">
        <f aca="false">Wk6!B67</f>
        <v>46064</v>
      </c>
      <c r="C39" s="12" t="str">
        <f aca="false">TEXT(B39,"dddd")</f>
        <v>Wednesday</v>
      </c>
      <c r="D39" s="20" t="n">
        <f aca="false">Wk6!M67</f>
        <v>0</v>
      </c>
      <c r="E39" s="20" t="n">
        <f aca="false">IFERROR(F39-D39,"")</f>
        <v>0</v>
      </c>
      <c r="F39" s="20" t="n">
        <f aca="false">Wk6!H67</f>
        <v>0</v>
      </c>
      <c r="G39" s="12" t="str">
        <f aca="false">IF(Wk6!L67="","",Wk6!L67)</f>
        <v/>
      </c>
      <c r="H39" s="20" t="n">
        <f aca="false">Wk6!R67</f>
        <v>0</v>
      </c>
      <c r="I39" s="20" t="str">
        <f aca="false">IF(OR(F39=0,H39=0),"",F39-H39)</f>
        <v/>
      </c>
      <c r="J39" s="36" t="str">
        <f aca="false">IFERROR(I39/H39,"")</f>
        <v/>
      </c>
      <c r="K39" s="37" t="n">
        <f aca="false">Wk6!D67</f>
        <v>0</v>
      </c>
      <c r="L39" s="37" t="n">
        <f aca="false">Wk6!E67</f>
        <v>0</v>
      </c>
      <c r="M39" s="20" t="n">
        <f aca="false">Wk6!K67</f>
        <v>0</v>
      </c>
    </row>
    <row r="40" customFormat="false" ht="15" hidden="false" customHeight="false" outlineLevel="0" collapsed="false">
      <c r="A40" s="12" t="s">
        <v>128</v>
      </c>
      <c r="B40" s="13" t="n">
        <f aca="false">Wk6!B89</f>
        <v>46065</v>
      </c>
      <c r="C40" s="12" t="str">
        <f aca="false">TEXT(B40,"dddd")</f>
        <v>Thursday</v>
      </c>
      <c r="D40" s="20" t="n">
        <f aca="false">Wk6!M89</f>
        <v>0</v>
      </c>
      <c r="E40" s="20" t="n">
        <f aca="false">IFERROR(F40-D40,"")</f>
        <v>0</v>
      </c>
      <c r="F40" s="20" t="n">
        <f aca="false">Wk6!H89</f>
        <v>0</v>
      </c>
      <c r="G40" s="12" t="str">
        <f aca="false">IF(Wk6!L89="","",Wk6!L89)</f>
        <v/>
      </c>
      <c r="H40" s="20" t="n">
        <f aca="false">Wk6!R89</f>
        <v>0</v>
      </c>
      <c r="I40" s="20" t="str">
        <f aca="false">IF(OR(F40=0,H40=0),"",F40-H40)</f>
        <v/>
      </c>
      <c r="J40" s="36" t="str">
        <f aca="false">IFERROR(I40/H40,"")</f>
        <v/>
      </c>
      <c r="K40" s="37" t="n">
        <f aca="false">Wk6!D89</f>
        <v>0</v>
      </c>
      <c r="L40" s="37" t="n">
        <f aca="false">Wk6!E89</f>
        <v>0</v>
      </c>
      <c r="M40" s="20" t="n">
        <f aca="false">Wk6!K89</f>
        <v>0</v>
      </c>
    </row>
    <row r="41" customFormat="false" ht="15" hidden="false" customHeight="false" outlineLevel="0" collapsed="false">
      <c r="A41" s="12" t="s">
        <v>128</v>
      </c>
      <c r="B41" s="13" t="n">
        <f aca="false">Wk6!B111</f>
        <v>46066</v>
      </c>
      <c r="C41" s="12" t="str">
        <f aca="false">TEXT(B41,"dddd")</f>
        <v>Friday</v>
      </c>
      <c r="D41" s="20" t="n">
        <f aca="false">Wk6!M111</f>
        <v>0</v>
      </c>
      <c r="E41" s="20" t="n">
        <f aca="false">IFERROR(F41-D41,"")</f>
        <v>0</v>
      </c>
      <c r="F41" s="20" t="n">
        <f aca="false">Wk6!H111</f>
        <v>0</v>
      </c>
      <c r="G41" s="12" t="str">
        <f aca="false">IF(Wk6!L111="","",Wk6!L111)</f>
        <v/>
      </c>
      <c r="H41" s="20" t="n">
        <f aca="false">Wk6!R111</f>
        <v>0</v>
      </c>
      <c r="I41" s="20" t="str">
        <f aca="false">IF(OR(F41=0,H41=0),"",F41-H41)</f>
        <v/>
      </c>
      <c r="J41" s="36" t="str">
        <f aca="false">IFERROR(I41/H41,"")</f>
        <v/>
      </c>
      <c r="K41" s="37" t="n">
        <f aca="false">Wk6!D111</f>
        <v>0</v>
      </c>
      <c r="L41" s="37" t="n">
        <f aca="false">Wk6!E111</f>
        <v>0</v>
      </c>
      <c r="M41" s="20" t="n">
        <f aca="false">Wk6!K111</f>
        <v>0</v>
      </c>
    </row>
    <row r="42" customFormat="false" ht="15" hidden="false" customHeight="false" outlineLevel="0" collapsed="false">
      <c r="A42" s="12" t="s">
        <v>128</v>
      </c>
      <c r="B42" s="13" t="n">
        <f aca="false">Wk6!B133</f>
        <v>46067</v>
      </c>
      <c r="C42" s="12" t="str">
        <f aca="false">TEXT(B42,"dddd")</f>
        <v>Saturday</v>
      </c>
      <c r="D42" s="20" t="n">
        <f aca="false">Wk6!M133</f>
        <v>0</v>
      </c>
      <c r="E42" s="20" t="n">
        <f aca="false">IFERROR(F42-D42,"")</f>
        <v>0</v>
      </c>
      <c r="F42" s="20" t="n">
        <f aca="false">Wk6!H133</f>
        <v>0</v>
      </c>
      <c r="G42" s="12" t="str">
        <f aca="false">IF(Wk6!L133="","",Wk6!L133)</f>
        <v/>
      </c>
      <c r="H42" s="20" t="n">
        <f aca="false">Wk6!R133</f>
        <v>0</v>
      </c>
      <c r="I42" s="20" t="str">
        <f aca="false">IF(OR(F42=0,H42=0),"",F42-H42)</f>
        <v/>
      </c>
      <c r="J42" s="36" t="str">
        <f aca="false">IFERROR(I42/H42,"")</f>
        <v/>
      </c>
      <c r="K42" s="37" t="n">
        <f aca="false">Wk6!D133</f>
        <v>0</v>
      </c>
      <c r="L42" s="37" t="n">
        <f aca="false">Wk6!E133</f>
        <v>0</v>
      </c>
      <c r="M42" s="20" t="n">
        <f aca="false">Wk6!K133</f>
        <v>0</v>
      </c>
    </row>
    <row r="43" customFormat="false" ht="15" hidden="false" customHeight="false" outlineLevel="0" collapsed="false">
      <c r="A43" s="12" t="s">
        <v>128</v>
      </c>
      <c r="B43" s="13" t="n">
        <f aca="false">Wk6!B155</f>
        <v>46068</v>
      </c>
      <c r="C43" s="12" t="str">
        <f aca="false">TEXT(B43,"dddd")</f>
        <v>Sunday</v>
      </c>
      <c r="D43" s="20" t="n">
        <f aca="false">Wk6!M155</f>
        <v>0</v>
      </c>
      <c r="E43" s="20" t="n">
        <f aca="false">IFERROR(F43-D43,"")</f>
        <v>0</v>
      </c>
      <c r="F43" s="20" t="n">
        <f aca="false">Wk6!H155</f>
        <v>0</v>
      </c>
      <c r="G43" s="12" t="str">
        <f aca="false">IF(Wk6!L155="","",Wk6!L155)</f>
        <v/>
      </c>
      <c r="H43" s="20" t="n">
        <f aca="false">Wk6!R155</f>
        <v>0</v>
      </c>
      <c r="I43" s="20" t="str">
        <f aca="false">IF(OR(F43=0,H43=0),"",F43-H43)</f>
        <v/>
      </c>
      <c r="J43" s="36" t="str">
        <f aca="false">IFERROR(I43/H43,"")</f>
        <v/>
      </c>
      <c r="K43" s="37" t="n">
        <f aca="false">Wk6!D155</f>
        <v>0</v>
      </c>
      <c r="L43" s="37" t="n">
        <f aca="false">Wk6!E155</f>
        <v>0</v>
      </c>
      <c r="M43" s="20" t="n">
        <f aca="false">Wk6!K155</f>
        <v>0</v>
      </c>
    </row>
    <row r="44" customFormat="false" ht="15" hidden="false" customHeight="false" outlineLevel="0" collapsed="false">
      <c r="A44" s="12" t="s">
        <v>129</v>
      </c>
      <c r="B44" s="13" t="n">
        <f aca="false">Wk7!B23</f>
        <v>46069</v>
      </c>
      <c r="C44" s="12" t="str">
        <f aca="false">TEXT(B44,"dddd")</f>
        <v>Monday</v>
      </c>
      <c r="D44" s="20" t="n">
        <f aca="false">Wk7!M23</f>
        <v>0</v>
      </c>
      <c r="E44" s="20" t="n">
        <f aca="false">IFERROR(F44-D44,"")</f>
        <v>0</v>
      </c>
      <c r="F44" s="20" t="n">
        <f aca="false">Wk7!H23</f>
        <v>0</v>
      </c>
      <c r="G44" s="12" t="str">
        <f aca="false">IF(Wk7!L23="","",Wk7!L23)</f>
        <v/>
      </c>
      <c r="H44" s="20" t="n">
        <f aca="false">Wk7!R23</f>
        <v>0</v>
      </c>
      <c r="I44" s="20" t="str">
        <f aca="false">IF(OR(F44=0,H44=0),"",F44-H44)</f>
        <v/>
      </c>
      <c r="J44" s="36" t="str">
        <f aca="false">IFERROR(I44/H44,"")</f>
        <v/>
      </c>
      <c r="K44" s="37" t="n">
        <f aca="false">Wk7!D23</f>
        <v>0</v>
      </c>
      <c r="L44" s="37" t="n">
        <f aca="false">Wk7!E23</f>
        <v>0</v>
      </c>
      <c r="M44" s="20" t="n">
        <f aca="false">Wk7!K23</f>
        <v>0</v>
      </c>
    </row>
    <row r="45" customFormat="false" ht="15" hidden="false" customHeight="false" outlineLevel="0" collapsed="false">
      <c r="A45" s="12" t="s">
        <v>129</v>
      </c>
      <c r="B45" s="13" t="n">
        <f aca="false">Wk7!B45</f>
        <v>46070</v>
      </c>
      <c r="C45" s="12" t="str">
        <f aca="false">TEXT(B45,"dddd")</f>
        <v>Tuesday</v>
      </c>
      <c r="D45" s="20" t="n">
        <f aca="false">Wk7!M45</f>
        <v>0</v>
      </c>
      <c r="E45" s="20" t="n">
        <f aca="false">IFERROR(F45-D45,"")</f>
        <v>0</v>
      </c>
      <c r="F45" s="20" t="n">
        <f aca="false">Wk7!H45</f>
        <v>0</v>
      </c>
      <c r="G45" s="12" t="str">
        <f aca="false">IF(Wk7!L45="","",Wk7!L45)</f>
        <v/>
      </c>
      <c r="H45" s="20" t="n">
        <f aca="false">Wk7!R45</f>
        <v>0</v>
      </c>
      <c r="I45" s="20" t="str">
        <f aca="false">IF(OR(F45=0,H45=0),"",F45-H45)</f>
        <v/>
      </c>
      <c r="J45" s="36" t="str">
        <f aca="false">IFERROR(I45/H45,"")</f>
        <v/>
      </c>
      <c r="K45" s="37" t="n">
        <f aca="false">Wk7!D45</f>
        <v>0</v>
      </c>
      <c r="L45" s="37" t="n">
        <f aca="false">Wk7!E45</f>
        <v>0</v>
      </c>
      <c r="M45" s="20" t="n">
        <f aca="false">Wk7!K45</f>
        <v>0</v>
      </c>
    </row>
    <row r="46" customFormat="false" ht="15" hidden="false" customHeight="false" outlineLevel="0" collapsed="false">
      <c r="A46" s="12" t="s">
        <v>129</v>
      </c>
      <c r="B46" s="13" t="n">
        <f aca="false">Wk7!B67</f>
        <v>46071</v>
      </c>
      <c r="C46" s="12" t="str">
        <f aca="false">TEXT(B46,"dddd")</f>
        <v>Wednesday</v>
      </c>
      <c r="D46" s="20" t="n">
        <f aca="false">Wk7!M67</f>
        <v>0</v>
      </c>
      <c r="E46" s="20" t="n">
        <f aca="false">IFERROR(F46-D46,"")</f>
        <v>0</v>
      </c>
      <c r="F46" s="20" t="n">
        <f aca="false">Wk7!H67</f>
        <v>0</v>
      </c>
      <c r="G46" s="12" t="str">
        <f aca="false">IF(Wk7!L67="","",Wk7!L67)</f>
        <v/>
      </c>
      <c r="H46" s="20" t="n">
        <f aca="false">Wk7!R67</f>
        <v>0</v>
      </c>
      <c r="I46" s="20" t="str">
        <f aca="false">IF(OR(F46=0,H46=0),"",F46-H46)</f>
        <v/>
      </c>
      <c r="J46" s="36" t="str">
        <f aca="false">IFERROR(I46/H46,"")</f>
        <v/>
      </c>
      <c r="K46" s="37" t="n">
        <f aca="false">Wk7!D67</f>
        <v>0</v>
      </c>
      <c r="L46" s="37" t="n">
        <f aca="false">Wk7!E67</f>
        <v>0</v>
      </c>
      <c r="M46" s="20" t="n">
        <f aca="false">Wk7!K67</f>
        <v>0</v>
      </c>
    </row>
    <row r="47" customFormat="false" ht="15" hidden="false" customHeight="false" outlineLevel="0" collapsed="false">
      <c r="A47" s="12" t="s">
        <v>129</v>
      </c>
      <c r="B47" s="13" t="n">
        <f aca="false">Wk7!B89</f>
        <v>46072</v>
      </c>
      <c r="C47" s="12" t="str">
        <f aca="false">TEXT(B47,"dddd")</f>
        <v>Thursday</v>
      </c>
      <c r="D47" s="20" t="n">
        <f aca="false">Wk7!M89</f>
        <v>0</v>
      </c>
      <c r="E47" s="20" t="n">
        <f aca="false">IFERROR(F47-D47,"")</f>
        <v>0</v>
      </c>
      <c r="F47" s="20" t="n">
        <f aca="false">Wk7!H89</f>
        <v>0</v>
      </c>
      <c r="G47" s="12" t="str">
        <f aca="false">IF(Wk7!L89="","",Wk7!L89)</f>
        <v/>
      </c>
      <c r="H47" s="20" t="n">
        <f aca="false">Wk7!R89</f>
        <v>0</v>
      </c>
      <c r="I47" s="20" t="str">
        <f aca="false">IF(OR(F47=0,H47=0),"",F47-H47)</f>
        <v/>
      </c>
      <c r="J47" s="36" t="str">
        <f aca="false">IFERROR(I47/H47,"")</f>
        <v/>
      </c>
      <c r="K47" s="37" t="n">
        <f aca="false">Wk7!D89</f>
        <v>0</v>
      </c>
      <c r="L47" s="37" t="n">
        <f aca="false">Wk7!E89</f>
        <v>0</v>
      </c>
      <c r="M47" s="20" t="n">
        <f aca="false">Wk7!K89</f>
        <v>0</v>
      </c>
    </row>
    <row r="48" customFormat="false" ht="15" hidden="false" customHeight="false" outlineLevel="0" collapsed="false">
      <c r="A48" s="12" t="s">
        <v>129</v>
      </c>
      <c r="B48" s="13" t="n">
        <f aca="false">Wk7!B111</f>
        <v>46073</v>
      </c>
      <c r="C48" s="12" t="str">
        <f aca="false">TEXT(B48,"dddd")</f>
        <v>Friday</v>
      </c>
      <c r="D48" s="20" t="n">
        <f aca="false">Wk7!M111</f>
        <v>0</v>
      </c>
      <c r="E48" s="20" t="n">
        <f aca="false">IFERROR(F48-D48,"")</f>
        <v>0</v>
      </c>
      <c r="F48" s="20" t="n">
        <f aca="false">Wk7!H111</f>
        <v>0</v>
      </c>
      <c r="G48" s="12" t="str">
        <f aca="false">IF(Wk7!L111="","",Wk7!L111)</f>
        <v/>
      </c>
      <c r="H48" s="20" t="n">
        <f aca="false">Wk7!R111</f>
        <v>0</v>
      </c>
      <c r="I48" s="20" t="str">
        <f aca="false">IF(OR(F48=0,H48=0),"",F48-H48)</f>
        <v/>
      </c>
      <c r="J48" s="36" t="str">
        <f aca="false">IFERROR(I48/H48,"")</f>
        <v/>
      </c>
      <c r="K48" s="37" t="n">
        <f aca="false">Wk7!D111</f>
        <v>0</v>
      </c>
      <c r="L48" s="37" t="n">
        <f aca="false">Wk7!E111</f>
        <v>0</v>
      </c>
      <c r="M48" s="20" t="n">
        <f aca="false">Wk7!K111</f>
        <v>0</v>
      </c>
    </row>
    <row r="49" customFormat="false" ht="15" hidden="false" customHeight="false" outlineLevel="0" collapsed="false">
      <c r="A49" s="12" t="s">
        <v>129</v>
      </c>
      <c r="B49" s="13" t="n">
        <f aca="false">Wk7!B133</f>
        <v>46074</v>
      </c>
      <c r="C49" s="12" t="str">
        <f aca="false">TEXT(B49,"dddd")</f>
        <v>Saturday</v>
      </c>
      <c r="D49" s="20" t="n">
        <f aca="false">Wk7!M133</f>
        <v>0</v>
      </c>
      <c r="E49" s="20" t="n">
        <f aca="false">IFERROR(F49-D49,"")</f>
        <v>0</v>
      </c>
      <c r="F49" s="20" t="n">
        <f aca="false">Wk7!H133</f>
        <v>0</v>
      </c>
      <c r="G49" s="12" t="str">
        <f aca="false">IF(Wk7!L133="","",Wk7!L133)</f>
        <v/>
      </c>
      <c r="H49" s="20" t="n">
        <f aca="false">Wk7!R133</f>
        <v>0</v>
      </c>
      <c r="I49" s="20" t="str">
        <f aca="false">IF(OR(F49=0,H49=0),"",F49-H49)</f>
        <v/>
      </c>
      <c r="J49" s="36" t="str">
        <f aca="false">IFERROR(I49/H49,"")</f>
        <v/>
      </c>
      <c r="K49" s="37" t="n">
        <f aca="false">Wk7!D133</f>
        <v>0</v>
      </c>
      <c r="L49" s="37" t="n">
        <f aca="false">Wk7!E133</f>
        <v>0</v>
      </c>
      <c r="M49" s="20" t="n">
        <f aca="false">Wk7!K133</f>
        <v>0</v>
      </c>
    </row>
    <row r="50" customFormat="false" ht="15" hidden="false" customHeight="false" outlineLevel="0" collapsed="false">
      <c r="A50" s="12" t="s">
        <v>129</v>
      </c>
      <c r="B50" s="13" t="n">
        <f aca="false">Wk7!B155</f>
        <v>46075</v>
      </c>
      <c r="C50" s="12" t="str">
        <f aca="false">TEXT(B50,"dddd")</f>
        <v>Sunday</v>
      </c>
      <c r="D50" s="20" t="n">
        <f aca="false">Wk7!M155</f>
        <v>0</v>
      </c>
      <c r="E50" s="20" t="n">
        <f aca="false">IFERROR(F50-D50,"")</f>
        <v>0</v>
      </c>
      <c r="F50" s="20" t="n">
        <f aca="false">Wk7!H155</f>
        <v>0</v>
      </c>
      <c r="G50" s="12" t="str">
        <f aca="false">IF(Wk7!L155="","",Wk7!L155)</f>
        <v/>
      </c>
      <c r="H50" s="20" t="n">
        <f aca="false">Wk7!R155</f>
        <v>0</v>
      </c>
      <c r="I50" s="20" t="str">
        <f aca="false">IF(OR(F50=0,H50=0),"",F50-H50)</f>
        <v/>
      </c>
      <c r="J50" s="36" t="str">
        <f aca="false">IFERROR(I50/H50,"")</f>
        <v/>
      </c>
      <c r="K50" s="37" t="n">
        <f aca="false">Wk7!D155</f>
        <v>0</v>
      </c>
      <c r="L50" s="37" t="n">
        <f aca="false">Wk7!E155</f>
        <v>0</v>
      </c>
      <c r="M50" s="20" t="n">
        <f aca="false">Wk7!K155</f>
        <v>0</v>
      </c>
    </row>
    <row r="51" customFormat="false" ht="15" hidden="false" customHeight="false" outlineLevel="0" collapsed="false">
      <c r="A51" s="12" t="s">
        <v>130</v>
      </c>
      <c r="B51" s="13" t="n">
        <f aca="false">Wk8!B23</f>
        <v>46076</v>
      </c>
      <c r="C51" s="12" t="str">
        <f aca="false">TEXT(B51,"dddd")</f>
        <v>Monday</v>
      </c>
      <c r="D51" s="20" t="n">
        <f aca="false">Wk8!M23</f>
        <v>0</v>
      </c>
      <c r="E51" s="20" t="n">
        <f aca="false">IFERROR(F51-D51,"")</f>
        <v>0</v>
      </c>
      <c r="F51" s="20" t="n">
        <f aca="false">Wk8!H23</f>
        <v>0</v>
      </c>
      <c r="G51" s="12" t="str">
        <f aca="false">IF(Wk8!L23="","",Wk8!L23)</f>
        <v/>
      </c>
      <c r="H51" s="20" t="n">
        <f aca="false">Wk8!R23</f>
        <v>0</v>
      </c>
      <c r="I51" s="20" t="str">
        <f aca="false">IF(OR(F51=0,H51=0),"",F51-H51)</f>
        <v/>
      </c>
      <c r="J51" s="36" t="str">
        <f aca="false">IFERROR(I51/H51,"")</f>
        <v/>
      </c>
      <c r="K51" s="37" t="n">
        <f aca="false">Wk8!D23</f>
        <v>0</v>
      </c>
      <c r="L51" s="37" t="n">
        <f aca="false">Wk8!E23</f>
        <v>0</v>
      </c>
      <c r="M51" s="20" t="n">
        <f aca="false">Wk8!K23</f>
        <v>0</v>
      </c>
    </row>
    <row r="52" customFormat="false" ht="15" hidden="false" customHeight="false" outlineLevel="0" collapsed="false">
      <c r="A52" s="12" t="s">
        <v>130</v>
      </c>
      <c r="B52" s="13" t="n">
        <f aca="false">Wk8!B45</f>
        <v>46077</v>
      </c>
      <c r="C52" s="12" t="str">
        <f aca="false">TEXT(B52,"dddd")</f>
        <v>Tuesday</v>
      </c>
      <c r="D52" s="20" t="n">
        <f aca="false">Wk8!M45</f>
        <v>0</v>
      </c>
      <c r="E52" s="20" t="n">
        <f aca="false">IFERROR(F52-D52,"")</f>
        <v>0</v>
      </c>
      <c r="F52" s="20" t="n">
        <f aca="false">Wk8!H45</f>
        <v>0</v>
      </c>
      <c r="G52" s="12" t="str">
        <f aca="false">IF(Wk8!L45="","",Wk8!L45)</f>
        <v/>
      </c>
      <c r="H52" s="20" t="n">
        <f aca="false">Wk8!R45</f>
        <v>0</v>
      </c>
      <c r="I52" s="20" t="str">
        <f aca="false">IF(OR(F52=0,H52=0),"",F52-H52)</f>
        <v/>
      </c>
      <c r="J52" s="36" t="str">
        <f aca="false">IFERROR(I52/H52,"")</f>
        <v/>
      </c>
      <c r="K52" s="37" t="n">
        <f aca="false">Wk8!D45</f>
        <v>0</v>
      </c>
      <c r="L52" s="37" t="n">
        <f aca="false">Wk8!E45</f>
        <v>0</v>
      </c>
      <c r="M52" s="20" t="n">
        <f aca="false">Wk8!K45</f>
        <v>0</v>
      </c>
    </row>
    <row r="53" customFormat="false" ht="15" hidden="false" customHeight="false" outlineLevel="0" collapsed="false">
      <c r="A53" s="12" t="s">
        <v>130</v>
      </c>
      <c r="B53" s="13" t="n">
        <f aca="false">Wk8!B67</f>
        <v>46078</v>
      </c>
      <c r="C53" s="12" t="str">
        <f aca="false">TEXT(B53,"dddd")</f>
        <v>Wednesday</v>
      </c>
      <c r="D53" s="20" t="n">
        <f aca="false">Wk8!M67</f>
        <v>0</v>
      </c>
      <c r="E53" s="20" t="n">
        <f aca="false">IFERROR(F53-D53,"")</f>
        <v>0</v>
      </c>
      <c r="F53" s="20" t="n">
        <f aca="false">Wk8!H67</f>
        <v>0</v>
      </c>
      <c r="G53" s="12" t="str">
        <f aca="false">IF(Wk8!L67="","",Wk8!L67)</f>
        <v/>
      </c>
      <c r="H53" s="20" t="n">
        <f aca="false">Wk8!R67</f>
        <v>0</v>
      </c>
      <c r="I53" s="20" t="str">
        <f aca="false">IF(OR(F53=0,H53=0),"",F53-H53)</f>
        <v/>
      </c>
      <c r="J53" s="36" t="str">
        <f aca="false">IFERROR(I53/H53,"")</f>
        <v/>
      </c>
      <c r="K53" s="37" t="n">
        <f aca="false">Wk8!D67</f>
        <v>0</v>
      </c>
      <c r="L53" s="37" t="n">
        <f aca="false">Wk8!E67</f>
        <v>0</v>
      </c>
      <c r="M53" s="20" t="n">
        <f aca="false">Wk8!K67</f>
        <v>0</v>
      </c>
    </row>
    <row r="54" customFormat="false" ht="15" hidden="false" customHeight="false" outlineLevel="0" collapsed="false">
      <c r="A54" s="12" t="s">
        <v>130</v>
      </c>
      <c r="B54" s="13" t="n">
        <f aca="false">Wk8!B89</f>
        <v>46079</v>
      </c>
      <c r="C54" s="12" t="str">
        <f aca="false">TEXT(B54,"dddd")</f>
        <v>Thursday</v>
      </c>
      <c r="D54" s="20" t="n">
        <f aca="false">Wk8!M89</f>
        <v>0</v>
      </c>
      <c r="E54" s="20" t="n">
        <f aca="false">IFERROR(F54-D54,"")</f>
        <v>0</v>
      </c>
      <c r="F54" s="20" t="n">
        <f aca="false">Wk8!H89</f>
        <v>0</v>
      </c>
      <c r="G54" s="12" t="str">
        <f aca="false">IF(Wk8!L89="","",Wk8!L89)</f>
        <v/>
      </c>
      <c r="H54" s="20" t="n">
        <f aca="false">Wk8!R89</f>
        <v>0</v>
      </c>
      <c r="I54" s="20" t="str">
        <f aca="false">IF(OR(F54=0,H54=0),"",F54-H54)</f>
        <v/>
      </c>
      <c r="J54" s="36" t="str">
        <f aca="false">IFERROR(I54/H54,"")</f>
        <v/>
      </c>
      <c r="K54" s="37" t="n">
        <f aca="false">Wk8!D89</f>
        <v>0</v>
      </c>
      <c r="L54" s="37" t="n">
        <f aca="false">Wk8!E89</f>
        <v>0</v>
      </c>
      <c r="M54" s="20" t="n">
        <f aca="false">Wk8!K89</f>
        <v>0</v>
      </c>
    </row>
    <row r="55" customFormat="false" ht="15" hidden="false" customHeight="false" outlineLevel="0" collapsed="false">
      <c r="A55" s="12" t="s">
        <v>130</v>
      </c>
      <c r="B55" s="13" t="n">
        <f aca="false">Wk8!B111</f>
        <v>46080</v>
      </c>
      <c r="C55" s="12" t="str">
        <f aca="false">TEXT(B55,"dddd")</f>
        <v>Friday</v>
      </c>
      <c r="D55" s="20" t="n">
        <f aca="false">Wk8!M111</f>
        <v>0</v>
      </c>
      <c r="E55" s="20" t="n">
        <f aca="false">IFERROR(F55-D55,"")</f>
        <v>0</v>
      </c>
      <c r="F55" s="20" t="n">
        <f aca="false">Wk8!H111</f>
        <v>0</v>
      </c>
      <c r="G55" s="12" t="str">
        <f aca="false">IF(Wk8!L111="","",Wk8!L111)</f>
        <v/>
      </c>
      <c r="H55" s="20" t="n">
        <f aca="false">Wk8!R111</f>
        <v>0</v>
      </c>
      <c r="I55" s="20" t="str">
        <f aca="false">IF(OR(F55=0,H55=0),"",F55-H55)</f>
        <v/>
      </c>
      <c r="J55" s="36" t="str">
        <f aca="false">IFERROR(I55/H55,"")</f>
        <v/>
      </c>
      <c r="K55" s="37" t="n">
        <f aca="false">Wk8!D111</f>
        <v>0</v>
      </c>
      <c r="L55" s="37" t="n">
        <f aca="false">Wk8!E111</f>
        <v>0</v>
      </c>
      <c r="M55" s="20" t="n">
        <f aca="false">Wk8!K111</f>
        <v>0</v>
      </c>
    </row>
    <row r="56" customFormat="false" ht="15" hidden="false" customHeight="false" outlineLevel="0" collapsed="false">
      <c r="A56" s="12" t="s">
        <v>130</v>
      </c>
      <c r="B56" s="13" t="n">
        <f aca="false">Wk8!B133</f>
        <v>46081</v>
      </c>
      <c r="C56" s="12" t="str">
        <f aca="false">TEXT(B56,"dddd")</f>
        <v>Saturday</v>
      </c>
      <c r="D56" s="20" t="n">
        <f aca="false">Wk8!M133</f>
        <v>0</v>
      </c>
      <c r="E56" s="20" t="n">
        <f aca="false">IFERROR(F56-D56,"")</f>
        <v>0</v>
      </c>
      <c r="F56" s="20" t="n">
        <f aca="false">Wk8!H133</f>
        <v>0</v>
      </c>
      <c r="G56" s="12" t="str">
        <f aca="false">IF(Wk8!L133="","",Wk8!L133)</f>
        <v/>
      </c>
      <c r="H56" s="20" t="n">
        <f aca="false">Wk8!R133</f>
        <v>0</v>
      </c>
      <c r="I56" s="20" t="str">
        <f aca="false">IF(OR(F56=0,H56=0),"",F56-H56)</f>
        <v/>
      </c>
      <c r="J56" s="36" t="str">
        <f aca="false">IFERROR(I56/H56,"")</f>
        <v/>
      </c>
      <c r="K56" s="37" t="n">
        <f aca="false">Wk8!D133</f>
        <v>0</v>
      </c>
      <c r="L56" s="37" t="n">
        <f aca="false">Wk8!E133</f>
        <v>0</v>
      </c>
      <c r="M56" s="20" t="n">
        <f aca="false">Wk8!K133</f>
        <v>0</v>
      </c>
    </row>
    <row r="57" customFormat="false" ht="15" hidden="false" customHeight="false" outlineLevel="0" collapsed="false">
      <c r="A57" s="12" t="s">
        <v>130</v>
      </c>
      <c r="B57" s="13" t="n">
        <f aca="false">Wk8!B155</f>
        <v>46082</v>
      </c>
      <c r="C57" s="12" t="str">
        <f aca="false">TEXT(B57,"dddd")</f>
        <v>Sunday</v>
      </c>
      <c r="D57" s="20" t="n">
        <f aca="false">Wk8!M155</f>
        <v>0</v>
      </c>
      <c r="E57" s="20" t="n">
        <f aca="false">IFERROR(F57-D57,"")</f>
        <v>0</v>
      </c>
      <c r="F57" s="20" t="n">
        <f aca="false">Wk8!H155</f>
        <v>0</v>
      </c>
      <c r="G57" s="12" t="str">
        <f aca="false">IF(Wk8!L155="","",Wk8!L155)</f>
        <v/>
      </c>
      <c r="H57" s="20" t="n">
        <f aca="false">Wk8!R155</f>
        <v>0</v>
      </c>
      <c r="I57" s="20" t="str">
        <f aca="false">IF(OR(F57=0,H57=0),"",F57-H57)</f>
        <v/>
      </c>
      <c r="J57" s="36" t="str">
        <f aca="false">IFERROR(I57/H57,"")</f>
        <v/>
      </c>
      <c r="K57" s="37" t="n">
        <f aca="false">Wk8!D155</f>
        <v>0</v>
      </c>
      <c r="L57" s="37" t="n">
        <f aca="false">Wk8!E155</f>
        <v>0</v>
      </c>
      <c r="M57" s="20" t="n">
        <f aca="false">Wk8!K155</f>
        <v>0</v>
      </c>
    </row>
    <row r="58" customFormat="false" ht="15" hidden="false" customHeight="false" outlineLevel="0" collapsed="false">
      <c r="A58" s="12" t="s">
        <v>131</v>
      </c>
      <c r="B58" s="13" t="n">
        <f aca="false">Wk9!B23</f>
        <v>46083</v>
      </c>
      <c r="C58" s="12" t="str">
        <f aca="false">TEXT(B58,"dddd")</f>
        <v>Monday</v>
      </c>
      <c r="D58" s="20" t="n">
        <f aca="false">Wk9!M23</f>
        <v>0</v>
      </c>
      <c r="E58" s="20" t="n">
        <f aca="false">IFERROR(F58-D58,"")</f>
        <v>0</v>
      </c>
      <c r="F58" s="20" t="n">
        <f aca="false">Wk9!H23</f>
        <v>0</v>
      </c>
      <c r="G58" s="12" t="str">
        <f aca="false">IF(Wk9!L23="","",Wk9!L23)</f>
        <v/>
      </c>
      <c r="H58" s="20" t="n">
        <f aca="false">Wk9!R23</f>
        <v>0</v>
      </c>
      <c r="I58" s="20" t="str">
        <f aca="false">IF(OR(F58=0,H58=0),"",F58-H58)</f>
        <v/>
      </c>
      <c r="J58" s="36" t="str">
        <f aca="false">IFERROR(I58/H58,"")</f>
        <v/>
      </c>
      <c r="K58" s="37" t="n">
        <f aca="false">Wk9!D23</f>
        <v>0</v>
      </c>
      <c r="L58" s="37" t="n">
        <f aca="false">Wk9!E23</f>
        <v>0</v>
      </c>
      <c r="M58" s="20" t="n">
        <f aca="false">Wk9!K23</f>
        <v>0</v>
      </c>
    </row>
    <row r="59" customFormat="false" ht="15" hidden="false" customHeight="false" outlineLevel="0" collapsed="false">
      <c r="A59" s="12" t="s">
        <v>131</v>
      </c>
      <c r="B59" s="13" t="n">
        <f aca="false">Wk9!B45</f>
        <v>46084</v>
      </c>
      <c r="C59" s="12" t="str">
        <f aca="false">TEXT(B59,"dddd")</f>
        <v>Tuesday</v>
      </c>
      <c r="D59" s="20" t="n">
        <f aca="false">Wk9!M45</f>
        <v>0</v>
      </c>
      <c r="E59" s="20" t="n">
        <f aca="false">IFERROR(F59-D59,"")</f>
        <v>0</v>
      </c>
      <c r="F59" s="20" t="n">
        <f aca="false">Wk9!H45</f>
        <v>0</v>
      </c>
      <c r="G59" s="12" t="str">
        <f aca="false">IF(Wk9!L45="","",Wk9!L45)</f>
        <v/>
      </c>
      <c r="H59" s="20" t="n">
        <f aca="false">Wk9!R45</f>
        <v>0</v>
      </c>
      <c r="I59" s="20" t="str">
        <f aca="false">IF(OR(F59=0,H59=0),"",F59-H59)</f>
        <v/>
      </c>
      <c r="J59" s="36" t="str">
        <f aca="false">IFERROR(I59/H59,"")</f>
        <v/>
      </c>
      <c r="K59" s="37" t="n">
        <f aca="false">Wk9!D45</f>
        <v>0</v>
      </c>
      <c r="L59" s="37" t="n">
        <f aca="false">Wk9!E45</f>
        <v>0</v>
      </c>
      <c r="M59" s="20" t="n">
        <f aca="false">Wk9!K45</f>
        <v>0</v>
      </c>
    </row>
    <row r="60" customFormat="false" ht="15" hidden="false" customHeight="false" outlineLevel="0" collapsed="false">
      <c r="A60" s="12" t="s">
        <v>131</v>
      </c>
      <c r="B60" s="13" t="n">
        <f aca="false">Wk9!B67</f>
        <v>46085</v>
      </c>
      <c r="C60" s="12" t="str">
        <f aca="false">TEXT(B60,"dddd")</f>
        <v>Wednesday</v>
      </c>
      <c r="D60" s="20" t="n">
        <f aca="false">Wk9!M67</f>
        <v>0</v>
      </c>
      <c r="E60" s="20" t="n">
        <f aca="false">IFERROR(F60-D60,"")</f>
        <v>0</v>
      </c>
      <c r="F60" s="20" t="n">
        <f aca="false">Wk9!H67</f>
        <v>0</v>
      </c>
      <c r="G60" s="12" t="str">
        <f aca="false">IF(Wk9!L67="","",Wk9!L67)</f>
        <v/>
      </c>
      <c r="H60" s="20" t="n">
        <f aca="false">Wk9!R67</f>
        <v>0</v>
      </c>
      <c r="I60" s="20" t="str">
        <f aca="false">IF(OR(F60=0,H60=0),"",F60-H60)</f>
        <v/>
      </c>
      <c r="J60" s="36" t="str">
        <f aca="false">IFERROR(I60/H60,"")</f>
        <v/>
      </c>
      <c r="K60" s="37" t="n">
        <f aca="false">Wk9!D67</f>
        <v>0</v>
      </c>
      <c r="L60" s="37" t="n">
        <f aca="false">Wk9!E67</f>
        <v>0</v>
      </c>
      <c r="M60" s="20" t="n">
        <f aca="false">Wk9!K67</f>
        <v>0</v>
      </c>
    </row>
    <row r="61" customFormat="false" ht="15" hidden="false" customHeight="false" outlineLevel="0" collapsed="false">
      <c r="A61" s="12" t="s">
        <v>131</v>
      </c>
      <c r="B61" s="13" t="n">
        <f aca="false">Wk9!B89</f>
        <v>46086</v>
      </c>
      <c r="C61" s="12" t="str">
        <f aca="false">TEXT(B61,"dddd")</f>
        <v>Thursday</v>
      </c>
      <c r="D61" s="20" t="n">
        <f aca="false">Wk9!M89</f>
        <v>0</v>
      </c>
      <c r="E61" s="20" t="n">
        <f aca="false">IFERROR(F61-D61,"")</f>
        <v>0</v>
      </c>
      <c r="F61" s="20" t="n">
        <f aca="false">Wk9!H89</f>
        <v>0</v>
      </c>
      <c r="G61" s="12" t="str">
        <f aca="false">IF(Wk9!L89="","",Wk9!L89)</f>
        <v/>
      </c>
      <c r="H61" s="20" t="n">
        <f aca="false">Wk9!R89</f>
        <v>0</v>
      </c>
      <c r="I61" s="20" t="str">
        <f aca="false">IF(OR(F61=0,H61=0),"",F61-H61)</f>
        <v/>
      </c>
      <c r="J61" s="36" t="str">
        <f aca="false">IFERROR(I61/H61,"")</f>
        <v/>
      </c>
      <c r="K61" s="37" t="n">
        <f aca="false">Wk9!D89</f>
        <v>0</v>
      </c>
      <c r="L61" s="37" t="n">
        <f aca="false">Wk9!E89</f>
        <v>0</v>
      </c>
      <c r="M61" s="20" t="n">
        <f aca="false">Wk9!K89</f>
        <v>0</v>
      </c>
    </row>
    <row r="62" customFormat="false" ht="15" hidden="false" customHeight="false" outlineLevel="0" collapsed="false">
      <c r="A62" s="12" t="s">
        <v>131</v>
      </c>
      <c r="B62" s="13" t="n">
        <f aca="false">Wk9!B111</f>
        <v>46087</v>
      </c>
      <c r="C62" s="12" t="str">
        <f aca="false">TEXT(B62,"dddd")</f>
        <v>Friday</v>
      </c>
      <c r="D62" s="20" t="n">
        <f aca="false">Wk9!M111</f>
        <v>0</v>
      </c>
      <c r="E62" s="20" t="n">
        <f aca="false">IFERROR(F62-D62,"")</f>
        <v>0</v>
      </c>
      <c r="F62" s="20" t="n">
        <f aca="false">Wk9!H111</f>
        <v>0</v>
      </c>
      <c r="G62" s="12" t="str">
        <f aca="false">IF(Wk9!L111="","",Wk9!L111)</f>
        <v/>
      </c>
      <c r="H62" s="20" t="n">
        <f aca="false">Wk9!R111</f>
        <v>0</v>
      </c>
      <c r="I62" s="20" t="str">
        <f aca="false">IF(OR(F62=0,H62=0),"",F62-H62)</f>
        <v/>
      </c>
      <c r="J62" s="36" t="str">
        <f aca="false">IFERROR(I62/H62,"")</f>
        <v/>
      </c>
      <c r="K62" s="37" t="n">
        <f aca="false">Wk9!D111</f>
        <v>0</v>
      </c>
      <c r="L62" s="37" t="n">
        <f aca="false">Wk9!E111</f>
        <v>0</v>
      </c>
      <c r="M62" s="20" t="n">
        <f aca="false">Wk9!K111</f>
        <v>0</v>
      </c>
    </row>
    <row r="63" customFormat="false" ht="15" hidden="false" customHeight="false" outlineLevel="0" collapsed="false">
      <c r="A63" s="12" t="s">
        <v>131</v>
      </c>
      <c r="B63" s="13" t="n">
        <f aca="false">Wk9!B133</f>
        <v>46088</v>
      </c>
      <c r="C63" s="12" t="str">
        <f aca="false">TEXT(B63,"dddd")</f>
        <v>Saturday</v>
      </c>
      <c r="D63" s="20" t="n">
        <f aca="false">Wk9!M133</f>
        <v>0</v>
      </c>
      <c r="E63" s="20" t="n">
        <f aca="false">IFERROR(F63-D63,"")</f>
        <v>0</v>
      </c>
      <c r="F63" s="20" t="n">
        <f aca="false">Wk9!H133</f>
        <v>0</v>
      </c>
      <c r="G63" s="12" t="str">
        <f aca="false">IF(Wk9!L133="","",Wk9!L133)</f>
        <v/>
      </c>
      <c r="H63" s="20" t="n">
        <f aca="false">Wk9!R133</f>
        <v>0</v>
      </c>
      <c r="I63" s="20" t="str">
        <f aca="false">IF(OR(F63=0,H63=0),"",F63-H63)</f>
        <v/>
      </c>
      <c r="J63" s="36" t="str">
        <f aca="false">IFERROR(I63/H63,"")</f>
        <v/>
      </c>
      <c r="K63" s="37" t="n">
        <f aca="false">Wk9!D133</f>
        <v>0</v>
      </c>
      <c r="L63" s="37" t="n">
        <f aca="false">Wk9!E133</f>
        <v>0</v>
      </c>
      <c r="M63" s="20" t="n">
        <f aca="false">Wk9!K133</f>
        <v>0</v>
      </c>
    </row>
    <row r="64" customFormat="false" ht="15" hidden="false" customHeight="false" outlineLevel="0" collapsed="false">
      <c r="A64" s="12" t="s">
        <v>131</v>
      </c>
      <c r="B64" s="13" t="n">
        <f aca="false">Wk9!B155</f>
        <v>46089</v>
      </c>
      <c r="C64" s="12" t="str">
        <f aca="false">TEXT(B64,"dddd")</f>
        <v>Sunday</v>
      </c>
      <c r="D64" s="20" t="n">
        <f aca="false">Wk9!M155</f>
        <v>0</v>
      </c>
      <c r="E64" s="20" t="n">
        <f aca="false">IFERROR(F64-D64,"")</f>
        <v>0</v>
      </c>
      <c r="F64" s="20" t="n">
        <f aca="false">Wk9!H155</f>
        <v>0</v>
      </c>
      <c r="G64" s="12" t="str">
        <f aca="false">IF(Wk9!L155="","",Wk9!L155)</f>
        <v/>
      </c>
      <c r="H64" s="20" t="n">
        <f aca="false">Wk9!R155</f>
        <v>0</v>
      </c>
      <c r="I64" s="20" t="str">
        <f aca="false">IF(OR(F64=0,H64=0),"",F64-H64)</f>
        <v/>
      </c>
      <c r="J64" s="36" t="str">
        <f aca="false">IFERROR(I64/H64,"")</f>
        <v/>
      </c>
      <c r="K64" s="37" t="n">
        <f aca="false">Wk9!D155</f>
        <v>0</v>
      </c>
      <c r="L64" s="37" t="n">
        <f aca="false">Wk9!E155</f>
        <v>0</v>
      </c>
      <c r="M64" s="20" t="n">
        <f aca="false">Wk9!K155</f>
        <v>0</v>
      </c>
    </row>
    <row r="65" customFormat="false" ht="15" hidden="false" customHeight="false" outlineLevel="0" collapsed="false">
      <c r="A65" s="12" t="s">
        <v>132</v>
      </c>
      <c r="B65" s="13" t="n">
        <f aca="false">Wk10!B23</f>
        <v>46090</v>
      </c>
      <c r="C65" s="12" t="str">
        <f aca="false">TEXT(B65,"dddd")</f>
        <v>Monday</v>
      </c>
      <c r="D65" s="20" t="n">
        <f aca="false">Wk10!M23</f>
        <v>0</v>
      </c>
      <c r="E65" s="20" t="n">
        <f aca="false">IFERROR(F65-D65,"")</f>
        <v>0</v>
      </c>
      <c r="F65" s="20" t="n">
        <f aca="false">Wk10!H23</f>
        <v>0</v>
      </c>
      <c r="G65" s="12" t="str">
        <f aca="false">IF(Wk10!L23="","",Wk10!L23)</f>
        <v/>
      </c>
      <c r="H65" s="20" t="n">
        <f aca="false">Wk10!R23</f>
        <v>0</v>
      </c>
      <c r="I65" s="20" t="str">
        <f aca="false">IF(OR(F65=0,H65=0),"",F65-H65)</f>
        <v/>
      </c>
      <c r="J65" s="36" t="str">
        <f aca="false">IFERROR(I65/H65,"")</f>
        <v/>
      </c>
      <c r="K65" s="37" t="n">
        <f aca="false">Wk10!D23</f>
        <v>0</v>
      </c>
      <c r="L65" s="37" t="n">
        <f aca="false">Wk10!E23</f>
        <v>0</v>
      </c>
      <c r="M65" s="20" t="n">
        <f aca="false">Wk10!K23</f>
        <v>0</v>
      </c>
    </row>
    <row r="66" customFormat="false" ht="15" hidden="false" customHeight="false" outlineLevel="0" collapsed="false">
      <c r="A66" s="12" t="s">
        <v>132</v>
      </c>
      <c r="B66" s="13" t="n">
        <f aca="false">Wk10!B45</f>
        <v>46091</v>
      </c>
      <c r="C66" s="12" t="str">
        <f aca="false">TEXT(B66,"dddd")</f>
        <v>Tuesday</v>
      </c>
      <c r="D66" s="20" t="n">
        <f aca="false">Wk10!M45</f>
        <v>0</v>
      </c>
      <c r="E66" s="20" t="n">
        <f aca="false">IFERROR(F66-D66,"")</f>
        <v>0</v>
      </c>
      <c r="F66" s="20" t="n">
        <f aca="false">Wk10!H45</f>
        <v>0</v>
      </c>
      <c r="G66" s="12" t="str">
        <f aca="false">IF(Wk10!L45="","",Wk10!L45)</f>
        <v/>
      </c>
      <c r="H66" s="20" t="n">
        <f aca="false">Wk10!R45</f>
        <v>0</v>
      </c>
      <c r="I66" s="20" t="str">
        <f aca="false">IF(OR(F66=0,H66=0),"",F66-H66)</f>
        <v/>
      </c>
      <c r="J66" s="36" t="str">
        <f aca="false">IFERROR(I66/H66,"")</f>
        <v/>
      </c>
      <c r="K66" s="37" t="n">
        <f aca="false">Wk10!D45</f>
        <v>0</v>
      </c>
      <c r="L66" s="37" t="n">
        <f aca="false">Wk10!E45</f>
        <v>0</v>
      </c>
      <c r="M66" s="20" t="n">
        <f aca="false">Wk10!K45</f>
        <v>0</v>
      </c>
    </row>
    <row r="67" customFormat="false" ht="15" hidden="false" customHeight="false" outlineLevel="0" collapsed="false">
      <c r="A67" s="12" t="s">
        <v>132</v>
      </c>
      <c r="B67" s="13" t="n">
        <f aca="false">Wk10!B67</f>
        <v>46092</v>
      </c>
      <c r="C67" s="12" t="str">
        <f aca="false">TEXT(B67,"dddd")</f>
        <v>Wednesday</v>
      </c>
      <c r="D67" s="20" t="n">
        <f aca="false">Wk10!M67</f>
        <v>0</v>
      </c>
      <c r="E67" s="20" t="n">
        <f aca="false">IFERROR(F67-D67,"")</f>
        <v>0</v>
      </c>
      <c r="F67" s="20" t="n">
        <f aca="false">Wk10!H67</f>
        <v>0</v>
      </c>
      <c r="G67" s="12" t="str">
        <f aca="false">IF(Wk10!L67="","",Wk10!L67)</f>
        <v/>
      </c>
      <c r="H67" s="20" t="n">
        <f aca="false">Wk10!R67</f>
        <v>0</v>
      </c>
      <c r="I67" s="20" t="str">
        <f aca="false">IF(OR(F67=0,H67=0),"",F67-H67)</f>
        <v/>
      </c>
      <c r="J67" s="36" t="str">
        <f aca="false">IFERROR(I67/H67,"")</f>
        <v/>
      </c>
      <c r="K67" s="37" t="n">
        <f aca="false">Wk10!D67</f>
        <v>0</v>
      </c>
      <c r="L67" s="37" t="n">
        <f aca="false">Wk10!E67</f>
        <v>0</v>
      </c>
      <c r="M67" s="20" t="n">
        <f aca="false">Wk10!K67</f>
        <v>0</v>
      </c>
    </row>
    <row r="68" customFormat="false" ht="15" hidden="false" customHeight="false" outlineLevel="0" collapsed="false">
      <c r="A68" s="12" t="s">
        <v>132</v>
      </c>
      <c r="B68" s="13" t="n">
        <f aca="false">Wk10!B89</f>
        <v>46093</v>
      </c>
      <c r="C68" s="12" t="str">
        <f aca="false">TEXT(B68,"dddd")</f>
        <v>Thursday</v>
      </c>
      <c r="D68" s="20" t="n">
        <f aca="false">Wk10!M89</f>
        <v>0</v>
      </c>
      <c r="E68" s="20" t="n">
        <f aca="false">IFERROR(F68-D68,"")</f>
        <v>0</v>
      </c>
      <c r="F68" s="20" t="n">
        <f aca="false">Wk10!H89</f>
        <v>0</v>
      </c>
      <c r="G68" s="12" t="str">
        <f aca="false">IF(Wk10!L89="","",Wk10!L89)</f>
        <v/>
      </c>
      <c r="H68" s="20" t="n">
        <f aca="false">Wk10!R89</f>
        <v>0</v>
      </c>
      <c r="I68" s="20" t="str">
        <f aca="false">IF(OR(F68=0,H68=0),"",F68-H68)</f>
        <v/>
      </c>
      <c r="J68" s="36" t="str">
        <f aca="false">IFERROR(I68/H68,"")</f>
        <v/>
      </c>
      <c r="K68" s="37" t="n">
        <f aca="false">Wk10!D89</f>
        <v>0</v>
      </c>
      <c r="L68" s="37" t="n">
        <f aca="false">Wk10!E89</f>
        <v>0</v>
      </c>
      <c r="M68" s="20" t="n">
        <f aca="false">Wk10!K89</f>
        <v>0</v>
      </c>
    </row>
    <row r="69" customFormat="false" ht="15" hidden="false" customHeight="false" outlineLevel="0" collapsed="false">
      <c r="A69" s="12" t="s">
        <v>132</v>
      </c>
      <c r="B69" s="13" t="n">
        <f aca="false">Wk10!B111</f>
        <v>46094</v>
      </c>
      <c r="C69" s="12" t="str">
        <f aca="false">TEXT(B69,"dddd")</f>
        <v>Friday</v>
      </c>
      <c r="D69" s="20" t="n">
        <f aca="false">Wk10!M111</f>
        <v>0</v>
      </c>
      <c r="E69" s="20" t="n">
        <f aca="false">IFERROR(F69-D69,"")</f>
        <v>0</v>
      </c>
      <c r="F69" s="20" t="n">
        <f aca="false">Wk10!H111</f>
        <v>0</v>
      </c>
      <c r="G69" s="12" t="str">
        <f aca="false">IF(Wk10!L111="","",Wk10!L111)</f>
        <v/>
      </c>
      <c r="H69" s="20" t="n">
        <f aca="false">Wk10!R111</f>
        <v>0</v>
      </c>
      <c r="I69" s="20" t="str">
        <f aca="false">IF(OR(F69=0,H69=0),"",F69-H69)</f>
        <v/>
      </c>
      <c r="J69" s="36" t="str">
        <f aca="false">IFERROR(I69/H69,"")</f>
        <v/>
      </c>
      <c r="K69" s="37" t="n">
        <f aca="false">Wk10!D111</f>
        <v>0</v>
      </c>
      <c r="L69" s="37" t="n">
        <f aca="false">Wk10!E111</f>
        <v>0</v>
      </c>
      <c r="M69" s="20" t="n">
        <f aca="false">Wk10!K111</f>
        <v>0</v>
      </c>
    </row>
    <row r="70" customFormat="false" ht="15" hidden="false" customHeight="false" outlineLevel="0" collapsed="false">
      <c r="A70" s="12" t="s">
        <v>132</v>
      </c>
      <c r="B70" s="13" t="n">
        <f aca="false">Wk10!B133</f>
        <v>46095</v>
      </c>
      <c r="C70" s="12" t="str">
        <f aca="false">TEXT(B70,"dddd")</f>
        <v>Saturday</v>
      </c>
      <c r="D70" s="20" t="n">
        <f aca="false">Wk10!M133</f>
        <v>0</v>
      </c>
      <c r="E70" s="20" t="n">
        <f aca="false">IFERROR(F70-D70,"")</f>
        <v>0</v>
      </c>
      <c r="F70" s="20" t="n">
        <f aca="false">Wk10!H133</f>
        <v>0</v>
      </c>
      <c r="G70" s="12" t="str">
        <f aca="false">IF(Wk10!L133="","",Wk10!L133)</f>
        <v/>
      </c>
      <c r="H70" s="20" t="n">
        <f aca="false">Wk10!R133</f>
        <v>0</v>
      </c>
      <c r="I70" s="20" t="str">
        <f aca="false">IF(OR(F70=0,H70=0),"",F70-H70)</f>
        <v/>
      </c>
      <c r="J70" s="36" t="str">
        <f aca="false">IFERROR(I70/H70,"")</f>
        <v/>
      </c>
      <c r="K70" s="37" t="n">
        <f aca="false">Wk10!D133</f>
        <v>0</v>
      </c>
      <c r="L70" s="37" t="n">
        <f aca="false">Wk10!E133</f>
        <v>0</v>
      </c>
      <c r="M70" s="20" t="n">
        <f aca="false">Wk10!K133</f>
        <v>0</v>
      </c>
    </row>
    <row r="71" customFormat="false" ht="15" hidden="false" customHeight="false" outlineLevel="0" collapsed="false">
      <c r="A71" s="12" t="s">
        <v>132</v>
      </c>
      <c r="B71" s="13" t="n">
        <f aca="false">Wk10!B155</f>
        <v>46096</v>
      </c>
      <c r="C71" s="12" t="str">
        <f aca="false">TEXT(B71,"dddd")</f>
        <v>Sunday</v>
      </c>
      <c r="D71" s="20" t="n">
        <f aca="false">Wk10!M155</f>
        <v>0</v>
      </c>
      <c r="E71" s="20" t="n">
        <f aca="false">IFERROR(F71-D71,"")</f>
        <v>0</v>
      </c>
      <c r="F71" s="20" t="n">
        <f aca="false">Wk10!H155</f>
        <v>0</v>
      </c>
      <c r="G71" s="12" t="str">
        <f aca="false">IF(Wk10!L155="","",Wk10!L155)</f>
        <v/>
      </c>
      <c r="H71" s="20" t="n">
        <f aca="false">Wk10!R155</f>
        <v>0</v>
      </c>
      <c r="I71" s="20" t="str">
        <f aca="false">IF(OR(F71=0,H71=0),"",F71-H71)</f>
        <v/>
      </c>
      <c r="J71" s="36" t="str">
        <f aca="false">IFERROR(I71/H71,"")</f>
        <v/>
      </c>
      <c r="K71" s="37" t="n">
        <f aca="false">Wk10!D155</f>
        <v>0</v>
      </c>
      <c r="L71" s="37" t="n">
        <f aca="false">Wk10!E155</f>
        <v>0</v>
      </c>
      <c r="M71" s="20" t="n">
        <f aca="false">Wk10!K155</f>
        <v>0</v>
      </c>
    </row>
    <row r="72" customFormat="false" ht="15" hidden="false" customHeight="false" outlineLevel="0" collapsed="false">
      <c r="A72" s="12" t="s">
        <v>133</v>
      </c>
      <c r="B72" s="13" t="n">
        <f aca="false">Wk11!B23</f>
        <v>46097</v>
      </c>
      <c r="C72" s="12" t="str">
        <f aca="false">TEXT(B72,"dddd")</f>
        <v>Monday</v>
      </c>
      <c r="D72" s="20" t="n">
        <f aca="false">Wk11!M23</f>
        <v>0</v>
      </c>
      <c r="E72" s="20" t="n">
        <f aca="false">IFERROR(F72-D72,"")</f>
        <v>0</v>
      </c>
      <c r="F72" s="20" t="n">
        <f aca="false">Wk11!H23</f>
        <v>0</v>
      </c>
      <c r="G72" s="12" t="str">
        <f aca="false">IF(Wk11!L23="","",Wk11!L23)</f>
        <v/>
      </c>
      <c r="H72" s="20" t="n">
        <f aca="false">Wk11!R23</f>
        <v>0</v>
      </c>
      <c r="I72" s="20" t="str">
        <f aca="false">IF(OR(F72=0,H72=0),"",F72-H72)</f>
        <v/>
      </c>
      <c r="J72" s="36" t="str">
        <f aca="false">IFERROR(I72/H72,"")</f>
        <v/>
      </c>
      <c r="K72" s="37" t="n">
        <f aca="false">Wk11!D23</f>
        <v>0</v>
      </c>
      <c r="L72" s="37" t="n">
        <f aca="false">Wk11!E23</f>
        <v>0</v>
      </c>
      <c r="M72" s="20" t="n">
        <f aca="false">Wk11!K23</f>
        <v>0</v>
      </c>
    </row>
    <row r="73" customFormat="false" ht="15" hidden="false" customHeight="false" outlineLevel="0" collapsed="false">
      <c r="A73" s="12" t="s">
        <v>133</v>
      </c>
      <c r="B73" s="13" t="n">
        <f aca="false">Wk11!B45</f>
        <v>46098</v>
      </c>
      <c r="C73" s="12" t="str">
        <f aca="false">TEXT(B73,"dddd")</f>
        <v>Tuesday</v>
      </c>
      <c r="D73" s="20" t="n">
        <f aca="false">Wk11!M45</f>
        <v>0</v>
      </c>
      <c r="E73" s="20" t="n">
        <f aca="false">IFERROR(F73-D73,"")</f>
        <v>0</v>
      </c>
      <c r="F73" s="20" t="n">
        <f aca="false">Wk11!H45</f>
        <v>0</v>
      </c>
      <c r="G73" s="12" t="str">
        <f aca="false">IF(Wk11!L45="","",Wk11!L45)</f>
        <v/>
      </c>
      <c r="H73" s="20" t="n">
        <f aca="false">Wk11!R45</f>
        <v>0</v>
      </c>
      <c r="I73" s="20" t="str">
        <f aca="false">IF(OR(F73=0,H73=0),"",F73-H73)</f>
        <v/>
      </c>
      <c r="J73" s="36" t="str">
        <f aca="false">IFERROR(I73/H73,"")</f>
        <v/>
      </c>
      <c r="K73" s="37" t="n">
        <f aca="false">Wk11!D45</f>
        <v>0</v>
      </c>
      <c r="L73" s="37" t="n">
        <f aca="false">Wk11!E45</f>
        <v>0</v>
      </c>
      <c r="M73" s="20" t="n">
        <f aca="false">Wk11!K45</f>
        <v>0</v>
      </c>
    </row>
    <row r="74" customFormat="false" ht="15" hidden="false" customHeight="false" outlineLevel="0" collapsed="false">
      <c r="A74" s="12" t="s">
        <v>133</v>
      </c>
      <c r="B74" s="13" t="n">
        <f aca="false">Wk11!B67</f>
        <v>46099</v>
      </c>
      <c r="C74" s="12" t="str">
        <f aca="false">TEXT(B74,"dddd")</f>
        <v>Wednesday</v>
      </c>
      <c r="D74" s="20" t="n">
        <f aca="false">Wk11!M67</f>
        <v>0</v>
      </c>
      <c r="E74" s="20" t="n">
        <f aca="false">IFERROR(F74-D74,"")</f>
        <v>0</v>
      </c>
      <c r="F74" s="20" t="n">
        <f aca="false">Wk11!H67</f>
        <v>0</v>
      </c>
      <c r="G74" s="12" t="str">
        <f aca="false">IF(Wk11!L67="","",Wk11!L67)</f>
        <v/>
      </c>
      <c r="H74" s="20" t="n">
        <f aca="false">Wk11!R67</f>
        <v>0</v>
      </c>
      <c r="I74" s="20" t="str">
        <f aca="false">IF(OR(F74=0,H74=0),"",F74-H74)</f>
        <v/>
      </c>
      <c r="J74" s="36" t="str">
        <f aca="false">IFERROR(I74/H74,"")</f>
        <v/>
      </c>
      <c r="K74" s="37" t="n">
        <f aca="false">Wk11!D67</f>
        <v>0</v>
      </c>
      <c r="L74" s="37" t="n">
        <f aca="false">Wk11!E67</f>
        <v>0</v>
      </c>
      <c r="M74" s="20" t="n">
        <f aca="false">Wk11!K67</f>
        <v>0</v>
      </c>
    </row>
    <row r="75" customFormat="false" ht="15" hidden="false" customHeight="false" outlineLevel="0" collapsed="false">
      <c r="A75" s="12" t="s">
        <v>133</v>
      </c>
      <c r="B75" s="13" t="n">
        <f aca="false">Wk11!B89</f>
        <v>46100</v>
      </c>
      <c r="C75" s="12" t="str">
        <f aca="false">TEXT(B75,"dddd")</f>
        <v>Thursday</v>
      </c>
      <c r="D75" s="20" t="n">
        <f aca="false">Wk11!M89</f>
        <v>0</v>
      </c>
      <c r="E75" s="20" t="n">
        <f aca="false">IFERROR(F75-D75,"")</f>
        <v>0</v>
      </c>
      <c r="F75" s="20" t="n">
        <f aca="false">Wk11!H89</f>
        <v>0</v>
      </c>
      <c r="G75" s="12" t="str">
        <f aca="false">IF(Wk11!L89="","",Wk11!L89)</f>
        <v/>
      </c>
      <c r="H75" s="20" t="n">
        <f aca="false">Wk11!R89</f>
        <v>0</v>
      </c>
      <c r="I75" s="20" t="str">
        <f aca="false">IF(OR(F75=0,H75=0),"",F75-H75)</f>
        <v/>
      </c>
      <c r="J75" s="36" t="str">
        <f aca="false">IFERROR(I75/H75,"")</f>
        <v/>
      </c>
      <c r="K75" s="37" t="n">
        <f aca="false">Wk11!D89</f>
        <v>0</v>
      </c>
      <c r="L75" s="37" t="n">
        <f aca="false">Wk11!E89</f>
        <v>0</v>
      </c>
      <c r="M75" s="20" t="n">
        <f aca="false">Wk11!K89</f>
        <v>0</v>
      </c>
    </row>
    <row r="76" customFormat="false" ht="15" hidden="false" customHeight="false" outlineLevel="0" collapsed="false">
      <c r="A76" s="12" t="s">
        <v>133</v>
      </c>
      <c r="B76" s="13" t="n">
        <f aca="false">Wk11!B111</f>
        <v>46101</v>
      </c>
      <c r="C76" s="12" t="str">
        <f aca="false">TEXT(B76,"dddd")</f>
        <v>Friday</v>
      </c>
      <c r="D76" s="20" t="n">
        <f aca="false">Wk11!M111</f>
        <v>0</v>
      </c>
      <c r="E76" s="20" t="n">
        <f aca="false">IFERROR(F76-D76,"")</f>
        <v>0</v>
      </c>
      <c r="F76" s="20" t="n">
        <f aca="false">Wk11!H111</f>
        <v>0</v>
      </c>
      <c r="G76" s="12" t="str">
        <f aca="false">IF(Wk11!L111="","",Wk11!L111)</f>
        <v/>
      </c>
      <c r="H76" s="20" t="n">
        <f aca="false">Wk11!R111</f>
        <v>0</v>
      </c>
      <c r="I76" s="20" t="str">
        <f aca="false">IF(OR(F76=0,H76=0),"",F76-H76)</f>
        <v/>
      </c>
      <c r="J76" s="36" t="str">
        <f aca="false">IFERROR(I76/H76,"")</f>
        <v/>
      </c>
      <c r="K76" s="37" t="n">
        <f aca="false">Wk11!D111</f>
        <v>0</v>
      </c>
      <c r="L76" s="37" t="n">
        <f aca="false">Wk11!E111</f>
        <v>0</v>
      </c>
      <c r="M76" s="20" t="n">
        <f aca="false">Wk11!K111</f>
        <v>0</v>
      </c>
    </row>
    <row r="77" customFormat="false" ht="15" hidden="false" customHeight="false" outlineLevel="0" collapsed="false">
      <c r="A77" s="12" t="s">
        <v>133</v>
      </c>
      <c r="B77" s="13" t="n">
        <f aca="false">Wk11!B133</f>
        <v>46102</v>
      </c>
      <c r="C77" s="12" t="str">
        <f aca="false">TEXT(B77,"dddd")</f>
        <v>Saturday</v>
      </c>
      <c r="D77" s="20" t="n">
        <f aca="false">Wk11!M133</f>
        <v>0</v>
      </c>
      <c r="E77" s="20" t="n">
        <f aca="false">IFERROR(F77-D77,"")</f>
        <v>0</v>
      </c>
      <c r="F77" s="20" t="n">
        <f aca="false">Wk11!H133</f>
        <v>0</v>
      </c>
      <c r="G77" s="12" t="str">
        <f aca="false">IF(Wk11!L133="","",Wk11!L133)</f>
        <v/>
      </c>
      <c r="H77" s="20" t="n">
        <f aca="false">Wk11!R133</f>
        <v>0</v>
      </c>
      <c r="I77" s="20" t="str">
        <f aca="false">IF(OR(F77=0,H77=0),"",F77-H77)</f>
        <v/>
      </c>
      <c r="J77" s="36" t="str">
        <f aca="false">IFERROR(I77/H77,"")</f>
        <v/>
      </c>
      <c r="K77" s="37" t="n">
        <f aca="false">Wk11!D133</f>
        <v>0</v>
      </c>
      <c r="L77" s="37" t="n">
        <f aca="false">Wk11!E133</f>
        <v>0</v>
      </c>
      <c r="M77" s="20" t="n">
        <f aca="false">Wk11!K133</f>
        <v>0</v>
      </c>
    </row>
    <row r="78" customFormat="false" ht="15" hidden="false" customHeight="false" outlineLevel="0" collapsed="false">
      <c r="A78" s="12" t="s">
        <v>133</v>
      </c>
      <c r="B78" s="13" t="n">
        <f aca="false">Wk11!B155</f>
        <v>46103</v>
      </c>
      <c r="C78" s="12" t="str">
        <f aca="false">TEXT(B78,"dddd")</f>
        <v>Sunday</v>
      </c>
      <c r="D78" s="20" t="n">
        <f aca="false">Wk11!M155</f>
        <v>0</v>
      </c>
      <c r="E78" s="20" t="n">
        <f aca="false">IFERROR(F78-D78,"")</f>
        <v>0</v>
      </c>
      <c r="F78" s="20" t="n">
        <f aca="false">Wk11!H155</f>
        <v>0</v>
      </c>
      <c r="G78" s="12" t="str">
        <f aca="false">IF(Wk11!L155="","",Wk11!L155)</f>
        <v/>
      </c>
      <c r="H78" s="20" t="n">
        <f aca="false">Wk11!R155</f>
        <v>0</v>
      </c>
      <c r="I78" s="20" t="str">
        <f aca="false">IF(OR(F78=0,H78=0),"",F78-H78)</f>
        <v/>
      </c>
      <c r="J78" s="36" t="str">
        <f aca="false">IFERROR(I78/H78,"")</f>
        <v/>
      </c>
      <c r="K78" s="37" t="n">
        <f aca="false">Wk11!D155</f>
        <v>0</v>
      </c>
      <c r="L78" s="37" t="n">
        <f aca="false">Wk11!E155</f>
        <v>0</v>
      </c>
      <c r="M78" s="20" t="n">
        <f aca="false">Wk11!K155</f>
        <v>0</v>
      </c>
    </row>
    <row r="79" customFormat="false" ht="15" hidden="false" customHeight="false" outlineLevel="0" collapsed="false">
      <c r="A79" s="12" t="s">
        <v>134</v>
      </c>
      <c r="B79" s="13" t="n">
        <f aca="false">Wk12!B23</f>
        <v>46104</v>
      </c>
      <c r="C79" s="12" t="str">
        <f aca="false">TEXT(B79,"dddd")</f>
        <v>Monday</v>
      </c>
      <c r="D79" s="20" t="n">
        <f aca="false">Wk12!M23</f>
        <v>0</v>
      </c>
      <c r="E79" s="20" t="n">
        <f aca="false">IFERROR(F79-D79,"")</f>
        <v>0</v>
      </c>
      <c r="F79" s="20" t="n">
        <f aca="false">Wk12!H23</f>
        <v>0</v>
      </c>
      <c r="G79" s="12" t="str">
        <f aca="false">IF(Wk12!L23="","",Wk12!L23)</f>
        <v/>
      </c>
      <c r="H79" s="20" t="n">
        <f aca="false">Wk12!R23</f>
        <v>0</v>
      </c>
      <c r="I79" s="20" t="str">
        <f aca="false">IF(OR(F79=0,H79=0),"",F79-H79)</f>
        <v/>
      </c>
      <c r="J79" s="36" t="str">
        <f aca="false">IFERROR(I79/H79,"")</f>
        <v/>
      </c>
      <c r="K79" s="37" t="n">
        <f aca="false">Wk12!D23</f>
        <v>0</v>
      </c>
      <c r="L79" s="37" t="n">
        <f aca="false">Wk12!E23</f>
        <v>0</v>
      </c>
      <c r="M79" s="20" t="n">
        <f aca="false">Wk12!K23</f>
        <v>0</v>
      </c>
    </row>
    <row r="80" customFormat="false" ht="15" hidden="false" customHeight="false" outlineLevel="0" collapsed="false">
      <c r="A80" s="12" t="s">
        <v>134</v>
      </c>
      <c r="B80" s="13" t="n">
        <f aca="false">Wk12!B45</f>
        <v>46105</v>
      </c>
      <c r="C80" s="12" t="str">
        <f aca="false">TEXT(B80,"dddd")</f>
        <v>Tuesday</v>
      </c>
      <c r="D80" s="20" t="n">
        <f aca="false">Wk12!M45</f>
        <v>0</v>
      </c>
      <c r="E80" s="20" t="n">
        <f aca="false">IFERROR(F80-D80,"")</f>
        <v>0</v>
      </c>
      <c r="F80" s="20" t="n">
        <f aca="false">Wk12!H45</f>
        <v>0</v>
      </c>
      <c r="G80" s="12" t="str">
        <f aca="false">IF(Wk12!L45="","",Wk12!L45)</f>
        <v/>
      </c>
      <c r="H80" s="20" t="n">
        <f aca="false">Wk12!R45</f>
        <v>0</v>
      </c>
      <c r="I80" s="20" t="str">
        <f aca="false">IF(OR(F80=0,H80=0),"",F80-H80)</f>
        <v/>
      </c>
      <c r="J80" s="36" t="str">
        <f aca="false">IFERROR(I80/H80,"")</f>
        <v/>
      </c>
      <c r="K80" s="37" t="n">
        <f aca="false">Wk12!D45</f>
        <v>0</v>
      </c>
      <c r="L80" s="37" t="n">
        <f aca="false">Wk12!E45</f>
        <v>0</v>
      </c>
      <c r="M80" s="20" t="n">
        <f aca="false">Wk12!K45</f>
        <v>0</v>
      </c>
    </row>
    <row r="81" customFormat="false" ht="15" hidden="false" customHeight="false" outlineLevel="0" collapsed="false">
      <c r="A81" s="12" t="s">
        <v>134</v>
      </c>
      <c r="B81" s="13" t="n">
        <f aca="false">Wk12!B67</f>
        <v>46106</v>
      </c>
      <c r="C81" s="12" t="str">
        <f aca="false">TEXT(B81,"dddd")</f>
        <v>Wednesday</v>
      </c>
      <c r="D81" s="20" t="n">
        <f aca="false">Wk12!M67</f>
        <v>0</v>
      </c>
      <c r="E81" s="20" t="n">
        <f aca="false">IFERROR(F81-D81,"")</f>
        <v>0</v>
      </c>
      <c r="F81" s="20" t="n">
        <f aca="false">Wk12!H67</f>
        <v>0</v>
      </c>
      <c r="G81" s="12" t="str">
        <f aca="false">IF(Wk12!L67="","",Wk12!L67)</f>
        <v/>
      </c>
      <c r="H81" s="20" t="n">
        <f aca="false">Wk12!R67</f>
        <v>0</v>
      </c>
      <c r="I81" s="20" t="str">
        <f aca="false">IF(OR(F81=0,H81=0),"",F81-H81)</f>
        <v/>
      </c>
      <c r="J81" s="36" t="str">
        <f aca="false">IFERROR(I81/H81,"")</f>
        <v/>
      </c>
      <c r="K81" s="37" t="n">
        <f aca="false">Wk12!D67</f>
        <v>0</v>
      </c>
      <c r="L81" s="37" t="n">
        <f aca="false">Wk12!E67</f>
        <v>0</v>
      </c>
      <c r="M81" s="20" t="n">
        <f aca="false">Wk12!K67</f>
        <v>0</v>
      </c>
    </row>
    <row r="82" customFormat="false" ht="15" hidden="false" customHeight="false" outlineLevel="0" collapsed="false">
      <c r="A82" s="12" t="s">
        <v>134</v>
      </c>
      <c r="B82" s="13" t="n">
        <f aca="false">Wk12!B89</f>
        <v>46107</v>
      </c>
      <c r="C82" s="12" t="str">
        <f aca="false">TEXT(B82,"dddd")</f>
        <v>Thursday</v>
      </c>
      <c r="D82" s="20" t="n">
        <f aca="false">Wk12!M89</f>
        <v>0</v>
      </c>
      <c r="E82" s="20" t="n">
        <f aca="false">IFERROR(F82-D82,"")</f>
        <v>0</v>
      </c>
      <c r="F82" s="20" t="n">
        <f aca="false">Wk12!H89</f>
        <v>0</v>
      </c>
      <c r="G82" s="12" t="str">
        <f aca="false">IF(Wk12!L89="","",Wk12!L89)</f>
        <v/>
      </c>
      <c r="H82" s="20" t="n">
        <f aca="false">Wk12!R89</f>
        <v>0</v>
      </c>
      <c r="I82" s="20" t="str">
        <f aca="false">IF(OR(F82=0,H82=0),"",F82-H82)</f>
        <v/>
      </c>
      <c r="J82" s="36" t="str">
        <f aca="false">IFERROR(I82/H82,"")</f>
        <v/>
      </c>
      <c r="K82" s="37" t="n">
        <f aca="false">Wk12!D89</f>
        <v>0</v>
      </c>
      <c r="L82" s="37" t="n">
        <f aca="false">Wk12!E89</f>
        <v>0</v>
      </c>
      <c r="M82" s="20" t="n">
        <f aca="false">Wk12!K89</f>
        <v>0</v>
      </c>
    </row>
    <row r="83" customFormat="false" ht="15" hidden="false" customHeight="false" outlineLevel="0" collapsed="false">
      <c r="A83" s="12" t="s">
        <v>134</v>
      </c>
      <c r="B83" s="13" t="n">
        <f aca="false">Wk12!B111</f>
        <v>46108</v>
      </c>
      <c r="C83" s="12" t="str">
        <f aca="false">TEXT(B83,"dddd")</f>
        <v>Friday</v>
      </c>
      <c r="D83" s="20" t="n">
        <f aca="false">Wk12!M111</f>
        <v>0</v>
      </c>
      <c r="E83" s="20" t="n">
        <f aca="false">IFERROR(F83-D83,"")</f>
        <v>0</v>
      </c>
      <c r="F83" s="20" t="n">
        <f aca="false">Wk12!H111</f>
        <v>0</v>
      </c>
      <c r="G83" s="12" t="str">
        <f aca="false">IF(Wk12!L111="","",Wk12!L111)</f>
        <v/>
      </c>
      <c r="H83" s="20" t="n">
        <f aca="false">Wk12!R111</f>
        <v>0</v>
      </c>
      <c r="I83" s="20" t="str">
        <f aca="false">IF(OR(F83=0,H83=0),"",F83-H83)</f>
        <v/>
      </c>
      <c r="J83" s="36" t="str">
        <f aca="false">IFERROR(I83/H83,"")</f>
        <v/>
      </c>
      <c r="K83" s="37" t="n">
        <f aca="false">Wk12!D111</f>
        <v>0</v>
      </c>
      <c r="L83" s="37" t="n">
        <f aca="false">Wk12!E111</f>
        <v>0</v>
      </c>
      <c r="M83" s="20" t="n">
        <f aca="false">Wk12!K111</f>
        <v>0</v>
      </c>
    </row>
    <row r="84" customFormat="false" ht="15" hidden="false" customHeight="false" outlineLevel="0" collapsed="false">
      <c r="A84" s="12" t="s">
        <v>134</v>
      </c>
      <c r="B84" s="13" t="n">
        <f aca="false">Wk12!B133</f>
        <v>46109</v>
      </c>
      <c r="C84" s="12" t="str">
        <f aca="false">TEXT(B84,"dddd")</f>
        <v>Saturday</v>
      </c>
      <c r="D84" s="20" t="n">
        <f aca="false">Wk12!M133</f>
        <v>0</v>
      </c>
      <c r="E84" s="20" t="n">
        <f aca="false">IFERROR(F84-D84,"")</f>
        <v>0</v>
      </c>
      <c r="F84" s="20" t="n">
        <f aca="false">Wk12!H133</f>
        <v>0</v>
      </c>
      <c r="G84" s="12" t="str">
        <f aca="false">IF(Wk12!L133="","",Wk12!L133)</f>
        <v/>
      </c>
      <c r="H84" s="20" t="n">
        <f aca="false">Wk12!R133</f>
        <v>0</v>
      </c>
      <c r="I84" s="20" t="str">
        <f aca="false">IF(OR(F84=0,H84=0),"",F84-H84)</f>
        <v/>
      </c>
      <c r="J84" s="36" t="str">
        <f aca="false">IFERROR(I84/H84,"")</f>
        <v/>
      </c>
      <c r="K84" s="37" t="n">
        <f aca="false">Wk12!D133</f>
        <v>0</v>
      </c>
      <c r="L84" s="37" t="n">
        <f aca="false">Wk12!E133</f>
        <v>0</v>
      </c>
      <c r="M84" s="20" t="n">
        <f aca="false">Wk12!K133</f>
        <v>0</v>
      </c>
    </row>
    <row r="85" customFormat="false" ht="15" hidden="false" customHeight="false" outlineLevel="0" collapsed="false">
      <c r="A85" s="12" t="s">
        <v>134</v>
      </c>
      <c r="B85" s="13" t="n">
        <f aca="false">Wk12!B155</f>
        <v>46110</v>
      </c>
      <c r="C85" s="12" t="str">
        <f aca="false">TEXT(B85,"dddd")</f>
        <v>Sunday</v>
      </c>
      <c r="D85" s="20" t="n">
        <f aca="false">Wk12!M155</f>
        <v>0</v>
      </c>
      <c r="E85" s="20" t="n">
        <f aca="false">IFERROR(F85-D85,"")</f>
        <v>0</v>
      </c>
      <c r="F85" s="20" t="n">
        <f aca="false">Wk12!H155</f>
        <v>0</v>
      </c>
      <c r="G85" s="12" t="str">
        <f aca="false">IF(Wk12!L155="","",Wk12!L155)</f>
        <v/>
      </c>
      <c r="H85" s="20" t="n">
        <f aca="false">Wk12!R155</f>
        <v>0</v>
      </c>
      <c r="I85" s="20" t="str">
        <f aca="false">IF(OR(F85=0,H85=0),"",F85-H85)</f>
        <v/>
      </c>
      <c r="J85" s="36" t="str">
        <f aca="false">IFERROR(I85/H85,"")</f>
        <v/>
      </c>
      <c r="K85" s="37" t="n">
        <f aca="false">Wk12!D155</f>
        <v>0</v>
      </c>
      <c r="L85" s="37" t="n">
        <f aca="false">Wk12!E155</f>
        <v>0</v>
      </c>
      <c r="M85" s="20" t="n">
        <f aca="false">Wk12!K155</f>
        <v>0</v>
      </c>
    </row>
    <row r="86" customFormat="false" ht="15" hidden="false" customHeight="false" outlineLevel="0" collapsed="false">
      <c r="A86" s="12" t="s">
        <v>135</v>
      </c>
      <c r="B86" s="13" t="n">
        <f aca="false">Wk13!B23</f>
        <v>46111</v>
      </c>
      <c r="C86" s="12" t="str">
        <f aca="false">TEXT(B86,"dddd")</f>
        <v>Monday</v>
      </c>
      <c r="D86" s="20" t="n">
        <f aca="false">Wk13!M23</f>
        <v>0</v>
      </c>
      <c r="E86" s="20" t="n">
        <f aca="false">IFERROR(F86-D86,"")</f>
        <v>0</v>
      </c>
      <c r="F86" s="20" t="n">
        <f aca="false">Wk13!H23</f>
        <v>0</v>
      </c>
      <c r="G86" s="12" t="str">
        <f aca="false">IF(Wk13!L23="","",Wk13!L23)</f>
        <v/>
      </c>
      <c r="H86" s="20" t="n">
        <f aca="false">Wk13!R23</f>
        <v>0</v>
      </c>
      <c r="I86" s="20" t="str">
        <f aca="false">IF(OR(F86=0,H86=0),"",F86-H86)</f>
        <v/>
      </c>
      <c r="J86" s="36" t="str">
        <f aca="false">IFERROR(I86/H86,"")</f>
        <v/>
      </c>
      <c r="K86" s="37" t="n">
        <f aca="false">Wk13!D23</f>
        <v>0</v>
      </c>
      <c r="L86" s="37" t="n">
        <f aca="false">Wk13!E23</f>
        <v>0</v>
      </c>
      <c r="M86" s="20" t="n">
        <f aca="false">Wk13!K23</f>
        <v>0</v>
      </c>
    </row>
    <row r="87" customFormat="false" ht="15" hidden="false" customHeight="false" outlineLevel="0" collapsed="false">
      <c r="A87" s="12" t="s">
        <v>135</v>
      </c>
      <c r="B87" s="13" t="n">
        <f aca="false">Wk13!B45</f>
        <v>46112</v>
      </c>
      <c r="C87" s="12" t="str">
        <f aca="false">TEXT(B87,"dddd")</f>
        <v>Tuesday</v>
      </c>
      <c r="D87" s="20" t="n">
        <f aca="false">Wk13!M45</f>
        <v>0</v>
      </c>
      <c r="E87" s="20" t="n">
        <f aca="false">IFERROR(F87-D87,"")</f>
        <v>0</v>
      </c>
      <c r="F87" s="20" t="n">
        <f aca="false">Wk13!H45</f>
        <v>0</v>
      </c>
      <c r="G87" s="12" t="str">
        <f aca="false">IF(Wk13!L45="","",Wk13!L45)</f>
        <v/>
      </c>
      <c r="H87" s="20" t="n">
        <f aca="false">Wk13!R45</f>
        <v>0</v>
      </c>
      <c r="I87" s="20" t="str">
        <f aca="false">IF(OR(F87=0,H87=0),"",F87-H87)</f>
        <v/>
      </c>
      <c r="J87" s="36" t="str">
        <f aca="false">IFERROR(I87/H87,"")</f>
        <v/>
      </c>
      <c r="K87" s="37" t="n">
        <f aca="false">Wk13!D45</f>
        <v>0</v>
      </c>
      <c r="L87" s="37" t="n">
        <f aca="false">Wk13!E45</f>
        <v>0</v>
      </c>
      <c r="M87" s="20" t="n">
        <f aca="false">Wk13!K45</f>
        <v>0</v>
      </c>
    </row>
    <row r="88" customFormat="false" ht="15" hidden="false" customHeight="false" outlineLevel="0" collapsed="false">
      <c r="A88" s="12" t="s">
        <v>135</v>
      </c>
      <c r="B88" s="13" t="n">
        <f aca="false">Wk13!B67</f>
        <v>46113</v>
      </c>
      <c r="C88" s="12" t="str">
        <f aca="false">TEXT(B88,"dddd")</f>
        <v>Wednesday</v>
      </c>
      <c r="D88" s="20" t="n">
        <f aca="false">Wk13!M67</f>
        <v>0</v>
      </c>
      <c r="E88" s="20" t="n">
        <f aca="false">IFERROR(F88-D88,"")</f>
        <v>0</v>
      </c>
      <c r="F88" s="20" t="n">
        <f aca="false">Wk13!H67</f>
        <v>0</v>
      </c>
      <c r="G88" s="12" t="str">
        <f aca="false">IF(Wk13!L67="","",Wk13!L67)</f>
        <v/>
      </c>
      <c r="H88" s="20" t="n">
        <f aca="false">Wk13!R67</f>
        <v>0</v>
      </c>
      <c r="I88" s="20" t="str">
        <f aca="false">IF(OR(F88=0,H88=0),"",F88-H88)</f>
        <v/>
      </c>
      <c r="J88" s="36" t="str">
        <f aca="false">IFERROR(I88/H88,"")</f>
        <v/>
      </c>
      <c r="K88" s="37" t="n">
        <f aca="false">Wk13!D67</f>
        <v>0</v>
      </c>
      <c r="L88" s="37" t="n">
        <f aca="false">Wk13!E67</f>
        <v>0</v>
      </c>
      <c r="M88" s="20" t="n">
        <f aca="false">Wk13!K67</f>
        <v>0</v>
      </c>
    </row>
    <row r="89" customFormat="false" ht="15" hidden="false" customHeight="false" outlineLevel="0" collapsed="false">
      <c r="A89" s="12" t="s">
        <v>135</v>
      </c>
      <c r="B89" s="13" t="n">
        <f aca="false">Wk13!B89</f>
        <v>46114</v>
      </c>
      <c r="C89" s="12" t="str">
        <f aca="false">TEXT(B89,"dddd")</f>
        <v>Thursday</v>
      </c>
      <c r="D89" s="20" t="n">
        <f aca="false">Wk13!M89</f>
        <v>0</v>
      </c>
      <c r="E89" s="20" t="n">
        <f aca="false">IFERROR(F89-D89,"")</f>
        <v>0</v>
      </c>
      <c r="F89" s="20" t="n">
        <f aca="false">Wk13!H89</f>
        <v>0</v>
      </c>
      <c r="G89" s="12" t="str">
        <f aca="false">IF(Wk13!L89="","",Wk13!L89)</f>
        <v/>
      </c>
      <c r="H89" s="20" t="n">
        <f aca="false">Wk13!R89</f>
        <v>0</v>
      </c>
      <c r="I89" s="20" t="str">
        <f aca="false">IF(OR(F89=0,H89=0),"",F89-H89)</f>
        <v/>
      </c>
      <c r="J89" s="36" t="str">
        <f aca="false">IFERROR(I89/H89,"")</f>
        <v/>
      </c>
      <c r="K89" s="37" t="n">
        <f aca="false">Wk13!D89</f>
        <v>0</v>
      </c>
      <c r="L89" s="37" t="n">
        <f aca="false">Wk13!E89</f>
        <v>0</v>
      </c>
      <c r="M89" s="20" t="n">
        <f aca="false">Wk13!K89</f>
        <v>0</v>
      </c>
    </row>
    <row r="90" customFormat="false" ht="15" hidden="false" customHeight="false" outlineLevel="0" collapsed="false">
      <c r="A90" s="12" t="s">
        <v>135</v>
      </c>
      <c r="B90" s="13" t="n">
        <f aca="false">Wk13!B111</f>
        <v>46115</v>
      </c>
      <c r="C90" s="12" t="str">
        <f aca="false">TEXT(B90,"dddd")</f>
        <v>Friday</v>
      </c>
      <c r="D90" s="20" t="n">
        <f aca="false">Wk13!M111</f>
        <v>0</v>
      </c>
      <c r="E90" s="20" t="n">
        <f aca="false">IFERROR(F90-D90,"")</f>
        <v>0</v>
      </c>
      <c r="F90" s="20" t="n">
        <f aca="false">Wk13!H111</f>
        <v>0</v>
      </c>
      <c r="G90" s="12" t="str">
        <f aca="false">IF(Wk13!L111="","",Wk13!L111)</f>
        <v/>
      </c>
      <c r="H90" s="20" t="n">
        <f aca="false">Wk13!R111</f>
        <v>0</v>
      </c>
      <c r="I90" s="20" t="str">
        <f aca="false">IF(OR(F90=0,H90=0),"",F90-H90)</f>
        <v/>
      </c>
      <c r="J90" s="36" t="str">
        <f aca="false">IFERROR(I90/H90,"")</f>
        <v/>
      </c>
      <c r="K90" s="37" t="n">
        <f aca="false">Wk13!D111</f>
        <v>0</v>
      </c>
      <c r="L90" s="37" t="n">
        <f aca="false">Wk13!E111</f>
        <v>0</v>
      </c>
      <c r="M90" s="20" t="n">
        <f aca="false">Wk13!K111</f>
        <v>0</v>
      </c>
    </row>
    <row r="91" customFormat="false" ht="15" hidden="false" customHeight="false" outlineLevel="0" collapsed="false">
      <c r="A91" s="12" t="s">
        <v>135</v>
      </c>
      <c r="B91" s="13" t="n">
        <f aca="false">Wk13!B133</f>
        <v>46116</v>
      </c>
      <c r="C91" s="12" t="str">
        <f aca="false">TEXT(B91,"dddd")</f>
        <v>Saturday</v>
      </c>
      <c r="D91" s="20" t="n">
        <f aca="false">Wk13!M133</f>
        <v>0</v>
      </c>
      <c r="E91" s="20" t="n">
        <f aca="false">IFERROR(F91-D91,"")</f>
        <v>0</v>
      </c>
      <c r="F91" s="20" t="n">
        <f aca="false">Wk13!H133</f>
        <v>0</v>
      </c>
      <c r="G91" s="12" t="str">
        <f aca="false">IF(Wk13!L133="","",Wk13!L133)</f>
        <v/>
      </c>
      <c r="H91" s="20" t="n">
        <f aca="false">Wk13!R133</f>
        <v>0</v>
      </c>
      <c r="I91" s="20" t="str">
        <f aca="false">IF(OR(F91=0,H91=0),"",F91-H91)</f>
        <v/>
      </c>
      <c r="J91" s="36" t="str">
        <f aca="false">IFERROR(I91/H91,"")</f>
        <v/>
      </c>
      <c r="K91" s="37" t="n">
        <f aca="false">Wk13!D133</f>
        <v>0</v>
      </c>
      <c r="L91" s="37" t="n">
        <f aca="false">Wk13!E133</f>
        <v>0</v>
      </c>
      <c r="M91" s="20" t="n">
        <f aca="false">Wk13!K133</f>
        <v>0</v>
      </c>
    </row>
    <row r="92" customFormat="false" ht="15" hidden="false" customHeight="false" outlineLevel="0" collapsed="false">
      <c r="A92" s="12" t="s">
        <v>135</v>
      </c>
      <c r="B92" s="13" t="n">
        <f aca="false">Wk13!B155</f>
        <v>46117</v>
      </c>
      <c r="C92" s="12" t="str">
        <f aca="false">TEXT(B92,"dddd")</f>
        <v>Sunday</v>
      </c>
      <c r="D92" s="20" t="n">
        <f aca="false">Wk13!M155</f>
        <v>0</v>
      </c>
      <c r="E92" s="20" t="n">
        <f aca="false">IFERROR(F92-D92,"")</f>
        <v>0</v>
      </c>
      <c r="F92" s="20" t="n">
        <f aca="false">Wk13!H155</f>
        <v>0</v>
      </c>
      <c r="G92" s="12" t="str">
        <f aca="false">IF(Wk13!L155="","",Wk13!L155)</f>
        <v/>
      </c>
      <c r="H92" s="20" t="n">
        <f aca="false">Wk13!R155</f>
        <v>0</v>
      </c>
      <c r="I92" s="20" t="str">
        <f aca="false">IF(OR(F92=0,H92=0),"",F92-H92)</f>
        <v/>
      </c>
      <c r="J92" s="36" t="str">
        <f aca="false">IFERROR(I92/H92,"")</f>
        <v/>
      </c>
      <c r="K92" s="37" t="n">
        <f aca="false">Wk13!D155</f>
        <v>0</v>
      </c>
      <c r="L92" s="37" t="n">
        <f aca="false">Wk13!E155</f>
        <v>0</v>
      </c>
      <c r="M92" s="20" t="n">
        <f aca="false">Wk13!K155</f>
        <v>0</v>
      </c>
    </row>
    <row r="93" customFormat="false" ht="15" hidden="false" customHeight="false" outlineLevel="0" collapsed="false">
      <c r="A93" s="12" t="s">
        <v>136</v>
      </c>
      <c r="B93" s="13" t="n">
        <f aca="false">Wk14!B23</f>
        <v>46118</v>
      </c>
      <c r="C93" s="12" t="str">
        <f aca="false">TEXT(B93,"dddd")</f>
        <v>Monday</v>
      </c>
      <c r="D93" s="20" t="n">
        <f aca="false">Wk14!M23</f>
        <v>0</v>
      </c>
      <c r="E93" s="20" t="n">
        <f aca="false">IFERROR(F93-D93,"")</f>
        <v>0</v>
      </c>
      <c r="F93" s="20" t="n">
        <f aca="false">Wk14!H23</f>
        <v>0</v>
      </c>
      <c r="G93" s="12" t="str">
        <f aca="false">IF(Wk14!L23="","",Wk14!L23)</f>
        <v/>
      </c>
      <c r="H93" s="20" t="n">
        <f aca="false">Wk14!R23</f>
        <v>0</v>
      </c>
      <c r="I93" s="20" t="str">
        <f aca="false">IF(OR(F93=0,H93=0),"",F93-H93)</f>
        <v/>
      </c>
      <c r="J93" s="36" t="str">
        <f aca="false">IFERROR(I93/H93,"")</f>
        <v/>
      </c>
      <c r="K93" s="37" t="n">
        <f aca="false">Wk14!D23</f>
        <v>0</v>
      </c>
      <c r="L93" s="37" t="n">
        <f aca="false">Wk14!E23</f>
        <v>0</v>
      </c>
      <c r="M93" s="20" t="n">
        <f aca="false">Wk14!K23</f>
        <v>0</v>
      </c>
    </row>
    <row r="94" customFormat="false" ht="15" hidden="false" customHeight="false" outlineLevel="0" collapsed="false">
      <c r="A94" s="12" t="s">
        <v>136</v>
      </c>
      <c r="B94" s="13" t="n">
        <f aca="false">Wk14!B45</f>
        <v>46119</v>
      </c>
      <c r="C94" s="12" t="str">
        <f aca="false">TEXT(B94,"dddd")</f>
        <v>Tuesday</v>
      </c>
      <c r="D94" s="20" t="n">
        <f aca="false">Wk14!M45</f>
        <v>0</v>
      </c>
      <c r="E94" s="20" t="n">
        <f aca="false">IFERROR(F94-D94,"")</f>
        <v>0</v>
      </c>
      <c r="F94" s="20" t="n">
        <f aca="false">Wk14!H45</f>
        <v>0</v>
      </c>
      <c r="G94" s="12" t="str">
        <f aca="false">IF(Wk14!L45="","",Wk14!L45)</f>
        <v/>
      </c>
      <c r="H94" s="20" t="n">
        <f aca="false">Wk14!R45</f>
        <v>0</v>
      </c>
      <c r="I94" s="20" t="str">
        <f aca="false">IF(OR(F94=0,H94=0),"",F94-H94)</f>
        <v/>
      </c>
      <c r="J94" s="36" t="str">
        <f aca="false">IFERROR(I94/H94,"")</f>
        <v/>
      </c>
      <c r="K94" s="37" t="n">
        <f aca="false">Wk14!D45</f>
        <v>0</v>
      </c>
      <c r="L94" s="37" t="n">
        <f aca="false">Wk14!E45</f>
        <v>0</v>
      </c>
      <c r="M94" s="20" t="n">
        <f aca="false">Wk14!K45</f>
        <v>0</v>
      </c>
    </row>
    <row r="95" customFormat="false" ht="15" hidden="false" customHeight="false" outlineLevel="0" collapsed="false">
      <c r="A95" s="12" t="s">
        <v>136</v>
      </c>
      <c r="B95" s="13" t="n">
        <f aca="false">Wk14!B67</f>
        <v>46120</v>
      </c>
      <c r="C95" s="12" t="str">
        <f aca="false">TEXT(B95,"dddd")</f>
        <v>Wednesday</v>
      </c>
      <c r="D95" s="20" t="n">
        <f aca="false">Wk14!M67</f>
        <v>0</v>
      </c>
      <c r="E95" s="20" t="n">
        <f aca="false">IFERROR(F95-D95,"")</f>
        <v>0</v>
      </c>
      <c r="F95" s="20" t="n">
        <f aca="false">Wk14!H67</f>
        <v>0</v>
      </c>
      <c r="G95" s="12" t="str">
        <f aca="false">IF(Wk14!L67="","",Wk14!L67)</f>
        <v/>
      </c>
      <c r="H95" s="20" t="n">
        <f aca="false">Wk14!R67</f>
        <v>0</v>
      </c>
      <c r="I95" s="20" t="str">
        <f aca="false">IF(OR(F95=0,H95=0),"",F95-H95)</f>
        <v/>
      </c>
      <c r="J95" s="36" t="str">
        <f aca="false">IFERROR(I95/H95,"")</f>
        <v/>
      </c>
      <c r="K95" s="37" t="n">
        <f aca="false">Wk14!D67</f>
        <v>0</v>
      </c>
      <c r="L95" s="37" t="n">
        <f aca="false">Wk14!E67</f>
        <v>0</v>
      </c>
      <c r="M95" s="20" t="n">
        <f aca="false">Wk14!K67</f>
        <v>0</v>
      </c>
    </row>
    <row r="96" customFormat="false" ht="15" hidden="false" customHeight="false" outlineLevel="0" collapsed="false">
      <c r="A96" s="12" t="s">
        <v>136</v>
      </c>
      <c r="B96" s="13" t="n">
        <f aca="false">Wk14!B89</f>
        <v>46121</v>
      </c>
      <c r="C96" s="12" t="str">
        <f aca="false">TEXT(B96,"dddd")</f>
        <v>Thursday</v>
      </c>
      <c r="D96" s="20" t="n">
        <f aca="false">Wk14!M89</f>
        <v>0</v>
      </c>
      <c r="E96" s="20" t="n">
        <f aca="false">IFERROR(F96-D96,"")</f>
        <v>0</v>
      </c>
      <c r="F96" s="20" t="n">
        <f aca="false">Wk14!H89</f>
        <v>0</v>
      </c>
      <c r="G96" s="12" t="str">
        <f aca="false">IF(Wk14!L89="","",Wk14!L89)</f>
        <v/>
      </c>
      <c r="H96" s="20" t="n">
        <f aca="false">Wk14!R89</f>
        <v>0</v>
      </c>
      <c r="I96" s="20" t="str">
        <f aca="false">IF(OR(F96=0,H96=0),"",F96-H96)</f>
        <v/>
      </c>
      <c r="J96" s="36" t="str">
        <f aca="false">IFERROR(I96/H96,"")</f>
        <v/>
      </c>
      <c r="K96" s="37" t="n">
        <f aca="false">Wk14!D89</f>
        <v>0</v>
      </c>
      <c r="L96" s="37" t="n">
        <f aca="false">Wk14!E89</f>
        <v>0</v>
      </c>
      <c r="M96" s="20" t="n">
        <f aca="false">Wk14!K89</f>
        <v>0</v>
      </c>
    </row>
    <row r="97" customFormat="false" ht="15" hidden="false" customHeight="false" outlineLevel="0" collapsed="false">
      <c r="A97" s="12" t="s">
        <v>136</v>
      </c>
      <c r="B97" s="13" t="n">
        <f aca="false">Wk14!B111</f>
        <v>46122</v>
      </c>
      <c r="C97" s="12" t="str">
        <f aca="false">TEXT(B97,"dddd")</f>
        <v>Friday</v>
      </c>
      <c r="D97" s="20" t="n">
        <f aca="false">Wk14!M111</f>
        <v>0</v>
      </c>
      <c r="E97" s="20" t="n">
        <f aca="false">IFERROR(F97-D97,"")</f>
        <v>0</v>
      </c>
      <c r="F97" s="20" t="n">
        <f aca="false">Wk14!H111</f>
        <v>0</v>
      </c>
      <c r="G97" s="12" t="str">
        <f aca="false">IF(Wk14!L111="","",Wk14!L111)</f>
        <v/>
      </c>
      <c r="H97" s="20" t="n">
        <f aca="false">Wk14!R111</f>
        <v>0</v>
      </c>
      <c r="I97" s="20" t="str">
        <f aca="false">IF(OR(F97=0,H97=0),"",F97-H97)</f>
        <v/>
      </c>
      <c r="J97" s="36" t="str">
        <f aca="false">IFERROR(I97/H97,"")</f>
        <v/>
      </c>
      <c r="K97" s="37" t="n">
        <f aca="false">Wk14!D111</f>
        <v>0</v>
      </c>
      <c r="L97" s="37" t="n">
        <f aca="false">Wk14!E111</f>
        <v>0</v>
      </c>
      <c r="M97" s="20" t="n">
        <f aca="false">Wk14!K111</f>
        <v>0</v>
      </c>
    </row>
    <row r="98" customFormat="false" ht="15" hidden="false" customHeight="false" outlineLevel="0" collapsed="false">
      <c r="A98" s="12" t="s">
        <v>136</v>
      </c>
      <c r="B98" s="13" t="n">
        <f aca="false">Wk14!B133</f>
        <v>46123</v>
      </c>
      <c r="C98" s="12" t="str">
        <f aca="false">TEXT(B98,"dddd")</f>
        <v>Saturday</v>
      </c>
      <c r="D98" s="20" t="n">
        <f aca="false">Wk14!M133</f>
        <v>0</v>
      </c>
      <c r="E98" s="20" t="n">
        <f aca="false">IFERROR(F98-D98,"")</f>
        <v>0</v>
      </c>
      <c r="F98" s="20" t="n">
        <f aca="false">Wk14!H133</f>
        <v>0</v>
      </c>
      <c r="G98" s="12" t="str">
        <f aca="false">IF(Wk14!L133="","",Wk14!L133)</f>
        <v/>
      </c>
      <c r="H98" s="20" t="n">
        <f aca="false">Wk14!R133</f>
        <v>0</v>
      </c>
      <c r="I98" s="20" t="str">
        <f aca="false">IF(OR(F98=0,H98=0),"",F98-H98)</f>
        <v/>
      </c>
      <c r="J98" s="36" t="str">
        <f aca="false">IFERROR(I98/H98,"")</f>
        <v/>
      </c>
      <c r="K98" s="37" t="n">
        <f aca="false">Wk14!D133</f>
        <v>0</v>
      </c>
      <c r="L98" s="37" t="n">
        <f aca="false">Wk14!E133</f>
        <v>0</v>
      </c>
      <c r="M98" s="20" t="n">
        <f aca="false">Wk14!K133</f>
        <v>0</v>
      </c>
    </row>
    <row r="99" customFormat="false" ht="15" hidden="false" customHeight="false" outlineLevel="0" collapsed="false">
      <c r="A99" s="12" t="s">
        <v>136</v>
      </c>
      <c r="B99" s="13" t="n">
        <f aca="false">Wk14!B155</f>
        <v>46124</v>
      </c>
      <c r="C99" s="12" t="str">
        <f aca="false">TEXT(B99,"dddd")</f>
        <v>Sunday</v>
      </c>
      <c r="D99" s="20" t="n">
        <f aca="false">Wk14!M155</f>
        <v>0</v>
      </c>
      <c r="E99" s="20" t="n">
        <f aca="false">IFERROR(F99-D99,"")</f>
        <v>0</v>
      </c>
      <c r="F99" s="20" t="n">
        <f aca="false">Wk14!H155</f>
        <v>0</v>
      </c>
      <c r="G99" s="12" t="str">
        <f aca="false">IF(Wk14!L155="","",Wk14!L155)</f>
        <v/>
      </c>
      <c r="H99" s="20" t="n">
        <f aca="false">Wk14!R155</f>
        <v>0</v>
      </c>
      <c r="I99" s="20" t="str">
        <f aca="false">IF(OR(F99=0,H99=0),"",F99-H99)</f>
        <v/>
      </c>
      <c r="J99" s="36" t="str">
        <f aca="false">IFERROR(I99/H99,"")</f>
        <v/>
      </c>
      <c r="K99" s="37" t="n">
        <f aca="false">Wk14!D155</f>
        <v>0</v>
      </c>
      <c r="L99" s="37" t="n">
        <f aca="false">Wk14!E155</f>
        <v>0</v>
      </c>
      <c r="M99" s="20" t="n">
        <f aca="false">Wk14!K155</f>
        <v>0</v>
      </c>
    </row>
    <row r="100" customFormat="false" ht="15" hidden="false" customHeight="false" outlineLevel="0" collapsed="false">
      <c r="A100" s="12" t="s">
        <v>137</v>
      </c>
      <c r="B100" s="13" t="n">
        <f aca="false">Wk15!B23</f>
        <v>46125</v>
      </c>
      <c r="C100" s="12" t="str">
        <f aca="false">TEXT(B100,"dddd")</f>
        <v>Monday</v>
      </c>
      <c r="D100" s="20" t="n">
        <f aca="false">Wk15!M23</f>
        <v>0</v>
      </c>
      <c r="E100" s="20" t="n">
        <f aca="false">IFERROR(F100-D100,"")</f>
        <v>0</v>
      </c>
      <c r="F100" s="20" t="n">
        <f aca="false">Wk15!H23</f>
        <v>0</v>
      </c>
      <c r="G100" s="12" t="str">
        <f aca="false">IF(Wk15!L23="","",Wk15!L23)</f>
        <v/>
      </c>
      <c r="H100" s="20" t="n">
        <f aca="false">Wk15!R23</f>
        <v>0</v>
      </c>
      <c r="I100" s="20" t="str">
        <f aca="false">IF(OR(F100=0,H100=0),"",F100-H100)</f>
        <v/>
      </c>
      <c r="J100" s="36" t="str">
        <f aca="false">IFERROR(I100/H100,"")</f>
        <v/>
      </c>
      <c r="K100" s="37" t="n">
        <f aca="false">Wk15!D23</f>
        <v>0</v>
      </c>
      <c r="L100" s="37" t="n">
        <f aca="false">Wk15!E23</f>
        <v>0</v>
      </c>
      <c r="M100" s="20" t="n">
        <f aca="false">Wk15!K23</f>
        <v>0</v>
      </c>
    </row>
    <row r="101" customFormat="false" ht="15" hidden="false" customHeight="false" outlineLevel="0" collapsed="false">
      <c r="A101" s="12" t="s">
        <v>137</v>
      </c>
      <c r="B101" s="13" t="n">
        <f aca="false">Wk15!B45</f>
        <v>46126</v>
      </c>
      <c r="C101" s="12" t="str">
        <f aca="false">TEXT(B101,"dddd")</f>
        <v>Tuesday</v>
      </c>
      <c r="D101" s="20" t="n">
        <f aca="false">Wk15!M45</f>
        <v>0</v>
      </c>
      <c r="E101" s="20" t="n">
        <f aca="false">IFERROR(F101-D101,"")</f>
        <v>0</v>
      </c>
      <c r="F101" s="20" t="n">
        <f aca="false">Wk15!H45</f>
        <v>0</v>
      </c>
      <c r="G101" s="12" t="str">
        <f aca="false">IF(Wk15!L45="","",Wk15!L45)</f>
        <v/>
      </c>
      <c r="H101" s="20" t="n">
        <f aca="false">Wk15!R45</f>
        <v>0</v>
      </c>
      <c r="I101" s="20" t="str">
        <f aca="false">IF(OR(F101=0,H101=0),"",F101-H101)</f>
        <v/>
      </c>
      <c r="J101" s="36" t="str">
        <f aca="false">IFERROR(I101/H101,"")</f>
        <v/>
      </c>
      <c r="K101" s="37" t="n">
        <f aca="false">Wk15!D45</f>
        <v>0</v>
      </c>
      <c r="L101" s="37" t="n">
        <f aca="false">Wk15!E45</f>
        <v>0</v>
      </c>
      <c r="M101" s="20" t="n">
        <f aca="false">Wk15!K45</f>
        <v>0</v>
      </c>
    </row>
    <row r="102" customFormat="false" ht="15" hidden="false" customHeight="false" outlineLevel="0" collapsed="false">
      <c r="A102" s="12" t="s">
        <v>137</v>
      </c>
      <c r="B102" s="13" t="n">
        <f aca="false">Wk15!B67</f>
        <v>46127</v>
      </c>
      <c r="C102" s="12" t="str">
        <f aca="false">TEXT(B102,"dddd")</f>
        <v>Wednesday</v>
      </c>
      <c r="D102" s="20" t="n">
        <f aca="false">Wk15!M67</f>
        <v>0</v>
      </c>
      <c r="E102" s="20" t="n">
        <f aca="false">IFERROR(F102-D102,"")</f>
        <v>0</v>
      </c>
      <c r="F102" s="20" t="n">
        <f aca="false">Wk15!H67</f>
        <v>0</v>
      </c>
      <c r="G102" s="12" t="str">
        <f aca="false">IF(Wk15!L67="","",Wk15!L67)</f>
        <v/>
      </c>
      <c r="H102" s="20" t="n">
        <f aca="false">Wk15!R67</f>
        <v>0</v>
      </c>
      <c r="I102" s="20" t="str">
        <f aca="false">IF(OR(F102=0,H102=0),"",F102-H102)</f>
        <v/>
      </c>
      <c r="J102" s="36" t="str">
        <f aca="false">IFERROR(I102/H102,"")</f>
        <v/>
      </c>
      <c r="K102" s="37" t="n">
        <f aca="false">Wk15!D67</f>
        <v>0</v>
      </c>
      <c r="L102" s="37" t="n">
        <f aca="false">Wk15!E67</f>
        <v>0</v>
      </c>
      <c r="M102" s="20" t="n">
        <f aca="false">Wk15!K67</f>
        <v>0</v>
      </c>
    </row>
    <row r="103" customFormat="false" ht="15" hidden="false" customHeight="false" outlineLevel="0" collapsed="false">
      <c r="A103" s="12" t="s">
        <v>137</v>
      </c>
      <c r="B103" s="13" t="n">
        <f aca="false">Wk15!B89</f>
        <v>46128</v>
      </c>
      <c r="C103" s="12" t="str">
        <f aca="false">TEXT(B103,"dddd")</f>
        <v>Thursday</v>
      </c>
      <c r="D103" s="20" t="n">
        <f aca="false">Wk15!M89</f>
        <v>0</v>
      </c>
      <c r="E103" s="20" t="n">
        <f aca="false">IFERROR(F103-D103,"")</f>
        <v>0</v>
      </c>
      <c r="F103" s="20" t="n">
        <f aca="false">Wk15!H89</f>
        <v>0</v>
      </c>
      <c r="G103" s="12" t="str">
        <f aca="false">IF(Wk15!L89="","",Wk15!L89)</f>
        <v/>
      </c>
      <c r="H103" s="20" t="n">
        <f aca="false">Wk15!R89</f>
        <v>0</v>
      </c>
      <c r="I103" s="20" t="str">
        <f aca="false">IF(OR(F103=0,H103=0),"",F103-H103)</f>
        <v/>
      </c>
      <c r="J103" s="36" t="str">
        <f aca="false">IFERROR(I103/H103,"")</f>
        <v/>
      </c>
      <c r="K103" s="37" t="n">
        <f aca="false">Wk15!D89</f>
        <v>0</v>
      </c>
      <c r="L103" s="37" t="n">
        <f aca="false">Wk15!E89</f>
        <v>0</v>
      </c>
      <c r="M103" s="20" t="n">
        <f aca="false">Wk15!K89</f>
        <v>0</v>
      </c>
    </row>
    <row r="104" customFormat="false" ht="15" hidden="false" customHeight="false" outlineLevel="0" collapsed="false">
      <c r="A104" s="12" t="s">
        <v>137</v>
      </c>
      <c r="B104" s="13" t="n">
        <f aca="false">Wk15!B111</f>
        <v>46129</v>
      </c>
      <c r="C104" s="12" t="str">
        <f aca="false">TEXT(B104,"dddd")</f>
        <v>Friday</v>
      </c>
      <c r="D104" s="20" t="n">
        <f aca="false">Wk15!M111</f>
        <v>0</v>
      </c>
      <c r="E104" s="20" t="n">
        <f aca="false">IFERROR(F104-D104,"")</f>
        <v>0</v>
      </c>
      <c r="F104" s="20" t="n">
        <f aca="false">Wk15!H111</f>
        <v>0</v>
      </c>
      <c r="G104" s="12" t="str">
        <f aca="false">IF(Wk15!L111="","",Wk15!L111)</f>
        <v/>
      </c>
      <c r="H104" s="20" t="n">
        <f aca="false">Wk15!R111</f>
        <v>0</v>
      </c>
      <c r="I104" s="20" t="str">
        <f aca="false">IF(OR(F104=0,H104=0),"",F104-H104)</f>
        <v/>
      </c>
      <c r="J104" s="36" t="str">
        <f aca="false">IFERROR(I104/H104,"")</f>
        <v/>
      </c>
      <c r="K104" s="37" t="n">
        <f aca="false">Wk15!D111</f>
        <v>0</v>
      </c>
      <c r="L104" s="37" t="n">
        <f aca="false">Wk15!E111</f>
        <v>0</v>
      </c>
      <c r="M104" s="20" t="n">
        <f aca="false">Wk15!K111</f>
        <v>0</v>
      </c>
    </row>
    <row r="105" customFormat="false" ht="15" hidden="false" customHeight="false" outlineLevel="0" collapsed="false">
      <c r="A105" s="12" t="s">
        <v>137</v>
      </c>
      <c r="B105" s="13" t="n">
        <f aca="false">Wk15!B133</f>
        <v>46130</v>
      </c>
      <c r="C105" s="12" t="str">
        <f aca="false">TEXT(B105,"dddd")</f>
        <v>Saturday</v>
      </c>
      <c r="D105" s="20" t="n">
        <f aca="false">Wk15!M133</f>
        <v>0</v>
      </c>
      <c r="E105" s="20" t="n">
        <f aca="false">IFERROR(F105-D105,"")</f>
        <v>0</v>
      </c>
      <c r="F105" s="20" t="n">
        <f aca="false">Wk15!H133</f>
        <v>0</v>
      </c>
      <c r="G105" s="12" t="str">
        <f aca="false">IF(Wk15!L133="","",Wk15!L133)</f>
        <v/>
      </c>
      <c r="H105" s="20" t="n">
        <f aca="false">Wk15!R133</f>
        <v>0</v>
      </c>
      <c r="I105" s="20" t="str">
        <f aca="false">IF(OR(F105=0,H105=0),"",F105-H105)</f>
        <v/>
      </c>
      <c r="J105" s="36" t="str">
        <f aca="false">IFERROR(I105/H105,"")</f>
        <v/>
      </c>
      <c r="K105" s="37" t="n">
        <f aca="false">Wk15!D133</f>
        <v>0</v>
      </c>
      <c r="L105" s="37" t="n">
        <f aca="false">Wk15!E133</f>
        <v>0</v>
      </c>
      <c r="M105" s="20" t="n">
        <f aca="false">Wk15!K133</f>
        <v>0</v>
      </c>
    </row>
    <row r="106" customFormat="false" ht="15" hidden="false" customHeight="false" outlineLevel="0" collapsed="false">
      <c r="A106" s="12" t="s">
        <v>137</v>
      </c>
      <c r="B106" s="13" t="n">
        <f aca="false">Wk15!B155</f>
        <v>46131</v>
      </c>
      <c r="C106" s="12" t="str">
        <f aca="false">TEXT(B106,"dddd")</f>
        <v>Sunday</v>
      </c>
      <c r="D106" s="20" t="n">
        <f aca="false">Wk15!M155</f>
        <v>0</v>
      </c>
      <c r="E106" s="20" t="n">
        <f aca="false">IFERROR(F106-D106,"")</f>
        <v>0</v>
      </c>
      <c r="F106" s="20" t="n">
        <f aca="false">Wk15!H155</f>
        <v>0</v>
      </c>
      <c r="G106" s="12" t="str">
        <f aca="false">IF(Wk15!L155="","",Wk15!L155)</f>
        <v/>
      </c>
      <c r="H106" s="20" t="n">
        <f aca="false">Wk15!R155</f>
        <v>0</v>
      </c>
      <c r="I106" s="20" t="str">
        <f aca="false">IF(OR(F106=0,H106=0),"",F106-H106)</f>
        <v/>
      </c>
      <c r="J106" s="36" t="str">
        <f aca="false">IFERROR(I106/H106,"")</f>
        <v/>
      </c>
      <c r="K106" s="37" t="n">
        <f aca="false">Wk15!D155</f>
        <v>0</v>
      </c>
      <c r="L106" s="37" t="n">
        <f aca="false">Wk15!E155</f>
        <v>0</v>
      </c>
      <c r="M106" s="20" t="n">
        <f aca="false">Wk15!K155</f>
        <v>0</v>
      </c>
    </row>
    <row r="107" customFormat="false" ht="15" hidden="false" customHeight="false" outlineLevel="0" collapsed="false">
      <c r="A107" s="12" t="s">
        <v>138</v>
      </c>
      <c r="B107" s="13" t="n">
        <f aca="false">Wk16!B23</f>
        <v>46132</v>
      </c>
      <c r="C107" s="12" t="str">
        <f aca="false">TEXT(B107,"dddd")</f>
        <v>Monday</v>
      </c>
      <c r="D107" s="20" t="n">
        <f aca="false">Wk16!M23</f>
        <v>0</v>
      </c>
      <c r="E107" s="20" t="n">
        <f aca="false">IFERROR(F107-D107,"")</f>
        <v>0</v>
      </c>
      <c r="F107" s="20" t="n">
        <f aca="false">Wk16!H23</f>
        <v>0</v>
      </c>
      <c r="G107" s="12" t="str">
        <f aca="false">IF(Wk16!L23="","",Wk16!L23)</f>
        <v/>
      </c>
      <c r="H107" s="20" t="n">
        <f aca="false">Wk16!R23</f>
        <v>0</v>
      </c>
      <c r="I107" s="20" t="str">
        <f aca="false">IF(OR(F107=0,H107=0),"",F107-H107)</f>
        <v/>
      </c>
      <c r="J107" s="36" t="str">
        <f aca="false">IFERROR(I107/H107,"")</f>
        <v/>
      </c>
      <c r="K107" s="37" t="n">
        <f aca="false">Wk16!D23</f>
        <v>0</v>
      </c>
      <c r="L107" s="37" t="n">
        <f aca="false">Wk16!E23</f>
        <v>0</v>
      </c>
      <c r="M107" s="20" t="n">
        <f aca="false">Wk16!K23</f>
        <v>0</v>
      </c>
    </row>
    <row r="108" customFormat="false" ht="15" hidden="false" customHeight="false" outlineLevel="0" collapsed="false">
      <c r="A108" s="12" t="s">
        <v>138</v>
      </c>
      <c r="B108" s="13" t="n">
        <f aca="false">Wk16!B45</f>
        <v>46133</v>
      </c>
      <c r="C108" s="12" t="str">
        <f aca="false">TEXT(B108,"dddd")</f>
        <v>Tuesday</v>
      </c>
      <c r="D108" s="20" t="n">
        <f aca="false">Wk16!M45</f>
        <v>0</v>
      </c>
      <c r="E108" s="20" t="n">
        <f aca="false">IFERROR(F108-D108,"")</f>
        <v>0</v>
      </c>
      <c r="F108" s="20" t="n">
        <f aca="false">Wk16!H45</f>
        <v>0</v>
      </c>
      <c r="G108" s="12" t="str">
        <f aca="false">IF(Wk16!L45="","",Wk16!L45)</f>
        <v/>
      </c>
      <c r="H108" s="20" t="n">
        <f aca="false">Wk16!R45</f>
        <v>0</v>
      </c>
      <c r="I108" s="20" t="str">
        <f aca="false">IF(OR(F108=0,H108=0),"",F108-H108)</f>
        <v/>
      </c>
      <c r="J108" s="36" t="str">
        <f aca="false">IFERROR(I108/H108,"")</f>
        <v/>
      </c>
      <c r="K108" s="37" t="n">
        <f aca="false">Wk16!D45</f>
        <v>0</v>
      </c>
      <c r="L108" s="37" t="n">
        <f aca="false">Wk16!E45</f>
        <v>0</v>
      </c>
      <c r="M108" s="20" t="n">
        <f aca="false">Wk16!K45</f>
        <v>0</v>
      </c>
    </row>
    <row r="109" customFormat="false" ht="15" hidden="false" customHeight="false" outlineLevel="0" collapsed="false">
      <c r="A109" s="12" t="s">
        <v>138</v>
      </c>
      <c r="B109" s="13" t="n">
        <f aca="false">Wk16!B67</f>
        <v>46134</v>
      </c>
      <c r="C109" s="12" t="str">
        <f aca="false">TEXT(B109,"dddd")</f>
        <v>Wednesday</v>
      </c>
      <c r="D109" s="20" t="n">
        <f aca="false">Wk16!M67</f>
        <v>0</v>
      </c>
      <c r="E109" s="20" t="n">
        <f aca="false">IFERROR(F109-D109,"")</f>
        <v>0</v>
      </c>
      <c r="F109" s="20" t="n">
        <f aca="false">Wk16!H67</f>
        <v>0</v>
      </c>
      <c r="G109" s="12" t="str">
        <f aca="false">IF(Wk16!L67="","",Wk16!L67)</f>
        <v/>
      </c>
      <c r="H109" s="20" t="n">
        <f aca="false">Wk16!R67</f>
        <v>0</v>
      </c>
      <c r="I109" s="20" t="str">
        <f aca="false">IF(OR(F109=0,H109=0),"",F109-H109)</f>
        <v/>
      </c>
      <c r="J109" s="36" t="str">
        <f aca="false">IFERROR(I109/H109,"")</f>
        <v/>
      </c>
      <c r="K109" s="37" t="n">
        <f aca="false">Wk16!D67</f>
        <v>0</v>
      </c>
      <c r="L109" s="37" t="n">
        <f aca="false">Wk16!E67</f>
        <v>0</v>
      </c>
      <c r="M109" s="20" t="n">
        <f aca="false">Wk16!K67</f>
        <v>0</v>
      </c>
    </row>
    <row r="110" customFormat="false" ht="15" hidden="false" customHeight="false" outlineLevel="0" collapsed="false">
      <c r="A110" s="12" t="s">
        <v>138</v>
      </c>
      <c r="B110" s="13" t="n">
        <f aca="false">Wk16!B89</f>
        <v>46135</v>
      </c>
      <c r="C110" s="12" t="str">
        <f aca="false">TEXT(B110,"dddd")</f>
        <v>Thursday</v>
      </c>
      <c r="D110" s="20" t="n">
        <f aca="false">Wk16!M89</f>
        <v>0</v>
      </c>
      <c r="E110" s="20" t="n">
        <f aca="false">IFERROR(F110-D110,"")</f>
        <v>0</v>
      </c>
      <c r="F110" s="20" t="n">
        <f aca="false">Wk16!H89</f>
        <v>0</v>
      </c>
      <c r="G110" s="12" t="str">
        <f aca="false">IF(Wk16!L89="","",Wk16!L89)</f>
        <v/>
      </c>
      <c r="H110" s="20" t="n">
        <f aca="false">Wk16!R89</f>
        <v>0</v>
      </c>
      <c r="I110" s="20" t="str">
        <f aca="false">IF(OR(F110=0,H110=0),"",F110-H110)</f>
        <v/>
      </c>
      <c r="J110" s="36" t="str">
        <f aca="false">IFERROR(I110/H110,"")</f>
        <v/>
      </c>
      <c r="K110" s="37" t="n">
        <f aca="false">Wk16!D89</f>
        <v>0</v>
      </c>
      <c r="L110" s="37" t="n">
        <f aca="false">Wk16!E89</f>
        <v>0</v>
      </c>
      <c r="M110" s="20" t="n">
        <f aca="false">Wk16!K89</f>
        <v>0</v>
      </c>
    </row>
    <row r="111" customFormat="false" ht="15" hidden="false" customHeight="false" outlineLevel="0" collapsed="false">
      <c r="A111" s="12" t="s">
        <v>138</v>
      </c>
      <c r="B111" s="13" t="n">
        <f aca="false">Wk16!B111</f>
        <v>46136</v>
      </c>
      <c r="C111" s="12" t="str">
        <f aca="false">TEXT(B111,"dddd")</f>
        <v>Friday</v>
      </c>
      <c r="D111" s="20" t="n">
        <f aca="false">Wk16!M111</f>
        <v>0</v>
      </c>
      <c r="E111" s="20" t="n">
        <f aca="false">IFERROR(F111-D111,"")</f>
        <v>0</v>
      </c>
      <c r="F111" s="20" t="n">
        <f aca="false">Wk16!H111</f>
        <v>0</v>
      </c>
      <c r="G111" s="12" t="str">
        <f aca="false">IF(Wk16!L111="","",Wk16!L111)</f>
        <v/>
      </c>
      <c r="H111" s="20" t="n">
        <f aca="false">Wk16!R111</f>
        <v>0</v>
      </c>
      <c r="I111" s="20" t="str">
        <f aca="false">IF(OR(F111=0,H111=0),"",F111-H111)</f>
        <v/>
      </c>
      <c r="J111" s="36" t="str">
        <f aca="false">IFERROR(I111/H111,"")</f>
        <v/>
      </c>
      <c r="K111" s="37" t="n">
        <f aca="false">Wk16!D111</f>
        <v>0</v>
      </c>
      <c r="L111" s="37" t="n">
        <f aca="false">Wk16!E111</f>
        <v>0</v>
      </c>
      <c r="M111" s="20" t="n">
        <f aca="false">Wk16!K111</f>
        <v>0</v>
      </c>
    </row>
    <row r="112" customFormat="false" ht="15" hidden="false" customHeight="false" outlineLevel="0" collapsed="false">
      <c r="A112" s="12" t="s">
        <v>138</v>
      </c>
      <c r="B112" s="13" t="n">
        <f aca="false">Wk16!B133</f>
        <v>46137</v>
      </c>
      <c r="C112" s="12" t="str">
        <f aca="false">TEXT(B112,"dddd")</f>
        <v>Saturday</v>
      </c>
      <c r="D112" s="20" t="n">
        <f aca="false">Wk16!M133</f>
        <v>0</v>
      </c>
      <c r="E112" s="20" t="n">
        <f aca="false">IFERROR(F112-D112,"")</f>
        <v>0</v>
      </c>
      <c r="F112" s="20" t="n">
        <f aca="false">Wk16!H133</f>
        <v>0</v>
      </c>
      <c r="G112" s="12" t="str">
        <f aca="false">IF(Wk16!L133="","",Wk16!L133)</f>
        <v/>
      </c>
      <c r="H112" s="20" t="n">
        <f aca="false">Wk16!R133</f>
        <v>0</v>
      </c>
      <c r="I112" s="20" t="str">
        <f aca="false">IF(OR(F112=0,H112=0),"",F112-H112)</f>
        <v/>
      </c>
      <c r="J112" s="36" t="str">
        <f aca="false">IFERROR(I112/H112,"")</f>
        <v/>
      </c>
      <c r="K112" s="37" t="n">
        <f aca="false">Wk16!D133</f>
        <v>0</v>
      </c>
      <c r="L112" s="37" t="n">
        <f aca="false">Wk16!E133</f>
        <v>0</v>
      </c>
      <c r="M112" s="20" t="n">
        <f aca="false">Wk16!K133</f>
        <v>0</v>
      </c>
    </row>
    <row r="113" customFormat="false" ht="15" hidden="false" customHeight="false" outlineLevel="0" collapsed="false">
      <c r="A113" s="12" t="s">
        <v>138</v>
      </c>
      <c r="B113" s="13" t="n">
        <f aca="false">Wk16!B155</f>
        <v>46138</v>
      </c>
      <c r="C113" s="12" t="str">
        <f aca="false">TEXT(B113,"dddd")</f>
        <v>Sunday</v>
      </c>
      <c r="D113" s="20" t="n">
        <f aca="false">Wk16!M155</f>
        <v>0</v>
      </c>
      <c r="E113" s="20" t="n">
        <f aca="false">IFERROR(F113-D113,"")</f>
        <v>0</v>
      </c>
      <c r="F113" s="20" t="n">
        <f aca="false">Wk16!H155</f>
        <v>0</v>
      </c>
      <c r="G113" s="12" t="str">
        <f aca="false">IF(Wk16!L155="","",Wk16!L155)</f>
        <v/>
      </c>
      <c r="H113" s="20" t="n">
        <f aca="false">Wk16!R155</f>
        <v>0</v>
      </c>
      <c r="I113" s="20" t="str">
        <f aca="false">IF(OR(F113=0,H113=0),"",F113-H113)</f>
        <v/>
      </c>
      <c r="J113" s="36" t="str">
        <f aca="false">IFERROR(I113/H113,"")</f>
        <v/>
      </c>
      <c r="K113" s="37" t="n">
        <f aca="false">Wk16!D155</f>
        <v>0</v>
      </c>
      <c r="L113" s="37" t="n">
        <f aca="false">Wk16!E155</f>
        <v>0</v>
      </c>
      <c r="M113" s="20" t="n">
        <f aca="false">Wk16!K155</f>
        <v>0</v>
      </c>
    </row>
    <row r="114" customFormat="false" ht="15" hidden="false" customHeight="false" outlineLevel="0" collapsed="false">
      <c r="A114" s="12" t="s">
        <v>139</v>
      </c>
      <c r="B114" s="13" t="n">
        <f aca="false">Wk17!B23</f>
        <v>46139</v>
      </c>
      <c r="C114" s="12" t="str">
        <f aca="false">TEXT(B114,"dddd")</f>
        <v>Monday</v>
      </c>
      <c r="D114" s="20" t="n">
        <f aca="false">Wk17!M23</f>
        <v>0</v>
      </c>
      <c r="E114" s="20" t="n">
        <f aca="false">IFERROR(F114-D114,"")</f>
        <v>0</v>
      </c>
      <c r="F114" s="20" t="n">
        <f aca="false">Wk17!H23</f>
        <v>0</v>
      </c>
      <c r="G114" s="12" t="str">
        <f aca="false">IF(Wk17!L23="","",Wk17!L23)</f>
        <v/>
      </c>
      <c r="H114" s="20" t="n">
        <f aca="false">Wk17!R23</f>
        <v>0</v>
      </c>
      <c r="I114" s="20" t="str">
        <f aca="false">IF(OR(F114=0,H114=0),"",F114-H114)</f>
        <v/>
      </c>
      <c r="J114" s="36" t="str">
        <f aca="false">IFERROR(I114/H114,"")</f>
        <v/>
      </c>
      <c r="K114" s="37" t="n">
        <f aca="false">Wk17!D23</f>
        <v>0</v>
      </c>
      <c r="L114" s="37" t="n">
        <f aca="false">Wk17!E23</f>
        <v>0</v>
      </c>
      <c r="M114" s="20" t="n">
        <f aca="false">Wk17!K23</f>
        <v>0</v>
      </c>
    </row>
    <row r="115" customFormat="false" ht="15" hidden="false" customHeight="false" outlineLevel="0" collapsed="false">
      <c r="A115" s="12" t="s">
        <v>139</v>
      </c>
      <c r="B115" s="13" t="n">
        <f aca="false">Wk17!B45</f>
        <v>46140</v>
      </c>
      <c r="C115" s="12" t="str">
        <f aca="false">TEXT(B115,"dddd")</f>
        <v>Tuesday</v>
      </c>
      <c r="D115" s="20" t="n">
        <f aca="false">Wk17!M45</f>
        <v>0</v>
      </c>
      <c r="E115" s="20" t="n">
        <f aca="false">IFERROR(F115-D115,"")</f>
        <v>0</v>
      </c>
      <c r="F115" s="20" t="n">
        <f aca="false">Wk17!H45</f>
        <v>0</v>
      </c>
      <c r="G115" s="12" t="str">
        <f aca="false">IF(Wk17!L45="","",Wk17!L45)</f>
        <v/>
      </c>
      <c r="H115" s="20" t="n">
        <f aca="false">Wk17!R45</f>
        <v>0</v>
      </c>
      <c r="I115" s="20" t="str">
        <f aca="false">IF(OR(F115=0,H115=0),"",F115-H115)</f>
        <v/>
      </c>
      <c r="J115" s="36" t="str">
        <f aca="false">IFERROR(I115/H115,"")</f>
        <v/>
      </c>
      <c r="K115" s="37" t="n">
        <f aca="false">Wk17!D45</f>
        <v>0</v>
      </c>
      <c r="L115" s="37" t="n">
        <f aca="false">Wk17!E45</f>
        <v>0</v>
      </c>
      <c r="M115" s="20" t="n">
        <f aca="false">Wk17!K45</f>
        <v>0</v>
      </c>
    </row>
    <row r="116" customFormat="false" ht="15" hidden="false" customHeight="false" outlineLevel="0" collapsed="false">
      <c r="A116" s="12" t="s">
        <v>139</v>
      </c>
      <c r="B116" s="13" t="n">
        <f aca="false">Wk17!B67</f>
        <v>46141</v>
      </c>
      <c r="C116" s="12" t="str">
        <f aca="false">TEXT(B116,"dddd")</f>
        <v>Wednesday</v>
      </c>
      <c r="D116" s="20" t="n">
        <f aca="false">Wk17!M67</f>
        <v>0</v>
      </c>
      <c r="E116" s="20" t="n">
        <f aca="false">IFERROR(F116-D116,"")</f>
        <v>0</v>
      </c>
      <c r="F116" s="20" t="n">
        <f aca="false">Wk17!H67</f>
        <v>0</v>
      </c>
      <c r="G116" s="12" t="str">
        <f aca="false">IF(Wk17!L67="","",Wk17!L67)</f>
        <v/>
      </c>
      <c r="H116" s="20" t="n">
        <f aca="false">Wk17!R67</f>
        <v>0</v>
      </c>
      <c r="I116" s="20" t="str">
        <f aca="false">IF(OR(F116=0,H116=0),"",F116-H116)</f>
        <v/>
      </c>
      <c r="J116" s="36" t="str">
        <f aca="false">IFERROR(I116/H116,"")</f>
        <v/>
      </c>
      <c r="K116" s="37" t="n">
        <f aca="false">Wk17!D67</f>
        <v>0</v>
      </c>
      <c r="L116" s="37" t="n">
        <f aca="false">Wk17!E67</f>
        <v>0</v>
      </c>
      <c r="M116" s="20" t="n">
        <f aca="false">Wk17!K67</f>
        <v>0</v>
      </c>
    </row>
    <row r="117" customFormat="false" ht="15" hidden="false" customHeight="false" outlineLevel="0" collapsed="false">
      <c r="A117" s="12" t="s">
        <v>139</v>
      </c>
      <c r="B117" s="13" t="n">
        <f aca="false">Wk17!B89</f>
        <v>46142</v>
      </c>
      <c r="C117" s="12" t="str">
        <f aca="false">TEXT(B117,"dddd")</f>
        <v>Thursday</v>
      </c>
      <c r="D117" s="20" t="n">
        <f aca="false">Wk17!M89</f>
        <v>0</v>
      </c>
      <c r="E117" s="20" t="n">
        <f aca="false">IFERROR(F117-D117,"")</f>
        <v>0</v>
      </c>
      <c r="F117" s="20" t="n">
        <f aca="false">Wk17!H89</f>
        <v>0</v>
      </c>
      <c r="G117" s="12" t="str">
        <f aca="false">IF(Wk17!L89="","",Wk17!L89)</f>
        <v/>
      </c>
      <c r="H117" s="20" t="n">
        <f aca="false">Wk17!R89</f>
        <v>0</v>
      </c>
      <c r="I117" s="20" t="str">
        <f aca="false">IF(OR(F117=0,H117=0),"",F117-H117)</f>
        <v/>
      </c>
      <c r="J117" s="36" t="str">
        <f aca="false">IFERROR(I117/H117,"")</f>
        <v/>
      </c>
      <c r="K117" s="37" t="n">
        <f aca="false">Wk17!D89</f>
        <v>0</v>
      </c>
      <c r="L117" s="37" t="n">
        <f aca="false">Wk17!E89</f>
        <v>0</v>
      </c>
      <c r="M117" s="20" t="n">
        <f aca="false">Wk17!K89</f>
        <v>0</v>
      </c>
    </row>
    <row r="118" customFormat="false" ht="15" hidden="false" customHeight="false" outlineLevel="0" collapsed="false">
      <c r="A118" s="12" t="s">
        <v>139</v>
      </c>
      <c r="B118" s="13" t="n">
        <f aca="false">Wk17!B111</f>
        <v>46143</v>
      </c>
      <c r="C118" s="12" t="str">
        <f aca="false">TEXT(B118,"dddd")</f>
        <v>Friday</v>
      </c>
      <c r="D118" s="20" t="n">
        <f aca="false">Wk17!M111</f>
        <v>0</v>
      </c>
      <c r="E118" s="20" t="n">
        <f aca="false">IFERROR(F118-D118,"")</f>
        <v>0</v>
      </c>
      <c r="F118" s="20" t="n">
        <f aca="false">Wk17!H111</f>
        <v>0</v>
      </c>
      <c r="G118" s="12" t="str">
        <f aca="false">IF(Wk17!L111="","",Wk17!L111)</f>
        <v/>
      </c>
      <c r="H118" s="20" t="n">
        <f aca="false">Wk17!R111</f>
        <v>0</v>
      </c>
      <c r="I118" s="20" t="str">
        <f aca="false">IF(OR(F118=0,H118=0),"",F118-H118)</f>
        <v/>
      </c>
      <c r="J118" s="36" t="str">
        <f aca="false">IFERROR(I118/H118,"")</f>
        <v/>
      </c>
      <c r="K118" s="37" t="n">
        <f aca="false">Wk17!D111</f>
        <v>0</v>
      </c>
      <c r="L118" s="37" t="n">
        <f aca="false">Wk17!E111</f>
        <v>0</v>
      </c>
      <c r="M118" s="20" t="n">
        <f aca="false">Wk17!K111</f>
        <v>0</v>
      </c>
    </row>
    <row r="119" customFormat="false" ht="15" hidden="false" customHeight="false" outlineLevel="0" collapsed="false">
      <c r="A119" s="12" t="s">
        <v>139</v>
      </c>
      <c r="B119" s="13" t="n">
        <f aca="false">Wk17!B133</f>
        <v>46144</v>
      </c>
      <c r="C119" s="12" t="str">
        <f aca="false">TEXT(B119,"dddd")</f>
        <v>Saturday</v>
      </c>
      <c r="D119" s="20" t="n">
        <f aca="false">Wk17!M133</f>
        <v>0</v>
      </c>
      <c r="E119" s="20" t="n">
        <f aca="false">IFERROR(F119-D119,"")</f>
        <v>0</v>
      </c>
      <c r="F119" s="20" t="n">
        <f aca="false">Wk17!H133</f>
        <v>0</v>
      </c>
      <c r="G119" s="12" t="str">
        <f aca="false">IF(Wk17!L133="","",Wk17!L133)</f>
        <v/>
      </c>
      <c r="H119" s="20" t="n">
        <f aca="false">Wk17!R133</f>
        <v>0</v>
      </c>
      <c r="I119" s="20" t="str">
        <f aca="false">IF(OR(F119=0,H119=0),"",F119-H119)</f>
        <v/>
      </c>
      <c r="J119" s="36" t="str">
        <f aca="false">IFERROR(I119/H119,"")</f>
        <v/>
      </c>
      <c r="K119" s="37" t="n">
        <f aca="false">Wk17!D133</f>
        <v>0</v>
      </c>
      <c r="L119" s="37" t="n">
        <f aca="false">Wk17!E133</f>
        <v>0</v>
      </c>
      <c r="M119" s="20" t="n">
        <f aca="false">Wk17!K133</f>
        <v>0</v>
      </c>
    </row>
    <row r="120" customFormat="false" ht="15" hidden="false" customHeight="false" outlineLevel="0" collapsed="false">
      <c r="A120" s="12" t="s">
        <v>139</v>
      </c>
      <c r="B120" s="13" t="n">
        <f aca="false">Wk17!B155</f>
        <v>46145</v>
      </c>
      <c r="C120" s="12" t="str">
        <f aca="false">TEXT(B120,"dddd")</f>
        <v>Sunday</v>
      </c>
      <c r="D120" s="20" t="n">
        <f aca="false">Wk17!M155</f>
        <v>0</v>
      </c>
      <c r="E120" s="20" t="n">
        <f aca="false">IFERROR(F120-D120,"")</f>
        <v>0</v>
      </c>
      <c r="F120" s="20" t="n">
        <f aca="false">Wk17!H155</f>
        <v>0</v>
      </c>
      <c r="G120" s="12" t="str">
        <f aca="false">IF(Wk17!L155="","",Wk17!L155)</f>
        <v/>
      </c>
      <c r="H120" s="20" t="n">
        <f aca="false">Wk17!R155</f>
        <v>0</v>
      </c>
      <c r="I120" s="20" t="str">
        <f aca="false">IF(OR(F120=0,H120=0),"",F120-H120)</f>
        <v/>
      </c>
      <c r="J120" s="36" t="str">
        <f aca="false">IFERROR(I120/H120,"")</f>
        <v/>
      </c>
      <c r="K120" s="37" t="n">
        <f aca="false">Wk17!D155</f>
        <v>0</v>
      </c>
      <c r="L120" s="37" t="n">
        <f aca="false">Wk17!E155</f>
        <v>0</v>
      </c>
      <c r="M120" s="20" t="n">
        <f aca="false">Wk17!K155</f>
        <v>0</v>
      </c>
    </row>
    <row r="121" customFormat="false" ht="15" hidden="false" customHeight="false" outlineLevel="0" collapsed="false">
      <c r="A121" s="12" t="s">
        <v>140</v>
      </c>
      <c r="B121" s="13" t="n">
        <f aca="false">Wk18!B23</f>
        <v>46146</v>
      </c>
      <c r="C121" s="12" t="str">
        <f aca="false">TEXT(B121,"dddd")</f>
        <v>Monday</v>
      </c>
      <c r="D121" s="20" t="n">
        <f aca="false">Wk18!M23</f>
        <v>0</v>
      </c>
      <c r="E121" s="20" t="n">
        <f aca="false">IFERROR(F121-D121,"")</f>
        <v>0</v>
      </c>
      <c r="F121" s="20" t="n">
        <f aca="false">Wk18!H23</f>
        <v>0</v>
      </c>
      <c r="G121" s="12" t="str">
        <f aca="false">IF(Wk18!L23="","",Wk18!L23)</f>
        <v/>
      </c>
      <c r="H121" s="20" t="n">
        <f aca="false">Wk18!R23</f>
        <v>0</v>
      </c>
      <c r="I121" s="20" t="str">
        <f aca="false">IF(OR(F121=0,H121=0),"",F121-H121)</f>
        <v/>
      </c>
      <c r="J121" s="36" t="str">
        <f aca="false">IFERROR(I121/H121,"")</f>
        <v/>
      </c>
      <c r="K121" s="37" t="n">
        <f aca="false">Wk18!D23</f>
        <v>0</v>
      </c>
      <c r="L121" s="37" t="n">
        <f aca="false">Wk18!E23</f>
        <v>0</v>
      </c>
      <c r="M121" s="20" t="n">
        <f aca="false">Wk18!K23</f>
        <v>0</v>
      </c>
    </row>
    <row r="122" customFormat="false" ht="15" hidden="false" customHeight="false" outlineLevel="0" collapsed="false">
      <c r="A122" s="12" t="s">
        <v>140</v>
      </c>
      <c r="B122" s="13" t="n">
        <f aca="false">Wk18!B45</f>
        <v>46147</v>
      </c>
      <c r="C122" s="12" t="str">
        <f aca="false">TEXT(B122,"dddd")</f>
        <v>Tuesday</v>
      </c>
      <c r="D122" s="20" t="n">
        <f aca="false">Wk18!M45</f>
        <v>0</v>
      </c>
      <c r="E122" s="20" t="n">
        <f aca="false">IFERROR(F122-D122,"")</f>
        <v>0</v>
      </c>
      <c r="F122" s="20" t="n">
        <f aca="false">Wk18!H45</f>
        <v>0</v>
      </c>
      <c r="G122" s="12" t="str">
        <f aca="false">IF(Wk18!L45="","",Wk18!L45)</f>
        <v/>
      </c>
      <c r="H122" s="20" t="n">
        <f aca="false">Wk18!R45</f>
        <v>0</v>
      </c>
      <c r="I122" s="20" t="str">
        <f aca="false">IF(OR(F122=0,H122=0),"",F122-H122)</f>
        <v/>
      </c>
      <c r="J122" s="36" t="str">
        <f aca="false">IFERROR(I122/H122,"")</f>
        <v/>
      </c>
      <c r="K122" s="37" t="n">
        <f aca="false">Wk18!D45</f>
        <v>0</v>
      </c>
      <c r="L122" s="37" t="n">
        <f aca="false">Wk18!E45</f>
        <v>0</v>
      </c>
      <c r="M122" s="20" t="n">
        <f aca="false">Wk18!K45</f>
        <v>0</v>
      </c>
    </row>
    <row r="123" customFormat="false" ht="15" hidden="false" customHeight="false" outlineLevel="0" collapsed="false">
      <c r="A123" s="12" t="s">
        <v>140</v>
      </c>
      <c r="B123" s="13" t="n">
        <f aca="false">Wk18!B67</f>
        <v>46148</v>
      </c>
      <c r="C123" s="12" t="str">
        <f aca="false">TEXT(B123,"dddd")</f>
        <v>Wednesday</v>
      </c>
      <c r="D123" s="20" t="n">
        <f aca="false">Wk18!M67</f>
        <v>0</v>
      </c>
      <c r="E123" s="20" t="n">
        <f aca="false">IFERROR(F123-D123,"")</f>
        <v>0</v>
      </c>
      <c r="F123" s="20" t="n">
        <f aca="false">Wk18!H67</f>
        <v>0</v>
      </c>
      <c r="G123" s="12" t="str">
        <f aca="false">IF(Wk18!L67="","",Wk18!L67)</f>
        <v/>
      </c>
      <c r="H123" s="20" t="n">
        <f aca="false">Wk18!R67</f>
        <v>0</v>
      </c>
      <c r="I123" s="20" t="str">
        <f aca="false">IF(OR(F123=0,H123=0),"",F123-H123)</f>
        <v/>
      </c>
      <c r="J123" s="36" t="str">
        <f aca="false">IFERROR(I123/H123,"")</f>
        <v/>
      </c>
      <c r="K123" s="37" t="n">
        <f aca="false">Wk18!D67</f>
        <v>0</v>
      </c>
      <c r="L123" s="37" t="n">
        <f aca="false">Wk18!E67</f>
        <v>0</v>
      </c>
      <c r="M123" s="20" t="n">
        <f aca="false">Wk18!K67</f>
        <v>0</v>
      </c>
    </row>
    <row r="124" customFormat="false" ht="15" hidden="false" customHeight="false" outlineLevel="0" collapsed="false">
      <c r="A124" s="12" t="s">
        <v>140</v>
      </c>
      <c r="B124" s="13" t="n">
        <f aca="false">Wk18!B89</f>
        <v>46149</v>
      </c>
      <c r="C124" s="12" t="str">
        <f aca="false">TEXT(B124,"dddd")</f>
        <v>Thursday</v>
      </c>
      <c r="D124" s="20" t="n">
        <f aca="false">Wk18!M89</f>
        <v>0</v>
      </c>
      <c r="E124" s="20" t="n">
        <f aca="false">IFERROR(F124-D124,"")</f>
        <v>0</v>
      </c>
      <c r="F124" s="20" t="n">
        <f aca="false">Wk18!H89</f>
        <v>0</v>
      </c>
      <c r="G124" s="12" t="str">
        <f aca="false">IF(Wk18!L89="","",Wk18!L89)</f>
        <v/>
      </c>
      <c r="H124" s="20" t="n">
        <f aca="false">Wk18!R89</f>
        <v>0</v>
      </c>
      <c r="I124" s="20" t="str">
        <f aca="false">IF(OR(F124=0,H124=0),"",F124-H124)</f>
        <v/>
      </c>
      <c r="J124" s="36" t="str">
        <f aca="false">IFERROR(I124/H124,"")</f>
        <v/>
      </c>
      <c r="K124" s="37" t="n">
        <f aca="false">Wk18!D89</f>
        <v>0</v>
      </c>
      <c r="L124" s="37" t="n">
        <f aca="false">Wk18!E89</f>
        <v>0</v>
      </c>
      <c r="M124" s="20" t="n">
        <f aca="false">Wk18!K89</f>
        <v>0</v>
      </c>
    </row>
    <row r="125" customFormat="false" ht="15" hidden="false" customHeight="false" outlineLevel="0" collapsed="false">
      <c r="A125" s="12" t="s">
        <v>140</v>
      </c>
      <c r="B125" s="13" t="n">
        <f aca="false">Wk18!B111</f>
        <v>46150</v>
      </c>
      <c r="C125" s="12" t="str">
        <f aca="false">TEXT(B125,"dddd")</f>
        <v>Friday</v>
      </c>
      <c r="D125" s="20" t="n">
        <f aca="false">Wk18!M111</f>
        <v>0</v>
      </c>
      <c r="E125" s="20" t="n">
        <f aca="false">IFERROR(F125-D125,"")</f>
        <v>0</v>
      </c>
      <c r="F125" s="20" t="n">
        <f aca="false">Wk18!H111</f>
        <v>0</v>
      </c>
      <c r="G125" s="12" t="str">
        <f aca="false">IF(Wk18!L111="","",Wk18!L111)</f>
        <v/>
      </c>
      <c r="H125" s="20" t="n">
        <f aca="false">Wk18!R111</f>
        <v>0</v>
      </c>
      <c r="I125" s="20" t="str">
        <f aca="false">IF(OR(F125=0,H125=0),"",F125-H125)</f>
        <v/>
      </c>
      <c r="J125" s="36" t="str">
        <f aca="false">IFERROR(I125/H125,"")</f>
        <v/>
      </c>
      <c r="K125" s="37" t="n">
        <f aca="false">Wk18!D111</f>
        <v>0</v>
      </c>
      <c r="L125" s="37" t="n">
        <f aca="false">Wk18!E111</f>
        <v>0</v>
      </c>
      <c r="M125" s="20" t="n">
        <f aca="false">Wk18!K111</f>
        <v>0</v>
      </c>
    </row>
    <row r="126" customFormat="false" ht="15" hidden="false" customHeight="false" outlineLevel="0" collapsed="false">
      <c r="A126" s="12" t="s">
        <v>140</v>
      </c>
      <c r="B126" s="13" t="n">
        <f aca="false">Wk18!B133</f>
        <v>46151</v>
      </c>
      <c r="C126" s="12" t="str">
        <f aca="false">TEXT(B126,"dddd")</f>
        <v>Saturday</v>
      </c>
      <c r="D126" s="20" t="n">
        <f aca="false">Wk18!M133</f>
        <v>0</v>
      </c>
      <c r="E126" s="20" t="n">
        <f aca="false">IFERROR(F126-D126,"")</f>
        <v>0</v>
      </c>
      <c r="F126" s="20" t="n">
        <f aca="false">Wk18!H133</f>
        <v>0</v>
      </c>
      <c r="G126" s="12" t="str">
        <f aca="false">IF(Wk18!L133="","",Wk18!L133)</f>
        <v/>
      </c>
      <c r="H126" s="20" t="n">
        <f aca="false">Wk18!R133</f>
        <v>0</v>
      </c>
      <c r="I126" s="20" t="str">
        <f aca="false">IF(OR(F126=0,H126=0),"",F126-H126)</f>
        <v/>
      </c>
      <c r="J126" s="36" t="str">
        <f aca="false">IFERROR(I126/H126,"")</f>
        <v/>
      </c>
      <c r="K126" s="37" t="n">
        <f aca="false">Wk18!D133</f>
        <v>0</v>
      </c>
      <c r="L126" s="37" t="n">
        <f aca="false">Wk18!E133</f>
        <v>0</v>
      </c>
      <c r="M126" s="20" t="n">
        <f aca="false">Wk18!K133</f>
        <v>0</v>
      </c>
    </row>
    <row r="127" customFormat="false" ht="15" hidden="false" customHeight="false" outlineLevel="0" collapsed="false">
      <c r="A127" s="12" t="s">
        <v>140</v>
      </c>
      <c r="B127" s="13" t="n">
        <f aca="false">Wk18!B155</f>
        <v>46152</v>
      </c>
      <c r="C127" s="12" t="str">
        <f aca="false">TEXT(B127,"dddd")</f>
        <v>Sunday</v>
      </c>
      <c r="D127" s="20" t="n">
        <f aca="false">Wk18!M155</f>
        <v>0</v>
      </c>
      <c r="E127" s="20" t="n">
        <f aca="false">IFERROR(F127-D127,"")</f>
        <v>0</v>
      </c>
      <c r="F127" s="20" t="n">
        <f aca="false">Wk18!H155</f>
        <v>0</v>
      </c>
      <c r="G127" s="12" t="str">
        <f aca="false">IF(Wk18!L155="","",Wk18!L155)</f>
        <v/>
      </c>
      <c r="H127" s="20" t="n">
        <f aca="false">Wk18!R155</f>
        <v>0</v>
      </c>
      <c r="I127" s="20" t="str">
        <f aca="false">IF(OR(F127=0,H127=0),"",F127-H127)</f>
        <v/>
      </c>
      <c r="J127" s="36" t="str">
        <f aca="false">IFERROR(I127/H127,"")</f>
        <v/>
      </c>
      <c r="K127" s="37" t="n">
        <f aca="false">Wk18!D155</f>
        <v>0</v>
      </c>
      <c r="L127" s="37" t="n">
        <f aca="false">Wk18!E155</f>
        <v>0</v>
      </c>
      <c r="M127" s="20" t="n">
        <f aca="false">Wk18!K155</f>
        <v>0</v>
      </c>
    </row>
    <row r="128" customFormat="false" ht="15" hidden="false" customHeight="false" outlineLevel="0" collapsed="false">
      <c r="A128" s="12" t="s">
        <v>141</v>
      </c>
      <c r="B128" s="13" t="n">
        <f aca="false">Wk19!B23</f>
        <v>46153</v>
      </c>
      <c r="C128" s="12" t="str">
        <f aca="false">TEXT(B128,"dddd")</f>
        <v>Monday</v>
      </c>
      <c r="D128" s="20" t="n">
        <f aca="false">Wk19!M23</f>
        <v>0</v>
      </c>
      <c r="E128" s="20" t="n">
        <f aca="false">IFERROR(F128-D128,"")</f>
        <v>0</v>
      </c>
      <c r="F128" s="20" t="n">
        <f aca="false">Wk19!H23</f>
        <v>0</v>
      </c>
      <c r="G128" s="12" t="str">
        <f aca="false">IF(Wk19!L23="","",Wk19!L23)</f>
        <v/>
      </c>
      <c r="H128" s="20" t="n">
        <f aca="false">Wk19!R23</f>
        <v>0</v>
      </c>
      <c r="I128" s="20" t="str">
        <f aca="false">IF(OR(F128=0,H128=0),"",F128-H128)</f>
        <v/>
      </c>
      <c r="J128" s="36" t="str">
        <f aca="false">IFERROR(I128/H128,"")</f>
        <v/>
      </c>
      <c r="K128" s="37" t="n">
        <f aca="false">Wk19!D23</f>
        <v>0</v>
      </c>
      <c r="L128" s="37" t="n">
        <f aca="false">Wk19!E23</f>
        <v>0</v>
      </c>
      <c r="M128" s="20" t="n">
        <f aca="false">Wk19!K23</f>
        <v>0</v>
      </c>
    </row>
    <row r="129" customFormat="false" ht="15" hidden="false" customHeight="false" outlineLevel="0" collapsed="false">
      <c r="A129" s="12" t="s">
        <v>141</v>
      </c>
      <c r="B129" s="13" t="n">
        <f aca="false">Wk19!B45</f>
        <v>46154</v>
      </c>
      <c r="C129" s="12" t="str">
        <f aca="false">TEXT(B129,"dddd")</f>
        <v>Tuesday</v>
      </c>
      <c r="D129" s="20" t="n">
        <f aca="false">Wk19!M45</f>
        <v>0</v>
      </c>
      <c r="E129" s="20" t="n">
        <f aca="false">IFERROR(F129-D129,"")</f>
        <v>0</v>
      </c>
      <c r="F129" s="20" t="n">
        <f aca="false">Wk19!H45</f>
        <v>0</v>
      </c>
      <c r="G129" s="12" t="str">
        <f aca="false">IF(Wk19!L45="","",Wk19!L45)</f>
        <v/>
      </c>
      <c r="H129" s="20" t="n">
        <f aca="false">Wk19!R45</f>
        <v>0</v>
      </c>
      <c r="I129" s="20" t="str">
        <f aca="false">IF(OR(F129=0,H129=0),"",F129-H129)</f>
        <v/>
      </c>
      <c r="J129" s="36" t="str">
        <f aca="false">IFERROR(I129/H129,"")</f>
        <v/>
      </c>
      <c r="K129" s="37" t="n">
        <f aca="false">Wk19!D45</f>
        <v>0</v>
      </c>
      <c r="L129" s="37" t="n">
        <f aca="false">Wk19!E45</f>
        <v>0</v>
      </c>
      <c r="M129" s="20" t="n">
        <f aca="false">Wk19!K45</f>
        <v>0</v>
      </c>
    </row>
    <row r="130" customFormat="false" ht="15" hidden="false" customHeight="false" outlineLevel="0" collapsed="false">
      <c r="A130" s="12" t="s">
        <v>141</v>
      </c>
      <c r="B130" s="13" t="n">
        <f aca="false">Wk19!B67</f>
        <v>46155</v>
      </c>
      <c r="C130" s="12" t="str">
        <f aca="false">TEXT(B130,"dddd")</f>
        <v>Wednesday</v>
      </c>
      <c r="D130" s="20" t="n">
        <f aca="false">Wk19!M67</f>
        <v>0</v>
      </c>
      <c r="E130" s="20" t="n">
        <f aca="false">IFERROR(F130-D130,"")</f>
        <v>0</v>
      </c>
      <c r="F130" s="20" t="n">
        <f aca="false">Wk19!H67</f>
        <v>0</v>
      </c>
      <c r="G130" s="12" t="str">
        <f aca="false">IF(Wk19!L67="","",Wk19!L67)</f>
        <v/>
      </c>
      <c r="H130" s="20" t="n">
        <f aca="false">Wk19!R67</f>
        <v>0</v>
      </c>
      <c r="I130" s="20" t="str">
        <f aca="false">IF(OR(F130=0,H130=0),"",F130-H130)</f>
        <v/>
      </c>
      <c r="J130" s="36" t="str">
        <f aca="false">IFERROR(I130/H130,"")</f>
        <v/>
      </c>
      <c r="K130" s="37" t="n">
        <f aca="false">Wk19!D67</f>
        <v>0</v>
      </c>
      <c r="L130" s="37" t="n">
        <f aca="false">Wk19!E67</f>
        <v>0</v>
      </c>
      <c r="M130" s="20" t="n">
        <f aca="false">Wk19!K67</f>
        <v>0</v>
      </c>
    </row>
    <row r="131" customFormat="false" ht="15" hidden="false" customHeight="false" outlineLevel="0" collapsed="false">
      <c r="A131" s="12" t="s">
        <v>141</v>
      </c>
      <c r="B131" s="13" t="n">
        <f aca="false">Wk19!B89</f>
        <v>46156</v>
      </c>
      <c r="C131" s="12" t="str">
        <f aca="false">TEXT(B131,"dddd")</f>
        <v>Thursday</v>
      </c>
      <c r="D131" s="20" t="n">
        <f aca="false">Wk19!M89</f>
        <v>0</v>
      </c>
      <c r="E131" s="20" t="n">
        <f aca="false">IFERROR(F131-D131,"")</f>
        <v>0</v>
      </c>
      <c r="F131" s="20" t="n">
        <f aca="false">Wk19!H89</f>
        <v>0</v>
      </c>
      <c r="G131" s="12" t="str">
        <f aca="false">IF(Wk19!L89="","",Wk19!L89)</f>
        <v/>
      </c>
      <c r="H131" s="20" t="n">
        <f aca="false">Wk19!R89</f>
        <v>0</v>
      </c>
      <c r="I131" s="20" t="str">
        <f aca="false">IF(OR(F131=0,H131=0),"",F131-H131)</f>
        <v/>
      </c>
      <c r="J131" s="36" t="str">
        <f aca="false">IFERROR(I131/H131,"")</f>
        <v/>
      </c>
      <c r="K131" s="37" t="n">
        <f aca="false">Wk19!D89</f>
        <v>0</v>
      </c>
      <c r="L131" s="37" t="n">
        <f aca="false">Wk19!E89</f>
        <v>0</v>
      </c>
      <c r="M131" s="20" t="n">
        <f aca="false">Wk19!K89</f>
        <v>0</v>
      </c>
    </row>
    <row r="132" customFormat="false" ht="15" hidden="false" customHeight="false" outlineLevel="0" collapsed="false">
      <c r="A132" s="12" t="s">
        <v>141</v>
      </c>
      <c r="B132" s="13" t="n">
        <f aca="false">Wk19!B111</f>
        <v>46157</v>
      </c>
      <c r="C132" s="12" t="str">
        <f aca="false">TEXT(B132,"dddd")</f>
        <v>Friday</v>
      </c>
      <c r="D132" s="20" t="n">
        <f aca="false">Wk19!M111</f>
        <v>0</v>
      </c>
      <c r="E132" s="20" t="n">
        <f aca="false">IFERROR(F132-D132,"")</f>
        <v>0</v>
      </c>
      <c r="F132" s="20" t="n">
        <f aca="false">Wk19!H111</f>
        <v>0</v>
      </c>
      <c r="G132" s="12" t="str">
        <f aca="false">IF(Wk19!L111="","",Wk19!L111)</f>
        <v/>
      </c>
      <c r="H132" s="20" t="n">
        <f aca="false">Wk19!R111</f>
        <v>0</v>
      </c>
      <c r="I132" s="20" t="str">
        <f aca="false">IF(OR(F132=0,H132=0),"",F132-H132)</f>
        <v/>
      </c>
      <c r="J132" s="36" t="str">
        <f aca="false">IFERROR(I132/H132,"")</f>
        <v/>
      </c>
      <c r="K132" s="37" t="n">
        <f aca="false">Wk19!D111</f>
        <v>0</v>
      </c>
      <c r="L132" s="37" t="n">
        <f aca="false">Wk19!E111</f>
        <v>0</v>
      </c>
      <c r="M132" s="20" t="n">
        <f aca="false">Wk19!K111</f>
        <v>0</v>
      </c>
    </row>
    <row r="133" customFormat="false" ht="15" hidden="false" customHeight="false" outlineLevel="0" collapsed="false">
      <c r="A133" s="12" t="s">
        <v>141</v>
      </c>
      <c r="B133" s="13" t="n">
        <f aca="false">Wk19!B133</f>
        <v>46158</v>
      </c>
      <c r="C133" s="12" t="str">
        <f aca="false">TEXT(B133,"dddd")</f>
        <v>Saturday</v>
      </c>
      <c r="D133" s="20" t="n">
        <f aca="false">Wk19!M133</f>
        <v>0</v>
      </c>
      <c r="E133" s="20" t="n">
        <f aca="false">IFERROR(F133-D133,"")</f>
        <v>0</v>
      </c>
      <c r="F133" s="20" t="n">
        <f aca="false">Wk19!H133</f>
        <v>0</v>
      </c>
      <c r="G133" s="12" t="str">
        <f aca="false">IF(Wk19!L133="","",Wk19!L133)</f>
        <v/>
      </c>
      <c r="H133" s="20" t="n">
        <f aca="false">Wk19!R133</f>
        <v>0</v>
      </c>
      <c r="I133" s="20" t="str">
        <f aca="false">IF(OR(F133=0,H133=0),"",F133-H133)</f>
        <v/>
      </c>
      <c r="J133" s="36" t="str">
        <f aca="false">IFERROR(I133/H133,"")</f>
        <v/>
      </c>
      <c r="K133" s="37" t="n">
        <f aca="false">Wk19!D133</f>
        <v>0</v>
      </c>
      <c r="L133" s="37" t="n">
        <f aca="false">Wk19!E133</f>
        <v>0</v>
      </c>
      <c r="M133" s="20" t="n">
        <f aca="false">Wk19!K133</f>
        <v>0</v>
      </c>
    </row>
    <row r="134" customFormat="false" ht="15" hidden="false" customHeight="false" outlineLevel="0" collapsed="false">
      <c r="A134" s="12" t="s">
        <v>141</v>
      </c>
      <c r="B134" s="13" t="n">
        <f aca="false">Wk19!B155</f>
        <v>46159</v>
      </c>
      <c r="C134" s="12" t="str">
        <f aca="false">TEXT(B134,"dddd")</f>
        <v>Sunday</v>
      </c>
      <c r="D134" s="20" t="n">
        <f aca="false">Wk19!M155</f>
        <v>0</v>
      </c>
      <c r="E134" s="20" t="n">
        <f aca="false">IFERROR(F134-D134,"")</f>
        <v>0</v>
      </c>
      <c r="F134" s="20" t="n">
        <f aca="false">Wk19!H155</f>
        <v>0</v>
      </c>
      <c r="G134" s="12" t="str">
        <f aca="false">IF(Wk19!L155="","",Wk19!L155)</f>
        <v/>
      </c>
      <c r="H134" s="20" t="n">
        <f aca="false">Wk19!R155</f>
        <v>0</v>
      </c>
      <c r="I134" s="20" t="str">
        <f aca="false">IF(OR(F134=0,H134=0),"",F134-H134)</f>
        <v/>
      </c>
      <c r="J134" s="36" t="str">
        <f aca="false">IFERROR(I134/H134,"")</f>
        <v/>
      </c>
      <c r="K134" s="37" t="n">
        <f aca="false">Wk19!D155</f>
        <v>0</v>
      </c>
      <c r="L134" s="37" t="n">
        <f aca="false">Wk19!E155</f>
        <v>0</v>
      </c>
      <c r="M134" s="20" t="n">
        <f aca="false">Wk19!K155</f>
        <v>0</v>
      </c>
    </row>
    <row r="135" customFormat="false" ht="15" hidden="false" customHeight="false" outlineLevel="0" collapsed="false">
      <c r="A135" s="12" t="s">
        <v>142</v>
      </c>
      <c r="B135" s="13" t="n">
        <f aca="false">Wk20!B23</f>
        <v>46160</v>
      </c>
      <c r="C135" s="12" t="str">
        <f aca="false">TEXT(B135,"dddd")</f>
        <v>Monday</v>
      </c>
      <c r="D135" s="20" t="n">
        <f aca="false">Wk20!M23</f>
        <v>0</v>
      </c>
      <c r="E135" s="20" t="n">
        <f aca="false">IFERROR(F135-D135,"")</f>
        <v>0</v>
      </c>
      <c r="F135" s="20" t="n">
        <f aca="false">Wk20!H23</f>
        <v>0</v>
      </c>
      <c r="G135" s="12" t="str">
        <f aca="false">IF(Wk20!L23="","",Wk20!L23)</f>
        <v/>
      </c>
      <c r="H135" s="20" t="n">
        <f aca="false">Wk20!R23</f>
        <v>0</v>
      </c>
      <c r="I135" s="20" t="str">
        <f aca="false">IF(OR(F135=0,H135=0),"",F135-H135)</f>
        <v/>
      </c>
      <c r="J135" s="36" t="str">
        <f aca="false">IFERROR(I135/H135,"")</f>
        <v/>
      </c>
      <c r="K135" s="37" t="n">
        <f aca="false">Wk20!D23</f>
        <v>0</v>
      </c>
      <c r="L135" s="37" t="n">
        <f aca="false">Wk20!E23</f>
        <v>0</v>
      </c>
      <c r="M135" s="20" t="n">
        <f aca="false">Wk20!K23</f>
        <v>0</v>
      </c>
    </row>
    <row r="136" customFormat="false" ht="15" hidden="false" customHeight="false" outlineLevel="0" collapsed="false">
      <c r="A136" s="12" t="s">
        <v>142</v>
      </c>
      <c r="B136" s="13" t="n">
        <f aca="false">Wk20!B45</f>
        <v>46161</v>
      </c>
      <c r="C136" s="12" t="str">
        <f aca="false">TEXT(B136,"dddd")</f>
        <v>Tuesday</v>
      </c>
      <c r="D136" s="20" t="n">
        <f aca="false">Wk20!M45</f>
        <v>0</v>
      </c>
      <c r="E136" s="20" t="n">
        <f aca="false">IFERROR(F136-D136,"")</f>
        <v>0</v>
      </c>
      <c r="F136" s="20" t="n">
        <f aca="false">Wk20!H45</f>
        <v>0</v>
      </c>
      <c r="G136" s="12" t="str">
        <f aca="false">IF(Wk20!L45="","",Wk20!L45)</f>
        <v/>
      </c>
      <c r="H136" s="20" t="n">
        <f aca="false">Wk20!R45</f>
        <v>0</v>
      </c>
      <c r="I136" s="20" t="str">
        <f aca="false">IF(OR(F136=0,H136=0),"",F136-H136)</f>
        <v/>
      </c>
      <c r="J136" s="36" t="str">
        <f aca="false">IFERROR(I136/H136,"")</f>
        <v/>
      </c>
      <c r="K136" s="37" t="n">
        <f aca="false">Wk20!D45</f>
        <v>0</v>
      </c>
      <c r="L136" s="37" t="n">
        <f aca="false">Wk20!E45</f>
        <v>0</v>
      </c>
      <c r="M136" s="20" t="n">
        <f aca="false">Wk20!K45</f>
        <v>0</v>
      </c>
    </row>
    <row r="137" customFormat="false" ht="15" hidden="false" customHeight="false" outlineLevel="0" collapsed="false">
      <c r="A137" s="12" t="s">
        <v>142</v>
      </c>
      <c r="B137" s="13" t="n">
        <f aca="false">Wk20!B67</f>
        <v>46162</v>
      </c>
      <c r="C137" s="12" t="str">
        <f aca="false">TEXT(B137,"dddd")</f>
        <v>Wednesday</v>
      </c>
      <c r="D137" s="20" t="n">
        <f aca="false">Wk20!M67</f>
        <v>0</v>
      </c>
      <c r="E137" s="20" t="n">
        <f aca="false">IFERROR(F137-D137,"")</f>
        <v>0</v>
      </c>
      <c r="F137" s="20" t="n">
        <f aca="false">Wk20!H67</f>
        <v>0</v>
      </c>
      <c r="G137" s="12" t="str">
        <f aca="false">IF(Wk20!L67="","",Wk20!L67)</f>
        <v/>
      </c>
      <c r="H137" s="20" t="n">
        <f aca="false">Wk20!R67</f>
        <v>0</v>
      </c>
      <c r="I137" s="20" t="str">
        <f aca="false">IF(OR(F137=0,H137=0),"",F137-H137)</f>
        <v/>
      </c>
      <c r="J137" s="36" t="str">
        <f aca="false">IFERROR(I137/H137,"")</f>
        <v/>
      </c>
      <c r="K137" s="37" t="n">
        <f aca="false">Wk20!D67</f>
        <v>0</v>
      </c>
      <c r="L137" s="37" t="n">
        <f aca="false">Wk20!E67</f>
        <v>0</v>
      </c>
      <c r="M137" s="20" t="n">
        <f aca="false">Wk20!K67</f>
        <v>0</v>
      </c>
    </row>
    <row r="138" customFormat="false" ht="15" hidden="false" customHeight="false" outlineLevel="0" collapsed="false">
      <c r="A138" s="12" t="s">
        <v>142</v>
      </c>
      <c r="B138" s="13" t="n">
        <f aca="false">Wk20!B89</f>
        <v>46163</v>
      </c>
      <c r="C138" s="12" t="str">
        <f aca="false">TEXT(B138,"dddd")</f>
        <v>Thursday</v>
      </c>
      <c r="D138" s="20" t="n">
        <f aca="false">Wk20!M89</f>
        <v>0</v>
      </c>
      <c r="E138" s="20" t="n">
        <f aca="false">IFERROR(F138-D138,"")</f>
        <v>0</v>
      </c>
      <c r="F138" s="20" t="n">
        <f aca="false">Wk20!H89</f>
        <v>0</v>
      </c>
      <c r="G138" s="12" t="str">
        <f aca="false">IF(Wk20!L89="","",Wk20!L89)</f>
        <v/>
      </c>
      <c r="H138" s="20" t="n">
        <f aca="false">Wk20!R89</f>
        <v>0</v>
      </c>
      <c r="I138" s="20" t="str">
        <f aca="false">IF(OR(F138=0,H138=0),"",F138-H138)</f>
        <v/>
      </c>
      <c r="J138" s="36" t="str">
        <f aca="false">IFERROR(I138/H138,"")</f>
        <v/>
      </c>
      <c r="K138" s="37" t="n">
        <f aca="false">Wk20!D89</f>
        <v>0</v>
      </c>
      <c r="L138" s="37" t="n">
        <f aca="false">Wk20!E89</f>
        <v>0</v>
      </c>
      <c r="M138" s="20" t="n">
        <f aca="false">Wk20!K89</f>
        <v>0</v>
      </c>
    </row>
    <row r="139" customFormat="false" ht="15" hidden="false" customHeight="false" outlineLevel="0" collapsed="false">
      <c r="A139" s="12" t="s">
        <v>142</v>
      </c>
      <c r="B139" s="13" t="n">
        <f aca="false">Wk20!B111</f>
        <v>46164</v>
      </c>
      <c r="C139" s="12" t="str">
        <f aca="false">TEXT(B139,"dddd")</f>
        <v>Friday</v>
      </c>
      <c r="D139" s="20" t="n">
        <f aca="false">Wk20!M111</f>
        <v>0</v>
      </c>
      <c r="E139" s="20" t="n">
        <f aca="false">IFERROR(F139-D139,"")</f>
        <v>0</v>
      </c>
      <c r="F139" s="20" t="n">
        <f aca="false">Wk20!H111</f>
        <v>0</v>
      </c>
      <c r="G139" s="12" t="str">
        <f aca="false">IF(Wk20!L111="","",Wk20!L111)</f>
        <v/>
      </c>
      <c r="H139" s="20" t="n">
        <f aca="false">Wk20!R111</f>
        <v>0</v>
      </c>
      <c r="I139" s="20" t="str">
        <f aca="false">IF(OR(F139=0,H139=0),"",F139-H139)</f>
        <v/>
      </c>
      <c r="J139" s="36" t="str">
        <f aca="false">IFERROR(I139/H139,"")</f>
        <v/>
      </c>
      <c r="K139" s="37" t="n">
        <f aca="false">Wk20!D111</f>
        <v>0</v>
      </c>
      <c r="L139" s="37" t="n">
        <f aca="false">Wk20!E111</f>
        <v>0</v>
      </c>
      <c r="M139" s="20" t="n">
        <f aca="false">Wk20!K111</f>
        <v>0</v>
      </c>
    </row>
    <row r="140" customFormat="false" ht="15" hidden="false" customHeight="false" outlineLevel="0" collapsed="false">
      <c r="A140" s="12" t="s">
        <v>142</v>
      </c>
      <c r="B140" s="13" t="n">
        <f aca="false">Wk20!B133</f>
        <v>46165</v>
      </c>
      <c r="C140" s="12" t="str">
        <f aca="false">TEXT(B140,"dddd")</f>
        <v>Saturday</v>
      </c>
      <c r="D140" s="20" t="n">
        <f aca="false">Wk20!M133</f>
        <v>0</v>
      </c>
      <c r="E140" s="20" t="n">
        <f aca="false">IFERROR(F140-D140,"")</f>
        <v>0</v>
      </c>
      <c r="F140" s="20" t="n">
        <f aca="false">Wk20!H133</f>
        <v>0</v>
      </c>
      <c r="G140" s="12" t="str">
        <f aca="false">IF(Wk20!L133="","",Wk20!L133)</f>
        <v/>
      </c>
      <c r="H140" s="20" t="n">
        <f aca="false">Wk20!R133</f>
        <v>0</v>
      </c>
      <c r="I140" s="20" t="str">
        <f aca="false">IF(OR(F140=0,H140=0),"",F140-H140)</f>
        <v/>
      </c>
      <c r="J140" s="36" t="str">
        <f aca="false">IFERROR(I140/H140,"")</f>
        <v/>
      </c>
      <c r="K140" s="37" t="n">
        <f aca="false">Wk20!D133</f>
        <v>0</v>
      </c>
      <c r="L140" s="37" t="n">
        <f aca="false">Wk20!E133</f>
        <v>0</v>
      </c>
      <c r="M140" s="20" t="n">
        <f aca="false">Wk20!K133</f>
        <v>0</v>
      </c>
    </row>
    <row r="141" customFormat="false" ht="15" hidden="false" customHeight="false" outlineLevel="0" collapsed="false">
      <c r="A141" s="12" t="s">
        <v>142</v>
      </c>
      <c r="B141" s="13" t="n">
        <f aca="false">Wk20!B155</f>
        <v>46166</v>
      </c>
      <c r="C141" s="12" t="str">
        <f aca="false">TEXT(B141,"dddd")</f>
        <v>Sunday</v>
      </c>
      <c r="D141" s="20" t="n">
        <f aca="false">Wk20!M155</f>
        <v>0</v>
      </c>
      <c r="E141" s="20" t="n">
        <f aca="false">IFERROR(F141-D141,"")</f>
        <v>0</v>
      </c>
      <c r="F141" s="20" t="n">
        <f aca="false">Wk20!H155</f>
        <v>0</v>
      </c>
      <c r="G141" s="12" t="str">
        <f aca="false">IF(Wk20!L155="","",Wk20!L155)</f>
        <v/>
      </c>
      <c r="H141" s="20" t="n">
        <f aca="false">Wk20!R155</f>
        <v>0</v>
      </c>
      <c r="I141" s="20" t="str">
        <f aca="false">IF(OR(F141=0,H141=0),"",F141-H141)</f>
        <v/>
      </c>
      <c r="J141" s="36" t="str">
        <f aca="false">IFERROR(I141/H141,"")</f>
        <v/>
      </c>
      <c r="K141" s="37" t="n">
        <f aca="false">Wk20!D155</f>
        <v>0</v>
      </c>
      <c r="L141" s="37" t="n">
        <f aca="false">Wk20!E155</f>
        <v>0</v>
      </c>
      <c r="M141" s="20" t="n">
        <f aca="false">Wk20!K155</f>
        <v>0</v>
      </c>
    </row>
    <row r="142" customFormat="false" ht="15" hidden="false" customHeight="false" outlineLevel="0" collapsed="false">
      <c r="A142" s="12" t="s">
        <v>143</v>
      </c>
      <c r="B142" s="13" t="n">
        <f aca="false">Wk21!B23</f>
        <v>46167</v>
      </c>
      <c r="C142" s="12" t="str">
        <f aca="false">TEXT(B142,"dddd")</f>
        <v>Monday</v>
      </c>
      <c r="D142" s="20" t="n">
        <f aca="false">Wk21!M23</f>
        <v>0</v>
      </c>
      <c r="E142" s="20" t="n">
        <f aca="false">IFERROR(F142-D142,"")</f>
        <v>0</v>
      </c>
      <c r="F142" s="20" t="n">
        <f aca="false">Wk21!H23</f>
        <v>0</v>
      </c>
      <c r="G142" s="12" t="str">
        <f aca="false">IF(Wk21!L23="","",Wk21!L23)</f>
        <v/>
      </c>
      <c r="H142" s="20" t="n">
        <f aca="false">Wk21!R23</f>
        <v>0</v>
      </c>
      <c r="I142" s="20" t="str">
        <f aca="false">IF(OR(F142=0,H142=0),"",F142-H142)</f>
        <v/>
      </c>
      <c r="J142" s="36" t="str">
        <f aca="false">IFERROR(I142/H142,"")</f>
        <v/>
      </c>
      <c r="K142" s="37" t="n">
        <f aca="false">Wk21!D23</f>
        <v>0</v>
      </c>
      <c r="L142" s="37" t="n">
        <f aca="false">Wk21!E23</f>
        <v>0</v>
      </c>
      <c r="M142" s="20" t="n">
        <f aca="false">Wk21!K23</f>
        <v>0</v>
      </c>
    </row>
    <row r="143" customFormat="false" ht="15" hidden="false" customHeight="false" outlineLevel="0" collapsed="false">
      <c r="A143" s="12" t="s">
        <v>143</v>
      </c>
      <c r="B143" s="13" t="n">
        <f aca="false">Wk21!B45</f>
        <v>46168</v>
      </c>
      <c r="C143" s="12" t="str">
        <f aca="false">TEXT(B143,"dddd")</f>
        <v>Tuesday</v>
      </c>
      <c r="D143" s="20" t="n">
        <f aca="false">Wk21!M45</f>
        <v>0</v>
      </c>
      <c r="E143" s="20" t="n">
        <f aca="false">IFERROR(F143-D143,"")</f>
        <v>0</v>
      </c>
      <c r="F143" s="20" t="n">
        <f aca="false">Wk21!H45</f>
        <v>0</v>
      </c>
      <c r="G143" s="12" t="str">
        <f aca="false">IF(Wk21!L45="","",Wk21!L45)</f>
        <v/>
      </c>
      <c r="H143" s="20" t="n">
        <f aca="false">Wk21!R45</f>
        <v>0</v>
      </c>
      <c r="I143" s="20" t="str">
        <f aca="false">IF(OR(F143=0,H143=0),"",F143-H143)</f>
        <v/>
      </c>
      <c r="J143" s="36" t="str">
        <f aca="false">IFERROR(I143/H143,"")</f>
        <v/>
      </c>
      <c r="K143" s="37" t="n">
        <f aca="false">Wk21!D45</f>
        <v>0</v>
      </c>
      <c r="L143" s="37" t="n">
        <f aca="false">Wk21!E45</f>
        <v>0</v>
      </c>
      <c r="M143" s="20" t="n">
        <f aca="false">Wk21!K45</f>
        <v>0</v>
      </c>
    </row>
    <row r="144" customFormat="false" ht="15" hidden="false" customHeight="false" outlineLevel="0" collapsed="false">
      <c r="A144" s="12" t="s">
        <v>143</v>
      </c>
      <c r="B144" s="13" t="n">
        <f aca="false">Wk21!B67</f>
        <v>46169</v>
      </c>
      <c r="C144" s="12" t="str">
        <f aca="false">TEXT(B144,"dddd")</f>
        <v>Wednesday</v>
      </c>
      <c r="D144" s="20" t="n">
        <f aca="false">Wk21!M67</f>
        <v>0</v>
      </c>
      <c r="E144" s="20" t="n">
        <f aca="false">IFERROR(F144-D144,"")</f>
        <v>0</v>
      </c>
      <c r="F144" s="20" t="n">
        <f aca="false">Wk21!H67</f>
        <v>0</v>
      </c>
      <c r="G144" s="12" t="str">
        <f aca="false">IF(Wk21!L67="","",Wk21!L67)</f>
        <v/>
      </c>
      <c r="H144" s="20" t="n">
        <f aca="false">Wk21!R67</f>
        <v>0</v>
      </c>
      <c r="I144" s="20" t="str">
        <f aca="false">IF(OR(F144=0,H144=0),"",F144-H144)</f>
        <v/>
      </c>
      <c r="J144" s="36" t="str">
        <f aca="false">IFERROR(I144/H144,"")</f>
        <v/>
      </c>
      <c r="K144" s="37" t="n">
        <f aca="false">Wk21!D67</f>
        <v>0</v>
      </c>
      <c r="L144" s="37" t="n">
        <f aca="false">Wk21!E67</f>
        <v>0</v>
      </c>
      <c r="M144" s="20" t="n">
        <f aca="false">Wk21!K67</f>
        <v>0</v>
      </c>
    </row>
    <row r="145" customFormat="false" ht="15" hidden="false" customHeight="false" outlineLevel="0" collapsed="false">
      <c r="A145" s="12" t="s">
        <v>143</v>
      </c>
      <c r="B145" s="13" t="n">
        <f aca="false">Wk21!B89</f>
        <v>46170</v>
      </c>
      <c r="C145" s="12" t="str">
        <f aca="false">TEXT(B145,"dddd")</f>
        <v>Thursday</v>
      </c>
      <c r="D145" s="20" t="n">
        <f aca="false">Wk21!M89</f>
        <v>0</v>
      </c>
      <c r="E145" s="20" t="n">
        <f aca="false">IFERROR(F145-D145,"")</f>
        <v>0</v>
      </c>
      <c r="F145" s="20" t="n">
        <f aca="false">Wk21!H89</f>
        <v>0</v>
      </c>
      <c r="G145" s="12" t="str">
        <f aca="false">IF(Wk21!L89="","",Wk21!L89)</f>
        <v/>
      </c>
      <c r="H145" s="20" t="n">
        <f aca="false">Wk21!R89</f>
        <v>0</v>
      </c>
      <c r="I145" s="20" t="str">
        <f aca="false">IF(OR(F145=0,H145=0),"",F145-H145)</f>
        <v/>
      </c>
      <c r="J145" s="36" t="str">
        <f aca="false">IFERROR(I145/H145,"")</f>
        <v/>
      </c>
      <c r="K145" s="37" t="n">
        <f aca="false">Wk21!D89</f>
        <v>0</v>
      </c>
      <c r="L145" s="37" t="n">
        <f aca="false">Wk21!E89</f>
        <v>0</v>
      </c>
      <c r="M145" s="20" t="n">
        <f aca="false">Wk21!K89</f>
        <v>0</v>
      </c>
    </row>
    <row r="146" customFormat="false" ht="15" hidden="false" customHeight="false" outlineLevel="0" collapsed="false">
      <c r="A146" s="12" t="s">
        <v>143</v>
      </c>
      <c r="B146" s="13" t="n">
        <f aca="false">Wk21!B111</f>
        <v>46171</v>
      </c>
      <c r="C146" s="12" t="str">
        <f aca="false">TEXT(B146,"dddd")</f>
        <v>Friday</v>
      </c>
      <c r="D146" s="20" t="n">
        <f aca="false">Wk21!M111</f>
        <v>0</v>
      </c>
      <c r="E146" s="20" t="n">
        <f aca="false">IFERROR(F146-D146,"")</f>
        <v>0</v>
      </c>
      <c r="F146" s="20" t="n">
        <f aca="false">Wk21!H111</f>
        <v>0</v>
      </c>
      <c r="G146" s="12" t="str">
        <f aca="false">IF(Wk21!L111="","",Wk21!L111)</f>
        <v/>
      </c>
      <c r="H146" s="20" t="n">
        <f aca="false">Wk21!R111</f>
        <v>0</v>
      </c>
      <c r="I146" s="20" t="str">
        <f aca="false">IF(OR(F146=0,H146=0),"",F146-H146)</f>
        <v/>
      </c>
      <c r="J146" s="36" t="str">
        <f aca="false">IFERROR(I146/H146,"")</f>
        <v/>
      </c>
      <c r="K146" s="37" t="n">
        <f aca="false">Wk21!D111</f>
        <v>0</v>
      </c>
      <c r="L146" s="37" t="n">
        <f aca="false">Wk21!E111</f>
        <v>0</v>
      </c>
      <c r="M146" s="20" t="n">
        <f aca="false">Wk21!K111</f>
        <v>0</v>
      </c>
    </row>
    <row r="147" customFormat="false" ht="15" hidden="false" customHeight="false" outlineLevel="0" collapsed="false">
      <c r="A147" s="12" t="s">
        <v>143</v>
      </c>
      <c r="B147" s="13" t="n">
        <f aca="false">Wk21!B133</f>
        <v>46172</v>
      </c>
      <c r="C147" s="12" t="str">
        <f aca="false">TEXT(B147,"dddd")</f>
        <v>Saturday</v>
      </c>
      <c r="D147" s="20" t="n">
        <f aca="false">Wk21!M133</f>
        <v>0</v>
      </c>
      <c r="E147" s="20" t="n">
        <f aca="false">IFERROR(F147-D147,"")</f>
        <v>0</v>
      </c>
      <c r="F147" s="20" t="n">
        <f aca="false">Wk21!H133</f>
        <v>0</v>
      </c>
      <c r="G147" s="12" t="str">
        <f aca="false">IF(Wk21!L133="","",Wk21!L133)</f>
        <v/>
      </c>
      <c r="H147" s="20" t="n">
        <f aca="false">Wk21!R133</f>
        <v>0</v>
      </c>
      <c r="I147" s="20" t="str">
        <f aca="false">IF(OR(F147=0,H147=0),"",F147-H147)</f>
        <v/>
      </c>
      <c r="J147" s="36" t="str">
        <f aca="false">IFERROR(I147/H147,"")</f>
        <v/>
      </c>
      <c r="K147" s="37" t="n">
        <f aca="false">Wk21!D133</f>
        <v>0</v>
      </c>
      <c r="L147" s="37" t="n">
        <f aca="false">Wk21!E133</f>
        <v>0</v>
      </c>
      <c r="M147" s="20" t="n">
        <f aca="false">Wk21!K133</f>
        <v>0</v>
      </c>
    </row>
    <row r="148" customFormat="false" ht="15" hidden="false" customHeight="false" outlineLevel="0" collapsed="false">
      <c r="A148" s="12" t="s">
        <v>143</v>
      </c>
      <c r="B148" s="13" t="n">
        <f aca="false">Wk21!B155</f>
        <v>46173</v>
      </c>
      <c r="C148" s="12" t="str">
        <f aca="false">TEXT(B148,"dddd")</f>
        <v>Sunday</v>
      </c>
      <c r="D148" s="20" t="n">
        <f aca="false">Wk21!M155</f>
        <v>0</v>
      </c>
      <c r="E148" s="20" t="n">
        <f aca="false">IFERROR(F148-D148,"")</f>
        <v>0</v>
      </c>
      <c r="F148" s="20" t="n">
        <f aca="false">Wk21!H155</f>
        <v>0</v>
      </c>
      <c r="G148" s="12" t="str">
        <f aca="false">IF(Wk21!L155="","",Wk21!L155)</f>
        <v/>
      </c>
      <c r="H148" s="20" t="n">
        <f aca="false">Wk21!R155</f>
        <v>0</v>
      </c>
      <c r="I148" s="20" t="str">
        <f aca="false">IF(OR(F148=0,H148=0),"",F148-H148)</f>
        <v/>
      </c>
      <c r="J148" s="36" t="str">
        <f aca="false">IFERROR(I148/H148,"")</f>
        <v/>
      </c>
      <c r="K148" s="37" t="n">
        <f aca="false">Wk21!D155</f>
        <v>0</v>
      </c>
      <c r="L148" s="37" t="n">
        <f aca="false">Wk21!E155</f>
        <v>0</v>
      </c>
      <c r="M148" s="20" t="n">
        <f aca="false">Wk21!K155</f>
        <v>0</v>
      </c>
    </row>
    <row r="149" customFormat="false" ht="15" hidden="false" customHeight="false" outlineLevel="0" collapsed="false">
      <c r="A149" s="12" t="s">
        <v>144</v>
      </c>
      <c r="B149" s="13" t="n">
        <f aca="false">Wk22!B23</f>
        <v>46174</v>
      </c>
      <c r="C149" s="12" t="str">
        <f aca="false">TEXT(B149,"dddd")</f>
        <v>Monday</v>
      </c>
      <c r="D149" s="20" t="n">
        <f aca="false">Wk22!M23</f>
        <v>0</v>
      </c>
      <c r="E149" s="20" t="n">
        <f aca="false">IFERROR(F149-D149,"")</f>
        <v>0</v>
      </c>
      <c r="F149" s="20" t="n">
        <f aca="false">Wk22!H23</f>
        <v>0</v>
      </c>
      <c r="G149" s="12" t="str">
        <f aca="false">IF(Wk22!L23="","",Wk22!L23)</f>
        <v/>
      </c>
      <c r="H149" s="20" t="n">
        <f aca="false">Wk22!R23</f>
        <v>0</v>
      </c>
      <c r="I149" s="20" t="str">
        <f aca="false">IF(OR(F149=0,H149=0),"",F149-H149)</f>
        <v/>
      </c>
      <c r="J149" s="36" t="str">
        <f aca="false">IFERROR(I149/H149,"")</f>
        <v/>
      </c>
      <c r="K149" s="37" t="n">
        <f aca="false">Wk22!D23</f>
        <v>0</v>
      </c>
      <c r="L149" s="37" t="n">
        <f aca="false">Wk22!E23</f>
        <v>0</v>
      </c>
      <c r="M149" s="20" t="n">
        <f aca="false">Wk22!K23</f>
        <v>0</v>
      </c>
    </row>
    <row r="150" customFormat="false" ht="15" hidden="false" customHeight="false" outlineLevel="0" collapsed="false">
      <c r="A150" s="12" t="s">
        <v>144</v>
      </c>
      <c r="B150" s="13" t="n">
        <f aca="false">Wk22!B45</f>
        <v>46175</v>
      </c>
      <c r="C150" s="12" t="str">
        <f aca="false">TEXT(B150,"dddd")</f>
        <v>Tuesday</v>
      </c>
      <c r="D150" s="20" t="n">
        <f aca="false">Wk22!M45</f>
        <v>0</v>
      </c>
      <c r="E150" s="20" t="n">
        <f aca="false">IFERROR(F150-D150,"")</f>
        <v>0</v>
      </c>
      <c r="F150" s="20" t="n">
        <f aca="false">Wk22!H45</f>
        <v>0</v>
      </c>
      <c r="G150" s="12" t="str">
        <f aca="false">IF(Wk22!L45="","",Wk22!L45)</f>
        <v/>
      </c>
      <c r="H150" s="20" t="n">
        <f aca="false">Wk22!R45</f>
        <v>0</v>
      </c>
      <c r="I150" s="20" t="str">
        <f aca="false">IF(OR(F150=0,H150=0),"",F150-H150)</f>
        <v/>
      </c>
      <c r="J150" s="36" t="str">
        <f aca="false">IFERROR(I150/H150,"")</f>
        <v/>
      </c>
      <c r="K150" s="37" t="n">
        <f aca="false">Wk22!D45</f>
        <v>0</v>
      </c>
      <c r="L150" s="37" t="n">
        <f aca="false">Wk22!E45</f>
        <v>0</v>
      </c>
      <c r="M150" s="20" t="n">
        <f aca="false">Wk22!K45</f>
        <v>0</v>
      </c>
    </row>
    <row r="151" customFormat="false" ht="15" hidden="false" customHeight="false" outlineLevel="0" collapsed="false">
      <c r="A151" s="12" t="s">
        <v>144</v>
      </c>
      <c r="B151" s="13" t="n">
        <f aca="false">Wk22!B67</f>
        <v>46176</v>
      </c>
      <c r="C151" s="12" t="str">
        <f aca="false">TEXT(B151,"dddd")</f>
        <v>Wednesday</v>
      </c>
      <c r="D151" s="20" t="n">
        <f aca="false">Wk22!M67</f>
        <v>0</v>
      </c>
      <c r="E151" s="20" t="n">
        <f aca="false">IFERROR(F151-D151,"")</f>
        <v>0</v>
      </c>
      <c r="F151" s="20" t="n">
        <f aca="false">Wk22!H67</f>
        <v>0</v>
      </c>
      <c r="G151" s="12" t="str">
        <f aca="false">IF(Wk22!L67="","",Wk22!L67)</f>
        <v/>
      </c>
      <c r="H151" s="20" t="n">
        <f aca="false">Wk22!R67</f>
        <v>0</v>
      </c>
      <c r="I151" s="20" t="str">
        <f aca="false">IF(OR(F151=0,H151=0),"",F151-H151)</f>
        <v/>
      </c>
      <c r="J151" s="36" t="str">
        <f aca="false">IFERROR(I151/H151,"")</f>
        <v/>
      </c>
      <c r="K151" s="37" t="n">
        <f aca="false">Wk22!D67</f>
        <v>0</v>
      </c>
      <c r="L151" s="37" t="n">
        <f aca="false">Wk22!E67</f>
        <v>0</v>
      </c>
      <c r="M151" s="20" t="n">
        <f aca="false">Wk22!K67</f>
        <v>0</v>
      </c>
    </row>
    <row r="152" customFormat="false" ht="15" hidden="false" customHeight="false" outlineLevel="0" collapsed="false">
      <c r="A152" s="12" t="s">
        <v>144</v>
      </c>
      <c r="B152" s="13" t="n">
        <f aca="false">Wk22!B89</f>
        <v>46177</v>
      </c>
      <c r="C152" s="12" t="str">
        <f aca="false">TEXT(B152,"dddd")</f>
        <v>Thursday</v>
      </c>
      <c r="D152" s="20" t="n">
        <f aca="false">Wk22!M89</f>
        <v>0</v>
      </c>
      <c r="E152" s="20" t="n">
        <f aca="false">IFERROR(F152-D152,"")</f>
        <v>0</v>
      </c>
      <c r="F152" s="20" t="n">
        <f aca="false">Wk22!H89</f>
        <v>0</v>
      </c>
      <c r="G152" s="12" t="str">
        <f aca="false">IF(Wk22!L89="","",Wk22!L89)</f>
        <v/>
      </c>
      <c r="H152" s="20" t="n">
        <f aca="false">Wk22!R89</f>
        <v>0</v>
      </c>
      <c r="I152" s="20" t="str">
        <f aca="false">IF(OR(F152=0,H152=0),"",F152-H152)</f>
        <v/>
      </c>
      <c r="J152" s="36" t="str">
        <f aca="false">IFERROR(I152/H152,"")</f>
        <v/>
      </c>
      <c r="K152" s="37" t="n">
        <f aca="false">Wk22!D89</f>
        <v>0</v>
      </c>
      <c r="L152" s="37" t="n">
        <f aca="false">Wk22!E89</f>
        <v>0</v>
      </c>
      <c r="M152" s="20" t="n">
        <f aca="false">Wk22!K89</f>
        <v>0</v>
      </c>
    </row>
    <row r="153" customFormat="false" ht="15" hidden="false" customHeight="false" outlineLevel="0" collapsed="false">
      <c r="A153" s="12" t="s">
        <v>144</v>
      </c>
      <c r="B153" s="13" t="n">
        <f aca="false">Wk22!B111</f>
        <v>46178</v>
      </c>
      <c r="C153" s="12" t="str">
        <f aca="false">TEXT(B153,"dddd")</f>
        <v>Friday</v>
      </c>
      <c r="D153" s="20" t="n">
        <f aca="false">Wk22!M111</f>
        <v>0</v>
      </c>
      <c r="E153" s="20" t="n">
        <f aca="false">IFERROR(F153-D153,"")</f>
        <v>0</v>
      </c>
      <c r="F153" s="20" t="n">
        <f aca="false">Wk22!H111</f>
        <v>0</v>
      </c>
      <c r="G153" s="12" t="str">
        <f aca="false">IF(Wk22!L111="","",Wk22!L111)</f>
        <v/>
      </c>
      <c r="H153" s="20" t="n">
        <f aca="false">Wk22!R111</f>
        <v>0</v>
      </c>
      <c r="I153" s="20" t="str">
        <f aca="false">IF(OR(F153=0,H153=0),"",F153-H153)</f>
        <v/>
      </c>
      <c r="J153" s="36" t="str">
        <f aca="false">IFERROR(I153/H153,"")</f>
        <v/>
      </c>
      <c r="K153" s="37" t="n">
        <f aca="false">Wk22!D111</f>
        <v>0</v>
      </c>
      <c r="L153" s="37" t="n">
        <f aca="false">Wk22!E111</f>
        <v>0</v>
      </c>
      <c r="M153" s="20" t="n">
        <f aca="false">Wk22!K111</f>
        <v>0</v>
      </c>
    </row>
    <row r="154" customFormat="false" ht="15" hidden="false" customHeight="false" outlineLevel="0" collapsed="false">
      <c r="A154" s="12" t="s">
        <v>144</v>
      </c>
      <c r="B154" s="13" t="n">
        <f aca="false">Wk22!B133</f>
        <v>46179</v>
      </c>
      <c r="C154" s="12" t="str">
        <f aca="false">TEXT(B154,"dddd")</f>
        <v>Saturday</v>
      </c>
      <c r="D154" s="20" t="n">
        <f aca="false">Wk22!M133</f>
        <v>0</v>
      </c>
      <c r="E154" s="20" t="n">
        <f aca="false">IFERROR(F154-D154,"")</f>
        <v>0</v>
      </c>
      <c r="F154" s="20" t="n">
        <f aca="false">Wk22!H133</f>
        <v>0</v>
      </c>
      <c r="G154" s="12" t="str">
        <f aca="false">IF(Wk22!L133="","",Wk22!L133)</f>
        <v/>
      </c>
      <c r="H154" s="20" t="n">
        <f aca="false">Wk22!R133</f>
        <v>0</v>
      </c>
      <c r="I154" s="20" t="str">
        <f aca="false">IF(OR(F154=0,H154=0),"",F154-H154)</f>
        <v/>
      </c>
      <c r="J154" s="36" t="str">
        <f aca="false">IFERROR(I154/H154,"")</f>
        <v/>
      </c>
      <c r="K154" s="37" t="n">
        <f aca="false">Wk22!D133</f>
        <v>0</v>
      </c>
      <c r="L154" s="37" t="n">
        <f aca="false">Wk22!E133</f>
        <v>0</v>
      </c>
      <c r="M154" s="20" t="n">
        <f aca="false">Wk22!K133</f>
        <v>0</v>
      </c>
    </row>
    <row r="155" customFormat="false" ht="15" hidden="false" customHeight="false" outlineLevel="0" collapsed="false">
      <c r="A155" s="12" t="s">
        <v>144</v>
      </c>
      <c r="B155" s="13" t="n">
        <f aca="false">Wk22!B155</f>
        <v>46180</v>
      </c>
      <c r="C155" s="12" t="str">
        <f aca="false">TEXT(B155,"dddd")</f>
        <v>Sunday</v>
      </c>
      <c r="D155" s="20" t="n">
        <f aca="false">Wk22!M155</f>
        <v>0</v>
      </c>
      <c r="E155" s="20" t="n">
        <f aca="false">IFERROR(F155-D155,"")</f>
        <v>0</v>
      </c>
      <c r="F155" s="20" t="n">
        <f aca="false">Wk22!H155</f>
        <v>0</v>
      </c>
      <c r="G155" s="12" t="str">
        <f aca="false">IF(Wk22!L155="","",Wk22!L155)</f>
        <v/>
      </c>
      <c r="H155" s="20" t="n">
        <f aca="false">Wk22!R155</f>
        <v>0</v>
      </c>
      <c r="I155" s="20" t="str">
        <f aca="false">IF(OR(F155=0,H155=0),"",F155-H155)</f>
        <v/>
      </c>
      <c r="J155" s="36" t="str">
        <f aca="false">IFERROR(I155/H155,"")</f>
        <v/>
      </c>
      <c r="K155" s="37" t="n">
        <f aca="false">Wk22!D155</f>
        <v>0</v>
      </c>
      <c r="L155" s="37" t="n">
        <f aca="false">Wk22!E155</f>
        <v>0</v>
      </c>
      <c r="M155" s="20" t="n">
        <f aca="false">Wk22!K155</f>
        <v>0</v>
      </c>
    </row>
    <row r="156" customFormat="false" ht="15" hidden="false" customHeight="false" outlineLevel="0" collapsed="false">
      <c r="A156" s="12" t="s">
        <v>145</v>
      </c>
      <c r="B156" s="13" t="n">
        <f aca="false">Wk23!B23</f>
        <v>46181</v>
      </c>
      <c r="C156" s="12" t="str">
        <f aca="false">TEXT(B156,"dddd")</f>
        <v>Monday</v>
      </c>
      <c r="D156" s="20" t="n">
        <f aca="false">Wk23!M23</f>
        <v>0</v>
      </c>
      <c r="E156" s="20" t="n">
        <f aca="false">IFERROR(F156-D156,"")</f>
        <v>0</v>
      </c>
      <c r="F156" s="20" t="n">
        <f aca="false">Wk23!H23</f>
        <v>0</v>
      </c>
      <c r="G156" s="12" t="str">
        <f aca="false">IF(Wk23!L23="","",Wk23!L23)</f>
        <v/>
      </c>
      <c r="H156" s="20" t="n">
        <f aca="false">Wk23!R23</f>
        <v>0</v>
      </c>
      <c r="I156" s="20" t="str">
        <f aca="false">IF(OR(F156=0,H156=0),"",F156-H156)</f>
        <v/>
      </c>
      <c r="J156" s="36" t="str">
        <f aca="false">IFERROR(I156/H156,"")</f>
        <v/>
      </c>
      <c r="K156" s="37" t="n">
        <f aca="false">Wk23!D23</f>
        <v>0</v>
      </c>
      <c r="L156" s="37" t="n">
        <f aca="false">Wk23!E23</f>
        <v>0</v>
      </c>
      <c r="M156" s="20" t="n">
        <f aca="false">Wk23!K23</f>
        <v>0</v>
      </c>
    </row>
    <row r="157" customFormat="false" ht="15" hidden="false" customHeight="false" outlineLevel="0" collapsed="false">
      <c r="A157" s="12" t="s">
        <v>145</v>
      </c>
      <c r="B157" s="13" t="n">
        <f aca="false">Wk23!B45</f>
        <v>46182</v>
      </c>
      <c r="C157" s="12" t="str">
        <f aca="false">TEXT(B157,"dddd")</f>
        <v>Tuesday</v>
      </c>
      <c r="D157" s="20" t="n">
        <f aca="false">Wk23!M45</f>
        <v>0</v>
      </c>
      <c r="E157" s="20" t="n">
        <f aca="false">IFERROR(F157-D157,"")</f>
        <v>0</v>
      </c>
      <c r="F157" s="20" t="n">
        <f aca="false">Wk23!H45</f>
        <v>0</v>
      </c>
      <c r="G157" s="12" t="str">
        <f aca="false">IF(Wk23!L45="","",Wk23!L45)</f>
        <v/>
      </c>
      <c r="H157" s="20" t="n">
        <f aca="false">Wk23!R45</f>
        <v>0</v>
      </c>
      <c r="I157" s="20" t="str">
        <f aca="false">IF(OR(F157=0,H157=0),"",F157-H157)</f>
        <v/>
      </c>
      <c r="J157" s="36" t="str">
        <f aca="false">IFERROR(I157/H157,"")</f>
        <v/>
      </c>
      <c r="K157" s="37" t="n">
        <f aca="false">Wk23!D45</f>
        <v>0</v>
      </c>
      <c r="L157" s="37" t="n">
        <f aca="false">Wk23!E45</f>
        <v>0</v>
      </c>
      <c r="M157" s="20" t="n">
        <f aca="false">Wk23!K45</f>
        <v>0</v>
      </c>
    </row>
    <row r="158" customFormat="false" ht="15" hidden="false" customHeight="false" outlineLevel="0" collapsed="false">
      <c r="A158" s="12" t="s">
        <v>145</v>
      </c>
      <c r="B158" s="13" t="n">
        <f aca="false">Wk23!B67</f>
        <v>46183</v>
      </c>
      <c r="C158" s="12" t="str">
        <f aca="false">TEXT(B158,"dddd")</f>
        <v>Wednesday</v>
      </c>
      <c r="D158" s="20" t="n">
        <f aca="false">Wk23!M67</f>
        <v>0</v>
      </c>
      <c r="E158" s="20" t="n">
        <f aca="false">IFERROR(F158-D158,"")</f>
        <v>0</v>
      </c>
      <c r="F158" s="20" t="n">
        <f aca="false">Wk23!H67</f>
        <v>0</v>
      </c>
      <c r="G158" s="12" t="str">
        <f aca="false">IF(Wk23!L67="","",Wk23!L67)</f>
        <v/>
      </c>
      <c r="H158" s="20" t="n">
        <f aca="false">Wk23!R67</f>
        <v>0</v>
      </c>
      <c r="I158" s="20" t="str">
        <f aca="false">IF(OR(F158=0,H158=0),"",F158-H158)</f>
        <v/>
      </c>
      <c r="J158" s="36" t="str">
        <f aca="false">IFERROR(I158/H158,"")</f>
        <v/>
      </c>
      <c r="K158" s="37" t="n">
        <f aca="false">Wk23!D67</f>
        <v>0</v>
      </c>
      <c r="L158" s="37" t="n">
        <f aca="false">Wk23!E67</f>
        <v>0</v>
      </c>
      <c r="M158" s="20" t="n">
        <f aca="false">Wk23!K67</f>
        <v>0</v>
      </c>
    </row>
    <row r="159" customFormat="false" ht="15" hidden="false" customHeight="false" outlineLevel="0" collapsed="false">
      <c r="A159" s="12" t="s">
        <v>145</v>
      </c>
      <c r="B159" s="13" t="n">
        <f aca="false">Wk23!B89</f>
        <v>46184</v>
      </c>
      <c r="C159" s="12" t="str">
        <f aca="false">TEXT(B159,"dddd")</f>
        <v>Thursday</v>
      </c>
      <c r="D159" s="20" t="n">
        <f aca="false">Wk23!M89</f>
        <v>0</v>
      </c>
      <c r="E159" s="20" t="n">
        <f aca="false">IFERROR(F159-D159,"")</f>
        <v>0</v>
      </c>
      <c r="F159" s="20" t="n">
        <f aca="false">Wk23!H89</f>
        <v>0</v>
      </c>
      <c r="G159" s="12" t="str">
        <f aca="false">IF(Wk23!L89="","",Wk23!L89)</f>
        <v/>
      </c>
      <c r="H159" s="20" t="n">
        <f aca="false">Wk23!R89</f>
        <v>0</v>
      </c>
      <c r="I159" s="20" t="str">
        <f aca="false">IF(OR(F159=0,H159=0),"",F159-H159)</f>
        <v/>
      </c>
      <c r="J159" s="36" t="str">
        <f aca="false">IFERROR(I159/H159,"")</f>
        <v/>
      </c>
      <c r="K159" s="37" t="n">
        <f aca="false">Wk23!D89</f>
        <v>0</v>
      </c>
      <c r="L159" s="37" t="n">
        <f aca="false">Wk23!E89</f>
        <v>0</v>
      </c>
      <c r="M159" s="20" t="n">
        <f aca="false">Wk23!K89</f>
        <v>0</v>
      </c>
    </row>
    <row r="160" customFormat="false" ht="15" hidden="false" customHeight="false" outlineLevel="0" collapsed="false">
      <c r="A160" s="12" t="s">
        <v>145</v>
      </c>
      <c r="B160" s="13" t="n">
        <f aca="false">Wk23!B111</f>
        <v>46185</v>
      </c>
      <c r="C160" s="12" t="str">
        <f aca="false">TEXT(B160,"dddd")</f>
        <v>Friday</v>
      </c>
      <c r="D160" s="20" t="n">
        <f aca="false">Wk23!M111</f>
        <v>0</v>
      </c>
      <c r="E160" s="20" t="n">
        <f aca="false">IFERROR(F160-D160,"")</f>
        <v>0</v>
      </c>
      <c r="F160" s="20" t="n">
        <f aca="false">Wk23!H111</f>
        <v>0</v>
      </c>
      <c r="G160" s="12" t="str">
        <f aca="false">IF(Wk23!L111="","",Wk23!L111)</f>
        <v/>
      </c>
      <c r="H160" s="20" t="n">
        <f aca="false">Wk23!R111</f>
        <v>0</v>
      </c>
      <c r="I160" s="20" t="str">
        <f aca="false">IF(OR(F160=0,H160=0),"",F160-H160)</f>
        <v/>
      </c>
      <c r="J160" s="36" t="str">
        <f aca="false">IFERROR(I160/H160,"")</f>
        <v/>
      </c>
      <c r="K160" s="37" t="n">
        <f aca="false">Wk23!D111</f>
        <v>0</v>
      </c>
      <c r="L160" s="37" t="n">
        <f aca="false">Wk23!E111</f>
        <v>0</v>
      </c>
      <c r="M160" s="20" t="n">
        <f aca="false">Wk23!K111</f>
        <v>0</v>
      </c>
    </row>
    <row r="161" customFormat="false" ht="15" hidden="false" customHeight="false" outlineLevel="0" collapsed="false">
      <c r="A161" s="12" t="s">
        <v>145</v>
      </c>
      <c r="B161" s="13" t="n">
        <f aca="false">Wk23!B133</f>
        <v>46186</v>
      </c>
      <c r="C161" s="12" t="str">
        <f aca="false">TEXT(B161,"dddd")</f>
        <v>Saturday</v>
      </c>
      <c r="D161" s="20" t="n">
        <f aca="false">Wk23!M133</f>
        <v>0</v>
      </c>
      <c r="E161" s="20" t="n">
        <f aca="false">IFERROR(F161-D161,"")</f>
        <v>0</v>
      </c>
      <c r="F161" s="20" t="n">
        <f aca="false">Wk23!H133</f>
        <v>0</v>
      </c>
      <c r="G161" s="12" t="str">
        <f aca="false">IF(Wk23!L133="","",Wk23!L133)</f>
        <v/>
      </c>
      <c r="H161" s="20" t="n">
        <f aca="false">Wk23!R133</f>
        <v>0</v>
      </c>
      <c r="I161" s="20" t="str">
        <f aca="false">IF(OR(F161=0,H161=0),"",F161-H161)</f>
        <v/>
      </c>
      <c r="J161" s="36" t="str">
        <f aca="false">IFERROR(I161/H161,"")</f>
        <v/>
      </c>
      <c r="K161" s="37" t="n">
        <f aca="false">Wk23!D133</f>
        <v>0</v>
      </c>
      <c r="L161" s="37" t="n">
        <f aca="false">Wk23!E133</f>
        <v>0</v>
      </c>
      <c r="M161" s="20" t="n">
        <f aca="false">Wk23!K133</f>
        <v>0</v>
      </c>
    </row>
    <row r="162" customFormat="false" ht="15" hidden="false" customHeight="false" outlineLevel="0" collapsed="false">
      <c r="A162" s="12" t="s">
        <v>145</v>
      </c>
      <c r="B162" s="13" t="n">
        <f aca="false">Wk23!B155</f>
        <v>46187</v>
      </c>
      <c r="C162" s="12" t="str">
        <f aca="false">TEXT(B162,"dddd")</f>
        <v>Sunday</v>
      </c>
      <c r="D162" s="20" t="n">
        <f aca="false">Wk23!M155</f>
        <v>0</v>
      </c>
      <c r="E162" s="20" t="n">
        <f aca="false">IFERROR(F162-D162,"")</f>
        <v>0</v>
      </c>
      <c r="F162" s="20" t="n">
        <f aca="false">Wk23!H155</f>
        <v>0</v>
      </c>
      <c r="G162" s="12" t="str">
        <f aca="false">IF(Wk23!L155="","",Wk23!L155)</f>
        <v/>
      </c>
      <c r="H162" s="20" t="n">
        <f aca="false">Wk23!R155</f>
        <v>0</v>
      </c>
      <c r="I162" s="20" t="str">
        <f aca="false">IF(OR(F162=0,H162=0),"",F162-H162)</f>
        <v/>
      </c>
      <c r="J162" s="36" t="str">
        <f aca="false">IFERROR(I162/H162,"")</f>
        <v/>
      </c>
      <c r="K162" s="37" t="n">
        <f aca="false">Wk23!D155</f>
        <v>0</v>
      </c>
      <c r="L162" s="37" t="n">
        <f aca="false">Wk23!E155</f>
        <v>0</v>
      </c>
      <c r="M162" s="20" t="n">
        <f aca="false">Wk23!K155</f>
        <v>0</v>
      </c>
    </row>
    <row r="163" customFormat="false" ht="15" hidden="false" customHeight="false" outlineLevel="0" collapsed="false">
      <c r="A163" s="12" t="s">
        <v>146</v>
      </c>
      <c r="B163" s="13" t="n">
        <f aca="false">Wk24!B23</f>
        <v>46188</v>
      </c>
      <c r="C163" s="12" t="str">
        <f aca="false">TEXT(B163,"dddd")</f>
        <v>Monday</v>
      </c>
      <c r="D163" s="20" t="n">
        <f aca="false">Wk24!M23</f>
        <v>0</v>
      </c>
      <c r="E163" s="20" t="n">
        <f aca="false">IFERROR(F163-D163,"")</f>
        <v>0</v>
      </c>
      <c r="F163" s="20" t="n">
        <f aca="false">Wk24!H23</f>
        <v>0</v>
      </c>
      <c r="G163" s="12" t="str">
        <f aca="false">IF(Wk24!L23="","",Wk24!L23)</f>
        <v/>
      </c>
      <c r="H163" s="20" t="n">
        <f aca="false">Wk24!R23</f>
        <v>0</v>
      </c>
      <c r="I163" s="20" t="str">
        <f aca="false">IF(OR(F163=0,H163=0),"",F163-H163)</f>
        <v/>
      </c>
      <c r="J163" s="36" t="str">
        <f aca="false">IFERROR(I163/H163,"")</f>
        <v/>
      </c>
      <c r="K163" s="37" t="n">
        <f aca="false">Wk24!D23</f>
        <v>0</v>
      </c>
      <c r="L163" s="37" t="n">
        <f aca="false">Wk24!E23</f>
        <v>0</v>
      </c>
      <c r="M163" s="20" t="n">
        <f aca="false">Wk24!K23</f>
        <v>0</v>
      </c>
    </row>
    <row r="164" customFormat="false" ht="15" hidden="false" customHeight="false" outlineLevel="0" collapsed="false">
      <c r="A164" s="12" t="s">
        <v>146</v>
      </c>
      <c r="B164" s="13" t="n">
        <f aca="false">Wk24!B45</f>
        <v>46189</v>
      </c>
      <c r="C164" s="12" t="str">
        <f aca="false">TEXT(B164,"dddd")</f>
        <v>Tuesday</v>
      </c>
      <c r="D164" s="20" t="n">
        <f aca="false">Wk24!M45</f>
        <v>0</v>
      </c>
      <c r="E164" s="20" t="n">
        <f aca="false">IFERROR(F164-D164,"")</f>
        <v>0</v>
      </c>
      <c r="F164" s="20" t="n">
        <f aca="false">Wk24!H45</f>
        <v>0</v>
      </c>
      <c r="G164" s="12" t="str">
        <f aca="false">IF(Wk24!L45="","",Wk24!L45)</f>
        <v/>
      </c>
      <c r="H164" s="20" t="n">
        <f aca="false">Wk24!R45</f>
        <v>0</v>
      </c>
      <c r="I164" s="20" t="str">
        <f aca="false">IF(OR(F164=0,H164=0),"",F164-H164)</f>
        <v/>
      </c>
      <c r="J164" s="36" t="str">
        <f aca="false">IFERROR(I164/H164,"")</f>
        <v/>
      </c>
      <c r="K164" s="37" t="n">
        <f aca="false">Wk24!D45</f>
        <v>0</v>
      </c>
      <c r="L164" s="37" t="n">
        <f aca="false">Wk24!E45</f>
        <v>0</v>
      </c>
      <c r="M164" s="20" t="n">
        <f aca="false">Wk24!K45</f>
        <v>0</v>
      </c>
    </row>
    <row r="165" customFormat="false" ht="15" hidden="false" customHeight="false" outlineLevel="0" collapsed="false">
      <c r="A165" s="12" t="s">
        <v>146</v>
      </c>
      <c r="B165" s="13" t="n">
        <f aca="false">Wk24!B67</f>
        <v>46190</v>
      </c>
      <c r="C165" s="12" t="str">
        <f aca="false">TEXT(B165,"dddd")</f>
        <v>Wednesday</v>
      </c>
      <c r="D165" s="20" t="n">
        <f aca="false">Wk24!M67</f>
        <v>0</v>
      </c>
      <c r="E165" s="20" t="n">
        <f aca="false">IFERROR(F165-D165,"")</f>
        <v>0</v>
      </c>
      <c r="F165" s="20" t="n">
        <f aca="false">Wk24!H67</f>
        <v>0</v>
      </c>
      <c r="G165" s="12" t="str">
        <f aca="false">IF(Wk24!L67="","",Wk24!L67)</f>
        <v/>
      </c>
      <c r="H165" s="20" t="n">
        <f aca="false">Wk24!R67</f>
        <v>0</v>
      </c>
      <c r="I165" s="20" t="str">
        <f aca="false">IF(OR(F165=0,H165=0),"",F165-H165)</f>
        <v/>
      </c>
      <c r="J165" s="36" t="str">
        <f aca="false">IFERROR(I165/H165,"")</f>
        <v/>
      </c>
      <c r="K165" s="37" t="n">
        <f aca="false">Wk24!D67</f>
        <v>0</v>
      </c>
      <c r="L165" s="37" t="n">
        <f aca="false">Wk24!E67</f>
        <v>0</v>
      </c>
      <c r="M165" s="20" t="n">
        <f aca="false">Wk24!K67</f>
        <v>0</v>
      </c>
    </row>
    <row r="166" customFormat="false" ht="15" hidden="false" customHeight="false" outlineLevel="0" collapsed="false">
      <c r="A166" s="12" t="s">
        <v>146</v>
      </c>
      <c r="B166" s="13" t="n">
        <f aca="false">Wk24!B89</f>
        <v>46191</v>
      </c>
      <c r="C166" s="12" t="str">
        <f aca="false">TEXT(B166,"dddd")</f>
        <v>Thursday</v>
      </c>
      <c r="D166" s="20" t="n">
        <f aca="false">Wk24!M89</f>
        <v>0</v>
      </c>
      <c r="E166" s="20" t="n">
        <f aca="false">IFERROR(F166-D166,"")</f>
        <v>0</v>
      </c>
      <c r="F166" s="20" t="n">
        <f aca="false">Wk24!H89</f>
        <v>0</v>
      </c>
      <c r="G166" s="12" t="str">
        <f aca="false">IF(Wk24!L89="","",Wk24!L89)</f>
        <v/>
      </c>
      <c r="H166" s="20" t="n">
        <f aca="false">Wk24!R89</f>
        <v>0</v>
      </c>
      <c r="I166" s="20" t="str">
        <f aca="false">IF(OR(F166=0,H166=0),"",F166-H166)</f>
        <v/>
      </c>
      <c r="J166" s="36" t="str">
        <f aca="false">IFERROR(I166/H166,"")</f>
        <v/>
      </c>
      <c r="K166" s="37" t="n">
        <f aca="false">Wk24!D89</f>
        <v>0</v>
      </c>
      <c r="L166" s="37" t="n">
        <f aca="false">Wk24!E89</f>
        <v>0</v>
      </c>
      <c r="M166" s="20" t="n">
        <f aca="false">Wk24!K89</f>
        <v>0</v>
      </c>
    </row>
    <row r="167" customFormat="false" ht="15" hidden="false" customHeight="false" outlineLevel="0" collapsed="false">
      <c r="A167" s="12" t="s">
        <v>146</v>
      </c>
      <c r="B167" s="13" t="n">
        <f aca="false">Wk24!B111</f>
        <v>46192</v>
      </c>
      <c r="C167" s="12" t="str">
        <f aca="false">TEXT(B167,"dddd")</f>
        <v>Friday</v>
      </c>
      <c r="D167" s="20" t="n">
        <f aca="false">Wk24!M111</f>
        <v>0</v>
      </c>
      <c r="E167" s="20" t="n">
        <f aca="false">IFERROR(F167-D167,"")</f>
        <v>0</v>
      </c>
      <c r="F167" s="20" t="n">
        <f aca="false">Wk24!H111</f>
        <v>0</v>
      </c>
      <c r="G167" s="12" t="str">
        <f aca="false">IF(Wk24!L111="","",Wk24!L111)</f>
        <v/>
      </c>
      <c r="H167" s="20" t="n">
        <f aca="false">Wk24!R111</f>
        <v>0</v>
      </c>
      <c r="I167" s="20" t="str">
        <f aca="false">IF(OR(F167=0,H167=0),"",F167-H167)</f>
        <v/>
      </c>
      <c r="J167" s="36" t="str">
        <f aca="false">IFERROR(I167/H167,"")</f>
        <v/>
      </c>
      <c r="K167" s="37" t="n">
        <f aca="false">Wk24!D111</f>
        <v>0</v>
      </c>
      <c r="L167" s="37" t="n">
        <f aca="false">Wk24!E111</f>
        <v>0</v>
      </c>
      <c r="M167" s="20" t="n">
        <f aca="false">Wk24!K111</f>
        <v>0</v>
      </c>
    </row>
    <row r="168" customFormat="false" ht="15" hidden="false" customHeight="false" outlineLevel="0" collapsed="false">
      <c r="A168" s="12" t="s">
        <v>146</v>
      </c>
      <c r="B168" s="13" t="n">
        <f aca="false">Wk24!B133</f>
        <v>46193</v>
      </c>
      <c r="C168" s="12" t="str">
        <f aca="false">TEXT(B168,"dddd")</f>
        <v>Saturday</v>
      </c>
      <c r="D168" s="20" t="n">
        <f aca="false">Wk24!M133</f>
        <v>0</v>
      </c>
      <c r="E168" s="20" t="n">
        <f aca="false">IFERROR(F168-D168,"")</f>
        <v>0</v>
      </c>
      <c r="F168" s="20" t="n">
        <f aca="false">Wk24!H133</f>
        <v>0</v>
      </c>
      <c r="G168" s="12" t="str">
        <f aca="false">IF(Wk24!L133="","",Wk24!L133)</f>
        <v/>
      </c>
      <c r="H168" s="20" t="n">
        <f aca="false">Wk24!R133</f>
        <v>0</v>
      </c>
      <c r="I168" s="20" t="str">
        <f aca="false">IF(OR(F168=0,H168=0),"",F168-H168)</f>
        <v/>
      </c>
      <c r="J168" s="36" t="str">
        <f aca="false">IFERROR(I168/H168,"")</f>
        <v/>
      </c>
      <c r="K168" s="37" t="n">
        <f aca="false">Wk24!D133</f>
        <v>0</v>
      </c>
      <c r="L168" s="37" t="n">
        <f aca="false">Wk24!E133</f>
        <v>0</v>
      </c>
      <c r="M168" s="20" t="n">
        <f aca="false">Wk24!K133</f>
        <v>0</v>
      </c>
    </row>
    <row r="169" customFormat="false" ht="15" hidden="false" customHeight="false" outlineLevel="0" collapsed="false">
      <c r="A169" s="12" t="s">
        <v>146</v>
      </c>
      <c r="B169" s="13" t="n">
        <f aca="false">Wk24!B155</f>
        <v>46194</v>
      </c>
      <c r="C169" s="12" t="str">
        <f aca="false">TEXT(B169,"dddd")</f>
        <v>Sunday</v>
      </c>
      <c r="D169" s="20" t="n">
        <f aca="false">Wk24!M155</f>
        <v>0</v>
      </c>
      <c r="E169" s="20" t="n">
        <f aca="false">IFERROR(F169-D169,"")</f>
        <v>0</v>
      </c>
      <c r="F169" s="20" t="n">
        <f aca="false">Wk24!H155</f>
        <v>0</v>
      </c>
      <c r="G169" s="12" t="str">
        <f aca="false">IF(Wk24!L155="","",Wk24!L155)</f>
        <v/>
      </c>
      <c r="H169" s="20" t="n">
        <f aca="false">Wk24!R155</f>
        <v>0</v>
      </c>
      <c r="I169" s="20" t="str">
        <f aca="false">IF(OR(F169=0,H169=0),"",F169-H169)</f>
        <v/>
      </c>
      <c r="J169" s="36" t="str">
        <f aca="false">IFERROR(I169/H169,"")</f>
        <v/>
      </c>
      <c r="K169" s="37" t="n">
        <f aca="false">Wk24!D155</f>
        <v>0</v>
      </c>
      <c r="L169" s="37" t="n">
        <f aca="false">Wk24!E155</f>
        <v>0</v>
      </c>
      <c r="M169" s="20" t="n">
        <f aca="false">Wk24!K155</f>
        <v>0</v>
      </c>
    </row>
    <row r="170" customFormat="false" ht="15" hidden="false" customHeight="false" outlineLevel="0" collapsed="false">
      <c r="A170" s="12" t="s">
        <v>147</v>
      </c>
      <c r="B170" s="13" t="n">
        <f aca="false">Wk25!B23</f>
        <v>46195</v>
      </c>
      <c r="C170" s="12" t="str">
        <f aca="false">TEXT(B170,"dddd")</f>
        <v>Monday</v>
      </c>
      <c r="D170" s="20" t="n">
        <f aca="false">Wk25!M23</f>
        <v>0</v>
      </c>
      <c r="E170" s="20" t="n">
        <f aca="false">IFERROR(F170-D170,"")</f>
        <v>0</v>
      </c>
      <c r="F170" s="20" t="n">
        <f aca="false">Wk25!H23</f>
        <v>0</v>
      </c>
      <c r="G170" s="12" t="str">
        <f aca="false">IF(Wk25!L23="","",Wk25!L23)</f>
        <v/>
      </c>
      <c r="H170" s="20" t="n">
        <f aca="false">Wk25!R23</f>
        <v>0</v>
      </c>
      <c r="I170" s="20" t="str">
        <f aca="false">IF(OR(F170=0,H170=0),"",F170-H170)</f>
        <v/>
      </c>
      <c r="J170" s="36" t="str">
        <f aca="false">IFERROR(I170/H170,"")</f>
        <v/>
      </c>
      <c r="K170" s="37" t="n">
        <f aca="false">Wk25!D23</f>
        <v>0</v>
      </c>
      <c r="L170" s="37" t="n">
        <f aca="false">Wk25!E23</f>
        <v>0</v>
      </c>
      <c r="M170" s="20" t="n">
        <f aca="false">Wk25!K23</f>
        <v>0</v>
      </c>
    </row>
    <row r="171" customFormat="false" ht="15" hidden="false" customHeight="false" outlineLevel="0" collapsed="false">
      <c r="A171" s="12" t="s">
        <v>147</v>
      </c>
      <c r="B171" s="13" t="n">
        <f aca="false">Wk25!B45</f>
        <v>46196</v>
      </c>
      <c r="C171" s="12" t="str">
        <f aca="false">TEXT(B171,"dddd")</f>
        <v>Tuesday</v>
      </c>
      <c r="D171" s="20" t="n">
        <f aca="false">Wk25!M45</f>
        <v>0</v>
      </c>
      <c r="E171" s="20" t="n">
        <f aca="false">IFERROR(F171-D171,"")</f>
        <v>0</v>
      </c>
      <c r="F171" s="20" t="n">
        <f aca="false">Wk25!H45</f>
        <v>0</v>
      </c>
      <c r="G171" s="12" t="str">
        <f aca="false">IF(Wk25!L45="","",Wk25!L45)</f>
        <v/>
      </c>
      <c r="H171" s="20" t="n">
        <f aca="false">Wk25!R45</f>
        <v>0</v>
      </c>
      <c r="I171" s="20" t="str">
        <f aca="false">IF(OR(F171=0,H171=0),"",F171-H171)</f>
        <v/>
      </c>
      <c r="J171" s="36" t="str">
        <f aca="false">IFERROR(I171/H171,"")</f>
        <v/>
      </c>
      <c r="K171" s="37" t="n">
        <f aca="false">Wk25!D45</f>
        <v>0</v>
      </c>
      <c r="L171" s="37" t="n">
        <f aca="false">Wk25!E45</f>
        <v>0</v>
      </c>
      <c r="M171" s="20" t="n">
        <f aca="false">Wk25!K45</f>
        <v>0</v>
      </c>
    </row>
    <row r="172" customFormat="false" ht="15" hidden="false" customHeight="false" outlineLevel="0" collapsed="false">
      <c r="A172" s="12" t="s">
        <v>147</v>
      </c>
      <c r="B172" s="13" t="n">
        <f aca="false">Wk25!B67</f>
        <v>46197</v>
      </c>
      <c r="C172" s="12" t="str">
        <f aca="false">TEXT(B172,"dddd")</f>
        <v>Wednesday</v>
      </c>
      <c r="D172" s="20" t="n">
        <f aca="false">Wk25!M67</f>
        <v>0</v>
      </c>
      <c r="E172" s="20" t="n">
        <f aca="false">IFERROR(F172-D172,"")</f>
        <v>0</v>
      </c>
      <c r="F172" s="20" t="n">
        <f aca="false">Wk25!H67</f>
        <v>0</v>
      </c>
      <c r="G172" s="12" t="str">
        <f aca="false">IF(Wk25!L67="","",Wk25!L67)</f>
        <v/>
      </c>
      <c r="H172" s="20" t="n">
        <f aca="false">Wk25!R67</f>
        <v>0</v>
      </c>
      <c r="I172" s="20" t="str">
        <f aca="false">IF(OR(F172=0,H172=0),"",F172-H172)</f>
        <v/>
      </c>
      <c r="J172" s="36" t="str">
        <f aca="false">IFERROR(I172/H172,"")</f>
        <v/>
      </c>
      <c r="K172" s="37" t="n">
        <f aca="false">Wk25!D67</f>
        <v>0</v>
      </c>
      <c r="L172" s="37" t="n">
        <f aca="false">Wk25!E67</f>
        <v>0</v>
      </c>
      <c r="M172" s="20" t="n">
        <f aca="false">Wk25!K67</f>
        <v>0</v>
      </c>
    </row>
    <row r="173" customFormat="false" ht="15" hidden="false" customHeight="false" outlineLevel="0" collapsed="false">
      <c r="A173" s="12" t="s">
        <v>147</v>
      </c>
      <c r="B173" s="13" t="n">
        <f aca="false">Wk25!B89</f>
        <v>46198</v>
      </c>
      <c r="C173" s="12" t="str">
        <f aca="false">TEXT(B173,"dddd")</f>
        <v>Thursday</v>
      </c>
      <c r="D173" s="20" t="n">
        <f aca="false">Wk25!M89</f>
        <v>0</v>
      </c>
      <c r="E173" s="20" t="n">
        <f aca="false">IFERROR(F173-D173,"")</f>
        <v>0</v>
      </c>
      <c r="F173" s="20" t="n">
        <f aca="false">Wk25!H89</f>
        <v>0</v>
      </c>
      <c r="G173" s="12" t="str">
        <f aca="false">IF(Wk25!L89="","",Wk25!L89)</f>
        <v/>
      </c>
      <c r="H173" s="20" t="n">
        <f aca="false">Wk25!R89</f>
        <v>0</v>
      </c>
      <c r="I173" s="20" t="str">
        <f aca="false">IF(OR(F173=0,H173=0),"",F173-H173)</f>
        <v/>
      </c>
      <c r="J173" s="36" t="str">
        <f aca="false">IFERROR(I173/H173,"")</f>
        <v/>
      </c>
      <c r="K173" s="37" t="n">
        <f aca="false">Wk25!D89</f>
        <v>0</v>
      </c>
      <c r="L173" s="37" t="n">
        <f aca="false">Wk25!E89</f>
        <v>0</v>
      </c>
      <c r="M173" s="20" t="n">
        <f aca="false">Wk25!K89</f>
        <v>0</v>
      </c>
    </row>
    <row r="174" customFormat="false" ht="15" hidden="false" customHeight="false" outlineLevel="0" collapsed="false">
      <c r="A174" s="12" t="s">
        <v>147</v>
      </c>
      <c r="B174" s="13" t="n">
        <f aca="false">Wk25!B111</f>
        <v>46199</v>
      </c>
      <c r="C174" s="12" t="str">
        <f aca="false">TEXT(B174,"dddd")</f>
        <v>Friday</v>
      </c>
      <c r="D174" s="20" t="n">
        <f aca="false">Wk25!M111</f>
        <v>0</v>
      </c>
      <c r="E174" s="20" t="n">
        <f aca="false">IFERROR(F174-D174,"")</f>
        <v>0</v>
      </c>
      <c r="F174" s="20" t="n">
        <f aca="false">Wk25!H111</f>
        <v>0</v>
      </c>
      <c r="G174" s="12" t="str">
        <f aca="false">IF(Wk25!L111="","",Wk25!L111)</f>
        <v/>
      </c>
      <c r="H174" s="20" t="n">
        <f aca="false">Wk25!R111</f>
        <v>0</v>
      </c>
      <c r="I174" s="20" t="str">
        <f aca="false">IF(OR(F174=0,H174=0),"",F174-H174)</f>
        <v/>
      </c>
      <c r="J174" s="36" t="str">
        <f aca="false">IFERROR(I174/H174,"")</f>
        <v/>
      </c>
      <c r="K174" s="37" t="n">
        <f aca="false">Wk25!D111</f>
        <v>0</v>
      </c>
      <c r="L174" s="37" t="n">
        <f aca="false">Wk25!E111</f>
        <v>0</v>
      </c>
      <c r="M174" s="20" t="n">
        <f aca="false">Wk25!K111</f>
        <v>0</v>
      </c>
    </row>
    <row r="175" customFormat="false" ht="15" hidden="false" customHeight="false" outlineLevel="0" collapsed="false">
      <c r="A175" s="12" t="s">
        <v>147</v>
      </c>
      <c r="B175" s="13" t="n">
        <f aca="false">Wk25!B133</f>
        <v>46200</v>
      </c>
      <c r="C175" s="12" t="str">
        <f aca="false">TEXT(B175,"dddd")</f>
        <v>Saturday</v>
      </c>
      <c r="D175" s="20" t="n">
        <f aca="false">Wk25!M133</f>
        <v>0</v>
      </c>
      <c r="E175" s="20" t="n">
        <f aca="false">IFERROR(F175-D175,"")</f>
        <v>0</v>
      </c>
      <c r="F175" s="20" t="n">
        <f aca="false">Wk25!H133</f>
        <v>0</v>
      </c>
      <c r="G175" s="12" t="str">
        <f aca="false">IF(Wk25!L133="","",Wk25!L133)</f>
        <v/>
      </c>
      <c r="H175" s="20" t="n">
        <f aca="false">Wk25!R133</f>
        <v>0</v>
      </c>
      <c r="I175" s="20" t="str">
        <f aca="false">IF(OR(F175=0,H175=0),"",F175-H175)</f>
        <v/>
      </c>
      <c r="J175" s="36" t="str">
        <f aca="false">IFERROR(I175/H175,"")</f>
        <v/>
      </c>
      <c r="K175" s="37" t="n">
        <f aca="false">Wk25!D133</f>
        <v>0</v>
      </c>
      <c r="L175" s="37" t="n">
        <f aca="false">Wk25!E133</f>
        <v>0</v>
      </c>
      <c r="M175" s="20" t="n">
        <f aca="false">Wk25!K133</f>
        <v>0</v>
      </c>
    </row>
    <row r="176" customFormat="false" ht="15" hidden="false" customHeight="false" outlineLevel="0" collapsed="false">
      <c r="A176" s="12" t="s">
        <v>147</v>
      </c>
      <c r="B176" s="13" t="n">
        <f aca="false">Wk25!B155</f>
        <v>46201</v>
      </c>
      <c r="C176" s="12" t="str">
        <f aca="false">TEXT(B176,"dddd")</f>
        <v>Sunday</v>
      </c>
      <c r="D176" s="20" t="n">
        <f aca="false">Wk25!M155</f>
        <v>0</v>
      </c>
      <c r="E176" s="20" t="n">
        <f aca="false">IFERROR(F176-D176,"")</f>
        <v>0</v>
      </c>
      <c r="F176" s="20" t="n">
        <f aca="false">Wk25!H155</f>
        <v>0</v>
      </c>
      <c r="G176" s="12" t="str">
        <f aca="false">IF(Wk25!L155="","",Wk25!L155)</f>
        <v/>
      </c>
      <c r="H176" s="20" t="n">
        <f aca="false">Wk25!R155</f>
        <v>0</v>
      </c>
      <c r="I176" s="20" t="str">
        <f aca="false">IF(OR(F176=0,H176=0),"",F176-H176)</f>
        <v/>
      </c>
      <c r="J176" s="36" t="str">
        <f aca="false">IFERROR(I176/H176,"")</f>
        <v/>
      </c>
      <c r="K176" s="37" t="n">
        <f aca="false">Wk25!D155</f>
        <v>0</v>
      </c>
      <c r="L176" s="37" t="n">
        <f aca="false">Wk25!E155</f>
        <v>0</v>
      </c>
      <c r="M176" s="20" t="n">
        <f aca="false">Wk25!K155</f>
        <v>0</v>
      </c>
    </row>
    <row r="177" customFormat="false" ht="15" hidden="false" customHeight="false" outlineLevel="0" collapsed="false">
      <c r="A177" s="12" t="s">
        <v>148</v>
      </c>
      <c r="B177" s="13" t="n">
        <f aca="false">Wk26!B23</f>
        <v>46202</v>
      </c>
      <c r="C177" s="12" t="str">
        <f aca="false">TEXT(B177,"dddd")</f>
        <v>Monday</v>
      </c>
      <c r="D177" s="20" t="n">
        <f aca="false">Wk26!M23</f>
        <v>0</v>
      </c>
      <c r="E177" s="20" t="n">
        <f aca="false">IFERROR(F177-D177,"")</f>
        <v>0</v>
      </c>
      <c r="F177" s="20" t="n">
        <f aca="false">Wk26!H23</f>
        <v>0</v>
      </c>
      <c r="G177" s="12" t="str">
        <f aca="false">IF(Wk26!L23="","",Wk26!L23)</f>
        <v/>
      </c>
      <c r="H177" s="20" t="n">
        <f aca="false">Wk26!R23</f>
        <v>0</v>
      </c>
      <c r="I177" s="20" t="str">
        <f aca="false">IF(OR(F177=0,H177=0),"",F177-H177)</f>
        <v/>
      </c>
      <c r="J177" s="36" t="str">
        <f aca="false">IFERROR(I177/H177,"")</f>
        <v/>
      </c>
      <c r="K177" s="37" t="n">
        <f aca="false">Wk26!D23</f>
        <v>0</v>
      </c>
      <c r="L177" s="37" t="n">
        <f aca="false">Wk26!E23</f>
        <v>0</v>
      </c>
      <c r="M177" s="20" t="n">
        <f aca="false">Wk26!K23</f>
        <v>0</v>
      </c>
    </row>
    <row r="178" customFormat="false" ht="15" hidden="false" customHeight="false" outlineLevel="0" collapsed="false">
      <c r="A178" s="12" t="s">
        <v>148</v>
      </c>
      <c r="B178" s="13" t="n">
        <f aca="false">Wk26!B45</f>
        <v>46203</v>
      </c>
      <c r="C178" s="12" t="str">
        <f aca="false">TEXT(B178,"dddd")</f>
        <v>Tuesday</v>
      </c>
      <c r="D178" s="20" t="n">
        <f aca="false">Wk26!M45</f>
        <v>0</v>
      </c>
      <c r="E178" s="20" t="n">
        <f aca="false">IFERROR(F178-D178,"")</f>
        <v>0</v>
      </c>
      <c r="F178" s="20" t="n">
        <f aca="false">Wk26!H45</f>
        <v>0</v>
      </c>
      <c r="G178" s="12" t="str">
        <f aca="false">IF(Wk26!L45="","",Wk26!L45)</f>
        <v/>
      </c>
      <c r="H178" s="20" t="n">
        <f aca="false">Wk26!R45</f>
        <v>0</v>
      </c>
      <c r="I178" s="20" t="str">
        <f aca="false">IF(OR(F178=0,H178=0),"",F178-H178)</f>
        <v/>
      </c>
      <c r="J178" s="36" t="str">
        <f aca="false">IFERROR(I178/H178,"")</f>
        <v/>
      </c>
      <c r="K178" s="37" t="n">
        <f aca="false">Wk26!D45</f>
        <v>0</v>
      </c>
      <c r="L178" s="37" t="n">
        <f aca="false">Wk26!E45</f>
        <v>0</v>
      </c>
      <c r="M178" s="20" t="n">
        <f aca="false">Wk26!K45</f>
        <v>0</v>
      </c>
    </row>
    <row r="179" customFormat="false" ht="15" hidden="false" customHeight="false" outlineLevel="0" collapsed="false">
      <c r="A179" s="12" t="s">
        <v>148</v>
      </c>
      <c r="B179" s="13" t="n">
        <f aca="false">Wk26!B67</f>
        <v>46204</v>
      </c>
      <c r="C179" s="12" t="str">
        <f aca="false">TEXT(B179,"dddd")</f>
        <v>Wednesday</v>
      </c>
      <c r="D179" s="20" t="n">
        <f aca="false">Wk26!M67</f>
        <v>0</v>
      </c>
      <c r="E179" s="20" t="n">
        <f aca="false">IFERROR(F179-D179,"")</f>
        <v>0</v>
      </c>
      <c r="F179" s="20" t="n">
        <f aca="false">Wk26!H67</f>
        <v>0</v>
      </c>
      <c r="G179" s="12" t="str">
        <f aca="false">IF(Wk26!L67="","",Wk26!L67)</f>
        <v/>
      </c>
      <c r="H179" s="20" t="n">
        <f aca="false">Wk26!R67</f>
        <v>0</v>
      </c>
      <c r="I179" s="20" t="str">
        <f aca="false">IF(OR(F179=0,H179=0),"",F179-H179)</f>
        <v/>
      </c>
      <c r="J179" s="36" t="str">
        <f aca="false">IFERROR(I179/H179,"")</f>
        <v/>
      </c>
      <c r="K179" s="37" t="n">
        <f aca="false">Wk26!D67</f>
        <v>0</v>
      </c>
      <c r="L179" s="37" t="n">
        <f aca="false">Wk26!E67</f>
        <v>0</v>
      </c>
      <c r="M179" s="20" t="n">
        <f aca="false">Wk26!K67</f>
        <v>0</v>
      </c>
    </row>
    <row r="180" customFormat="false" ht="15" hidden="false" customHeight="false" outlineLevel="0" collapsed="false">
      <c r="A180" s="12" t="s">
        <v>148</v>
      </c>
      <c r="B180" s="13" t="n">
        <f aca="false">Wk26!B89</f>
        <v>46205</v>
      </c>
      <c r="C180" s="12" t="str">
        <f aca="false">TEXT(B180,"dddd")</f>
        <v>Thursday</v>
      </c>
      <c r="D180" s="20" t="n">
        <f aca="false">Wk26!M89</f>
        <v>0</v>
      </c>
      <c r="E180" s="20" t="n">
        <f aca="false">IFERROR(F180-D180,"")</f>
        <v>0</v>
      </c>
      <c r="F180" s="20" t="n">
        <f aca="false">Wk26!H89</f>
        <v>0</v>
      </c>
      <c r="G180" s="12" t="str">
        <f aca="false">IF(Wk26!L89="","",Wk26!L89)</f>
        <v/>
      </c>
      <c r="H180" s="20" t="n">
        <f aca="false">Wk26!R89</f>
        <v>0</v>
      </c>
      <c r="I180" s="20" t="str">
        <f aca="false">IF(OR(F180=0,H180=0),"",F180-H180)</f>
        <v/>
      </c>
      <c r="J180" s="36" t="str">
        <f aca="false">IFERROR(I180/H180,"")</f>
        <v/>
      </c>
      <c r="K180" s="37" t="n">
        <f aca="false">Wk26!D89</f>
        <v>0</v>
      </c>
      <c r="L180" s="37" t="n">
        <f aca="false">Wk26!E89</f>
        <v>0</v>
      </c>
      <c r="M180" s="20" t="n">
        <f aca="false">Wk26!K89</f>
        <v>0</v>
      </c>
    </row>
    <row r="181" customFormat="false" ht="15" hidden="false" customHeight="false" outlineLevel="0" collapsed="false">
      <c r="A181" s="12" t="s">
        <v>148</v>
      </c>
      <c r="B181" s="13" t="n">
        <f aca="false">Wk26!B111</f>
        <v>46206</v>
      </c>
      <c r="C181" s="12" t="str">
        <f aca="false">TEXT(B181,"dddd")</f>
        <v>Friday</v>
      </c>
      <c r="D181" s="20" t="n">
        <f aca="false">Wk26!M111</f>
        <v>0</v>
      </c>
      <c r="E181" s="20" t="n">
        <f aca="false">IFERROR(F181-D181,"")</f>
        <v>0</v>
      </c>
      <c r="F181" s="20" t="n">
        <f aca="false">Wk26!H111</f>
        <v>0</v>
      </c>
      <c r="G181" s="12" t="str">
        <f aca="false">IF(Wk26!L111="","",Wk26!L111)</f>
        <v/>
      </c>
      <c r="H181" s="20" t="n">
        <f aca="false">Wk26!R111</f>
        <v>0</v>
      </c>
      <c r="I181" s="20" t="str">
        <f aca="false">IF(OR(F181=0,H181=0),"",F181-H181)</f>
        <v/>
      </c>
      <c r="J181" s="36" t="str">
        <f aca="false">IFERROR(I181/H181,"")</f>
        <v/>
      </c>
      <c r="K181" s="37" t="n">
        <f aca="false">Wk26!D111</f>
        <v>0</v>
      </c>
      <c r="L181" s="37" t="n">
        <f aca="false">Wk26!E111</f>
        <v>0</v>
      </c>
      <c r="M181" s="20" t="n">
        <f aca="false">Wk26!K111</f>
        <v>0</v>
      </c>
    </row>
    <row r="182" customFormat="false" ht="15" hidden="false" customHeight="false" outlineLevel="0" collapsed="false">
      <c r="A182" s="12" t="s">
        <v>148</v>
      </c>
      <c r="B182" s="13" t="n">
        <f aca="false">Wk26!B133</f>
        <v>46207</v>
      </c>
      <c r="C182" s="12" t="str">
        <f aca="false">TEXT(B182,"dddd")</f>
        <v>Saturday</v>
      </c>
      <c r="D182" s="20" t="n">
        <f aca="false">Wk26!M133</f>
        <v>0</v>
      </c>
      <c r="E182" s="20" t="n">
        <f aca="false">IFERROR(F182-D182,"")</f>
        <v>0</v>
      </c>
      <c r="F182" s="20" t="n">
        <f aca="false">Wk26!H133</f>
        <v>0</v>
      </c>
      <c r="G182" s="12" t="str">
        <f aca="false">IF(Wk26!L133="","",Wk26!L133)</f>
        <v/>
      </c>
      <c r="H182" s="20" t="n">
        <f aca="false">Wk26!R133</f>
        <v>0</v>
      </c>
      <c r="I182" s="20" t="str">
        <f aca="false">IF(OR(F182=0,H182=0),"",F182-H182)</f>
        <v/>
      </c>
      <c r="J182" s="36" t="str">
        <f aca="false">IFERROR(I182/H182,"")</f>
        <v/>
      </c>
      <c r="K182" s="37" t="n">
        <f aca="false">Wk26!D133</f>
        <v>0</v>
      </c>
      <c r="L182" s="37" t="n">
        <f aca="false">Wk26!E133</f>
        <v>0</v>
      </c>
      <c r="M182" s="20" t="n">
        <f aca="false">Wk26!K133</f>
        <v>0</v>
      </c>
    </row>
    <row r="183" customFormat="false" ht="15" hidden="false" customHeight="false" outlineLevel="0" collapsed="false">
      <c r="A183" s="12" t="s">
        <v>148</v>
      </c>
      <c r="B183" s="13" t="n">
        <f aca="false">Wk26!B155</f>
        <v>46208</v>
      </c>
      <c r="C183" s="12" t="str">
        <f aca="false">TEXT(B183,"dddd")</f>
        <v>Sunday</v>
      </c>
      <c r="D183" s="20" t="n">
        <f aca="false">Wk26!M155</f>
        <v>0</v>
      </c>
      <c r="E183" s="20" t="n">
        <f aca="false">IFERROR(F183-D183,"")</f>
        <v>0</v>
      </c>
      <c r="F183" s="20" t="n">
        <f aca="false">Wk26!H155</f>
        <v>0</v>
      </c>
      <c r="G183" s="12" t="str">
        <f aca="false">IF(Wk26!L155="","",Wk26!L155)</f>
        <v/>
      </c>
      <c r="H183" s="20" t="n">
        <f aca="false">Wk26!R155</f>
        <v>0</v>
      </c>
      <c r="I183" s="20" t="str">
        <f aca="false">IF(OR(F183=0,H183=0),"",F183-H183)</f>
        <v/>
      </c>
      <c r="J183" s="36" t="str">
        <f aca="false">IFERROR(I183/H183,"")</f>
        <v/>
      </c>
      <c r="K183" s="37" t="n">
        <f aca="false">Wk26!D155</f>
        <v>0</v>
      </c>
      <c r="L183" s="37" t="n">
        <f aca="false">Wk26!E155</f>
        <v>0</v>
      </c>
      <c r="M183" s="20" t="n">
        <f aca="false">Wk26!K155</f>
        <v>0</v>
      </c>
    </row>
    <row r="184" customFormat="false" ht="15" hidden="false" customHeight="false" outlineLevel="0" collapsed="false">
      <c r="A184" s="12" t="s">
        <v>149</v>
      </c>
      <c r="B184" s="13" t="n">
        <f aca="false">Wk27!B23</f>
        <v>46209</v>
      </c>
      <c r="C184" s="12" t="str">
        <f aca="false">TEXT(B184,"dddd")</f>
        <v>Monday</v>
      </c>
      <c r="D184" s="20" t="n">
        <f aca="false">Wk27!M23</f>
        <v>0</v>
      </c>
      <c r="E184" s="20" t="n">
        <f aca="false">IFERROR(F184-D184,"")</f>
        <v>0</v>
      </c>
      <c r="F184" s="20" t="n">
        <f aca="false">Wk27!H23</f>
        <v>0</v>
      </c>
      <c r="G184" s="12" t="str">
        <f aca="false">IF(Wk27!L23="","",Wk27!L23)</f>
        <v/>
      </c>
      <c r="H184" s="20" t="n">
        <f aca="false">Wk27!R23</f>
        <v>0</v>
      </c>
      <c r="I184" s="20" t="str">
        <f aca="false">IF(OR(F184=0,H184=0),"",F184-H184)</f>
        <v/>
      </c>
      <c r="J184" s="36" t="str">
        <f aca="false">IFERROR(I184/H184,"")</f>
        <v/>
      </c>
      <c r="K184" s="37" t="n">
        <f aca="false">Wk27!D23</f>
        <v>0</v>
      </c>
      <c r="L184" s="37" t="n">
        <f aca="false">Wk27!E23</f>
        <v>0</v>
      </c>
      <c r="M184" s="20" t="n">
        <f aca="false">Wk27!K23</f>
        <v>0</v>
      </c>
    </row>
    <row r="185" customFormat="false" ht="15" hidden="false" customHeight="false" outlineLevel="0" collapsed="false">
      <c r="A185" s="12" t="s">
        <v>149</v>
      </c>
      <c r="B185" s="13" t="n">
        <f aca="false">Wk27!B45</f>
        <v>46210</v>
      </c>
      <c r="C185" s="12" t="str">
        <f aca="false">TEXT(B185,"dddd")</f>
        <v>Tuesday</v>
      </c>
      <c r="D185" s="20" t="n">
        <f aca="false">Wk27!M45</f>
        <v>0</v>
      </c>
      <c r="E185" s="20" t="n">
        <f aca="false">IFERROR(F185-D185,"")</f>
        <v>0</v>
      </c>
      <c r="F185" s="20" t="n">
        <f aca="false">Wk27!H45</f>
        <v>0</v>
      </c>
      <c r="G185" s="12" t="str">
        <f aca="false">IF(Wk27!L45="","",Wk27!L45)</f>
        <v/>
      </c>
      <c r="H185" s="20" t="n">
        <f aca="false">Wk27!R45</f>
        <v>0</v>
      </c>
      <c r="I185" s="20" t="str">
        <f aca="false">IF(OR(F185=0,H185=0),"",F185-H185)</f>
        <v/>
      </c>
      <c r="J185" s="36" t="str">
        <f aca="false">IFERROR(I185/H185,"")</f>
        <v/>
      </c>
      <c r="K185" s="37" t="n">
        <f aca="false">Wk27!D45</f>
        <v>0</v>
      </c>
      <c r="L185" s="37" t="n">
        <f aca="false">Wk27!E45</f>
        <v>0</v>
      </c>
      <c r="M185" s="20" t="n">
        <f aca="false">Wk27!K45</f>
        <v>0</v>
      </c>
    </row>
    <row r="186" customFormat="false" ht="15" hidden="false" customHeight="false" outlineLevel="0" collapsed="false">
      <c r="A186" s="12" t="s">
        <v>149</v>
      </c>
      <c r="B186" s="13" t="n">
        <f aca="false">Wk27!B67</f>
        <v>46211</v>
      </c>
      <c r="C186" s="12" t="str">
        <f aca="false">TEXT(B186,"dddd")</f>
        <v>Wednesday</v>
      </c>
      <c r="D186" s="20" t="n">
        <f aca="false">Wk27!M67</f>
        <v>0</v>
      </c>
      <c r="E186" s="20" t="n">
        <f aca="false">IFERROR(F186-D186,"")</f>
        <v>0</v>
      </c>
      <c r="F186" s="20" t="n">
        <f aca="false">Wk27!H67</f>
        <v>0</v>
      </c>
      <c r="G186" s="12" t="str">
        <f aca="false">IF(Wk27!L67="","",Wk27!L67)</f>
        <v/>
      </c>
      <c r="H186" s="20" t="n">
        <f aca="false">Wk27!R67</f>
        <v>0</v>
      </c>
      <c r="I186" s="20" t="str">
        <f aca="false">IF(OR(F186=0,H186=0),"",F186-H186)</f>
        <v/>
      </c>
      <c r="J186" s="36" t="str">
        <f aca="false">IFERROR(I186/H186,"")</f>
        <v/>
      </c>
      <c r="K186" s="37" t="n">
        <f aca="false">Wk27!D67</f>
        <v>0</v>
      </c>
      <c r="L186" s="37" t="n">
        <f aca="false">Wk27!E67</f>
        <v>0</v>
      </c>
      <c r="M186" s="20" t="n">
        <f aca="false">Wk27!K67</f>
        <v>0</v>
      </c>
    </row>
    <row r="187" customFormat="false" ht="15" hidden="false" customHeight="false" outlineLevel="0" collapsed="false">
      <c r="A187" s="12" t="s">
        <v>149</v>
      </c>
      <c r="B187" s="13" t="n">
        <f aca="false">Wk27!B89</f>
        <v>46212</v>
      </c>
      <c r="C187" s="12" t="str">
        <f aca="false">TEXT(B187,"dddd")</f>
        <v>Thursday</v>
      </c>
      <c r="D187" s="20" t="n">
        <f aca="false">Wk27!M89</f>
        <v>0</v>
      </c>
      <c r="E187" s="20" t="n">
        <f aca="false">IFERROR(F187-D187,"")</f>
        <v>0</v>
      </c>
      <c r="F187" s="20" t="n">
        <f aca="false">Wk27!H89</f>
        <v>0</v>
      </c>
      <c r="G187" s="12" t="str">
        <f aca="false">IF(Wk27!L89="","",Wk27!L89)</f>
        <v/>
      </c>
      <c r="H187" s="20" t="n">
        <f aca="false">Wk27!R89</f>
        <v>0</v>
      </c>
      <c r="I187" s="20" t="str">
        <f aca="false">IF(OR(F187=0,H187=0),"",F187-H187)</f>
        <v/>
      </c>
      <c r="J187" s="36" t="str">
        <f aca="false">IFERROR(I187/H187,"")</f>
        <v/>
      </c>
      <c r="K187" s="37" t="n">
        <f aca="false">Wk27!D89</f>
        <v>0</v>
      </c>
      <c r="L187" s="37" t="n">
        <f aca="false">Wk27!E89</f>
        <v>0</v>
      </c>
      <c r="M187" s="20" t="n">
        <f aca="false">Wk27!K89</f>
        <v>0</v>
      </c>
    </row>
    <row r="188" customFormat="false" ht="15" hidden="false" customHeight="false" outlineLevel="0" collapsed="false">
      <c r="A188" s="12" t="s">
        <v>149</v>
      </c>
      <c r="B188" s="13" t="n">
        <f aca="false">Wk27!B111</f>
        <v>46213</v>
      </c>
      <c r="C188" s="12" t="str">
        <f aca="false">TEXT(B188,"dddd")</f>
        <v>Friday</v>
      </c>
      <c r="D188" s="20" t="n">
        <f aca="false">Wk27!M111</f>
        <v>0</v>
      </c>
      <c r="E188" s="20" t="n">
        <f aca="false">IFERROR(F188-D188,"")</f>
        <v>0</v>
      </c>
      <c r="F188" s="20" t="n">
        <f aca="false">Wk27!H111</f>
        <v>0</v>
      </c>
      <c r="G188" s="12" t="str">
        <f aca="false">IF(Wk27!L111="","",Wk27!L111)</f>
        <v/>
      </c>
      <c r="H188" s="20" t="n">
        <f aca="false">Wk27!R111</f>
        <v>0</v>
      </c>
      <c r="I188" s="20" t="str">
        <f aca="false">IF(OR(F188=0,H188=0),"",F188-H188)</f>
        <v/>
      </c>
      <c r="J188" s="36" t="str">
        <f aca="false">IFERROR(I188/H188,"")</f>
        <v/>
      </c>
      <c r="K188" s="37" t="n">
        <f aca="false">Wk27!D111</f>
        <v>0</v>
      </c>
      <c r="L188" s="37" t="n">
        <f aca="false">Wk27!E111</f>
        <v>0</v>
      </c>
      <c r="M188" s="20" t="n">
        <f aca="false">Wk27!K111</f>
        <v>0</v>
      </c>
    </row>
    <row r="189" customFormat="false" ht="15" hidden="false" customHeight="false" outlineLevel="0" collapsed="false">
      <c r="A189" s="12" t="s">
        <v>149</v>
      </c>
      <c r="B189" s="13" t="n">
        <f aca="false">Wk27!B133</f>
        <v>46214</v>
      </c>
      <c r="C189" s="12" t="str">
        <f aca="false">TEXT(B189,"dddd")</f>
        <v>Saturday</v>
      </c>
      <c r="D189" s="20" t="n">
        <f aca="false">Wk27!M133</f>
        <v>0</v>
      </c>
      <c r="E189" s="20" t="n">
        <f aca="false">IFERROR(F189-D189,"")</f>
        <v>0</v>
      </c>
      <c r="F189" s="20" t="n">
        <f aca="false">Wk27!H133</f>
        <v>0</v>
      </c>
      <c r="G189" s="12" t="str">
        <f aca="false">IF(Wk27!L133="","",Wk27!L133)</f>
        <v/>
      </c>
      <c r="H189" s="20" t="n">
        <f aca="false">Wk27!R133</f>
        <v>0</v>
      </c>
      <c r="I189" s="20" t="str">
        <f aca="false">IF(OR(F189=0,H189=0),"",F189-H189)</f>
        <v/>
      </c>
      <c r="J189" s="36" t="str">
        <f aca="false">IFERROR(I189/H189,"")</f>
        <v/>
      </c>
      <c r="K189" s="37" t="n">
        <f aca="false">Wk27!D133</f>
        <v>0</v>
      </c>
      <c r="L189" s="37" t="n">
        <f aca="false">Wk27!E133</f>
        <v>0</v>
      </c>
      <c r="M189" s="20" t="n">
        <f aca="false">Wk27!K133</f>
        <v>0</v>
      </c>
    </row>
    <row r="190" customFormat="false" ht="15" hidden="false" customHeight="false" outlineLevel="0" collapsed="false">
      <c r="A190" s="12" t="s">
        <v>149</v>
      </c>
      <c r="B190" s="13" t="n">
        <f aca="false">Wk27!B155</f>
        <v>46215</v>
      </c>
      <c r="C190" s="12" t="str">
        <f aca="false">TEXT(B190,"dddd")</f>
        <v>Sunday</v>
      </c>
      <c r="D190" s="20" t="n">
        <f aca="false">Wk27!M155</f>
        <v>0</v>
      </c>
      <c r="E190" s="20" t="n">
        <f aca="false">IFERROR(F190-D190,"")</f>
        <v>0</v>
      </c>
      <c r="F190" s="20" t="n">
        <f aca="false">Wk27!H155</f>
        <v>0</v>
      </c>
      <c r="G190" s="12" t="str">
        <f aca="false">IF(Wk27!L155="","",Wk27!L155)</f>
        <v/>
      </c>
      <c r="H190" s="20" t="n">
        <f aca="false">Wk27!R155</f>
        <v>0</v>
      </c>
      <c r="I190" s="20" t="str">
        <f aca="false">IF(OR(F190=0,H190=0),"",F190-H190)</f>
        <v/>
      </c>
      <c r="J190" s="36" t="str">
        <f aca="false">IFERROR(I190/H190,"")</f>
        <v/>
      </c>
      <c r="K190" s="37" t="n">
        <f aca="false">Wk27!D155</f>
        <v>0</v>
      </c>
      <c r="L190" s="37" t="n">
        <f aca="false">Wk27!E155</f>
        <v>0</v>
      </c>
      <c r="M190" s="20" t="n">
        <f aca="false">Wk27!K155</f>
        <v>0</v>
      </c>
    </row>
    <row r="191" customFormat="false" ht="15" hidden="false" customHeight="false" outlineLevel="0" collapsed="false">
      <c r="A191" s="12" t="s">
        <v>150</v>
      </c>
      <c r="B191" s="13" t="n">
        <f aca="false">Wk28!B23</f>
        <v>46216</v>
      </c>
      <c r="C191" s="12" t="str">
        <f aca="false">TEXT(B191,"dddd")</f>
        <v>Monday</v>
      </c>
      <c r="D191" s="20" t="n">
        <f aca="false">Wk28!M23</f>
        <v>0</v>
      </c>
      <c r="E191" s="20" t="n">
        <f aca="false">IFERROR(F191-D191,"")</f>
        <v>0</v>
      </c>
      <c r="F191" s="20" t="n">
        <f aca="false">Wk28!H23</f>
        <v>0</v>
      </c>
      <c r="G191" s="12" t="str">
        <f aca="false">IF(Wk28!L23="","",Wk28!L23)</f>
        <v/>
      </c>
      <c r="H191" s="20" t="n">
        <f aca="false">Wk28!R23</f>
        <v>0</v>
      </c>
      <c r="I191" s="20" t="str">
        <f aca="false">IF(OR(F191=0,H191=0),"",F191-H191)</f>
        <v/>
      </c>
      <c r="J191" s="36" t="str">
        <f aca="false">IFERROR(I191/H191,"")</f>
        <v/>
      </c>
      <c r="K191" s="37" t="n">
        <f aca="false">Wk28!D23</f>
        <v>0</v>
      </c>
      <c r="L191" s="37" t="n">
        <f aca="false">Wk28!E23</f>
        <v>0</v>
      </c>
      <c r="M191" s="20" t="n">
        <f aca="false">Wk28!K23</f>
        <v>0</v>
      </c>
    </row>
    <row r="192" customFormat="false" ht="15" hidden="false" customHeight="false" outlineLevel="0" collapsed="false">
      <c r="A192" s="12" t="s">
        <v>150</v>
      </c>
      <c r="B192" s="13" t="n">
        <f aca="false">Wk28!B45</f>
        <v>46217</v>
      </c>
      <c r="C192" s="12" t="str">
        <f aca="false">TEXT(B192,"dddd")</f>
        <v>Tuesday</v>
      </c>
      <c r="D192" s="20" t="n">
        <f aca="false">Wk28!M45</f>
        <v>0</v>
      </c>
      <c r="E192" s="20" t="n">
        <f aca="false">IFERROR(F192-D192,"")</f>
        <v>0</v>
      </c>
      <c r="F192" s="20" t="n">
        <f aca="false">Wk28!H45</f>
        <v>0</v>
      </c>
      <c r="G192" s="12" t="str">
        <f aca="false">IF(Wk28!L45="","",Wk28!L45)</f>
        <v/>
      </c>
      <c r="H192" s="20" t="n">
        <f aca="false">Wk28!R45</f>
        <v>0</v>
      </c>
      <c r="I192" s="20" t="str">
        <f aca="false">IF(OR(F192=0,H192=0),"",F192-H192)</f>
        <v/>
      </c>
      <c r="J192" s="36" t="str">
        <f aca="false">IFERROR(I192/H192,"")</f>
        <v/>
      </c>
      <c r="K192" s="37" t="n">
        <f aca="false">Wk28!D45</f>
        <v>0</v>
      </c>
      <c r="L192" s="37" t="n">
        <f aca="false">Wk28!E45</f>
        <v>0</v>
      </c>
      <c r="M192" s="20" t="n">
        <f aca="false">Wk28!K45</f>
        <v>0</v>
      </c>
    </row>
    <row r="193" customFormat="false" ht="15" hidden="false" customHeight="false" outlineLevel="0" collapsed="false">
      <c r="A193" s="12" t="s">
        <v>150</v>
      </c>
      <c r="B193" s="13" t="n">
        <f aca="false">Wk28!B67</f>
        <v>46218</v>
      </c>
      <c r="C193" s="12" t="str">
        <f aca="false">TEXT(B193,"dddd")</f>
        <v>Wednesday</v>
      </c>
      <c r="D193" s="20" t="n">
        <f aca="false">Wk28!M67</f>
        <v>0</v>
      </c>
      <c r="E193" s="20" t="n">
        <f aca="false">IFERROR(F193-D193,"")</f>
        <v>0</v>
      </c>
      <c r="F193" s="20" t="n">
        <f aca="false">Wk28!H67</f>
        <v>0</v>
      </c>
      <c r="G193" s="12" t="str">
        <f aca="false">IF(Wk28!L67="","",Wk28!L67)</f>
        <v/>
      </c>
      <c r="H193" s="20" t="n">
        <f aca="false">Wk28!R67</f>
        <v>0</v>
      </c>
      <c r="I193" s="20" t="str">
        <f aca="false">IF(OR(F193=0,H193=0),"",F193-H193)</f>
        <v/>
      </c>
      <c r="J193" s="36" t="str">
        <f aca="false">IFERROR(I193/H193,"")</f>
        <v/>
      </c>
      <c r="K193" s="37" t="n">
        <f aca="false">Wk28!D67</f>
        <v>0</v>
      </c>
      <c r="L193" s="37" t="n">
        <f aca="false">Wk28!E67</f>
        <v>0</v>
      </c>
      <c r="M193" s="20" t="n">
        <f aca="false">Wk28!K67</f>
        <v>0</v>
      </c>
    </row>
    <row r="194" customFormat="false" ht="15" hidden="false" customHeight="false" outlineLevel="0" collapsed="false">
      <c r="A194" s="12" t="s">
        <v>150</v>
      </c>
      <c r="B194" s="13" t="n">
        <f aca="false">Wk28!B89</f>
        <v>46219</v>
      </c>
      <c r="C194" s="12" t="str">
        <f aca="false">TEXT(B194,"dddd")</f>
        <v>Thursday</v>
      </c>
      <c r="D194" s="20" t="n">
        <f aca="false">Wk28!M89</f>
        <v>0</v>
      </c>
      <c r="E194" s="20" t="n">
        <f aca="false">IFERROR(F194-D194,"")</f>
        <v>0</v>
      </c>
      <c r="F194" s="20" t="n">
        <f aca="false">Wk28!H89</f>
        <v>0</v>
      </c>
      <c r="G194" s="12" t="str">
        <f aca="false">IF(Wk28!L89="","",Wk28!L89)</f>
        <v/>
      </c>
      <c r="H194" s="20" t="n">
        <f aca="false">Wk28!R89</f>
        <v>0</v>
      </c>
      <c r="I194" s="20" t="str">
        <f aca="false">IF(OR(F194=0,H194=0),"",F194-H194)</f>
        <v/>
      </c>
      <c r="J194" s="36" t="str">
        <f aca="false">IFERROR(I194/H194,"")</f>
        <v/>
      </c>
      <c r="K194" s="37" t="n">
        <f aca="false">Wk28!D89</f>
        <v>0</v>
      </c>
      <c r="L194" s="37" t="n">
        <f aca="false">Wk28!E89</f>
        <v>0</v>
      </c>
      <c r="M194" s="20" t="n">
        <f aca="false">Wk28!K89</f>
        <v>0</v>
      </c>
    </row>
    <row r="195" customFormat="false" ht="15" hidden="false" customHeight="false" outlineLevel="0" collapsed="false">
      <c r="A195" s="12" t="s">
        <v>150</v>
      </c>
      <c r="B195" s="13" t="n">
        <f aca="false">Wk28!B111</f>
        <v>46220</v>
      </c>
      <c r="C195" s="12" t="str">
        <f aca="false">TEXT(B195,"dddd")</f>
        <v>Friday</v>
      </c>
      <c r="D195" s="20" t="n">
        <f aca="false">Wk28!M111</f>
        <v>0</v>
      </c>
      <c r="E195" s="20" t="n">
        <f aca="false">IFERROR(F195-D195,"")</f>
        <v>0</v>
      </c>
      <c r="F195" s="20" t="n">
        <f aca="false">Wk28!H111</f>
        <v>0</v>
      </c>
      <c r="G195" s="12" t="str">
        <f aca="false">IF(Wk28!L111="","",Wk28!L111)</f>
        <v/>
      </c>
      <c r="H195" s="20" t="n">
        <f aca="false">Wk28!R111</f>
        <v>0</v>
      </c>
      <c r="I195" s="20" t="str">
        <f aca="false">IF(OR(F195=0,H195=0),"",F195-H195)</f>
        <v/>
      </c>
      <c r="J195" s="36" t="str">
        <f aca="false">IFERROR(I195/H195,"")</f>
        <v/>
      </c>
      <c r="K195" s="37" t="n">
        <f aca="false">Wk28!D111</f>
        <v>0</v>
      </c>
      <c r="L195" s="37" t="n">
        <f aca="false">Wk28!E111</f>
        <v>0</v>
      </c>
      <c r="M195" s="20" t="n">
        <f aca="false">Wk28!K111</f>
        <v>0</v>
      </c>
    </row>
    <row r="196" customFormat="false" ht="15" hidden="false" customHeight="false" outlineLevel="0" collapsed="false">
      <c r="A196" s="12" t="s">
        <v>150</v>
      </c>
      <c r="B196" s="13" t="n">
        <f aca="false">Wk28!B133</f>
        <v>46221</v>
      </c>
      <c r="C196" s="12" t="str">
        <f aca="false">TEXT(B196,"dddd")</f>
        <v>Saturday</v>
      </c>
      <c r="D196" s="20" t="n">
        <f aca="false">Wk28!M133</f>
        <v>0</v>
      </c>
      <c r="E196" s="20" t="n">
        <f aca="false">IFERROR(F196-D196,"")</f>
        <v>0</v>
      </c>
      <c r="F196" s="20" t="n">
        <f aca="false">Wk28!H133</f>
        <v>0</v>
      </c>
      <c r="G196" s="12" t="str">
        <f aca="false">IF(Wk28!L133="","",Wk28!L133)</f>
        <v/>
      </c>
      <c r="H196" s="20" t="n">
        <f aca="false">Wk28!R133</f>
        <v>0</v>
      </c>
      <c r="I196" s="20" t="str">
        <f aca="false">IF(OR(F196=0,H196=0),"",F196-H196)</f>
        <v/>
      </c>
      <c r="J196" s="36" t="str">
        <f aca="false">IFERROR(I196/H196,"")</f>
        <v/>
      </c>
      <c r="K196" s="37" t="n">
        <f aca="false">Wk28!D133</f>
        <v>0</v>
      </c>
      <c r="L196" s="37" t="n">
        <f aca="false">Wk28!E133</f>
        <v>0</v>
      </c>
      <c r="M196" s="20" t="n">
        <f aca="false">Wk28!K133</f>
        <v>0</v>
      </c>
    </row>
    <row r="197" customFormat="false" ht="15" hidden="false" customHeight="false" outlineLevel="0" collapsed="false">
      <c r="A197" s="12" t="s">
        <v>150</v>
      </c>
      <c r="B197" s="13" t="n">
        <f aca="false">Wk28!B155</f>
        <v>46222</v>
      </c>
      <c r="C197" s="12" t="str">
        <f aca="false">TEXT(B197,"dddd")</f>
        <v>Sunday</v>
      </c>
      <c r="D197" s="20" t="n">
        <f aca="false">Wk28!M155</f>
        <v>0</v>
      </c>
      <c r="E197" s="20" t="n">
        <f aca="false">IFERROR(F197-D197,"")</f>
        <v>0</v>
      </c>
      <c r="F197" s="20" t="n">
        <f aca="false">Wk28!H155</f>
        <v>0</v>
      </c>
      <c r="G197" s="12" t="str">
        <f aca="false">IF(Wk28!L155="","",Wk28!L155)</f>
        <v/>
      </c>
      <c r="H197" s="20" t="n">
        <f aca="false">Wk28!R155</f>
        <v>0</v>
      </c>
      <c r="I197" s="20" t="str">
        <f aca="false">IF(OR(F197=0,H197=0),"",F197-H197)</f>
        <v/>
      </c>
      <c r="J197" s="36" t="str">
        <f aca="false">IFERROR(I197/H197,"")</f>
        <v/>
      </c>
      <c r="K197" s="37" t="n">
        <f aca="false">Wk28!D155</f>
        <v>0</v>
      </c>
      <c r="L197" s="37" t="n">
        <f aca="false">Wk28!E155</f>
        <v>0</v>
      </c>
      <c r="M197" s="20" t="n">
        <f aca="false">Wk28!K155</f>
        <v>0</v>
      </c>
    </row>
    <row r="198" customFormat="false" ht="15" hidden="false" customHeight="false" outlineLevel="0" collapsed="false">
      <c r="A198" s="12" t="s">
        <v>151</v>
      </c>
      <c r="B198" s="13" t="n">
        <f aca="false">Wk29!B23</f>
        <v>46223</v>
      </c>
      <c r="C198" s="12" t="str">
        <f aca="false">TEXT(B198,"dddd")</f>
        <v>Monday</v>
      </c>
      <c r="D198" s="20" t="n">
        <f aca="false">Wk29!M23</f>
        <v>0</v>
      </c>
      <c r="E198" s="20" t="n">
        <f aca="false">IFERROR(F198-D198,"")</f>
        <v>0</v>
      </c>
      <c r="F198" s="20" t="n">
        <f aca="false">Wk29!H23</f>
        <v>0</v>
      </c>
      <c r="G198" s="12" t="str">
        <f aca="false">IF(Wk29!L23="","",Wk29!L23)</f>
        <v/>
      </c>
      <c r="H198" s="20" t="n">
        <f aca="false">Wk29!R23</f>
        <v>0</v>
      </c>
      <c r="I198" s="20" t="str">
        <f aca="false">IF(OR(F198=0,H198=0),"",F198-H198)</f>
        <v/>
      </c>
      <c r="J198" s="36" t="str">
        <f aca="false">IFERROR(I198/H198,"")</f>
        <v/>
      </c>
      <c r="K198" s="37" t="n">
        <f aca="false">Wk29!D23</f>
        <v>0</v>
      </c>
      <c r="L198" s="37" t="n">
        <f aca="false">Wk29!E23</f>
        <v>0</v>
      </c>
      <c r="M198" s="20" t="n">
        <f aca="false">Wk29!K23</f>
        <v>0</v>
      </c>
    </row>
    <row r="199" customFormat="false" ht="15" hidden="false" customHeight="false" outlineLevel="0" collapsed="false">
      <c r="A199" s="12" t="s">
        <v>151</v>
      </c>
      <c r="B199" s="13" t="n">
        <f aca="false">Wk29!B45</f>
        <v>46224</v>
      </c>
      <c r="C199" s="12" t="str">
        <f aca="false">TEXT(B199,"dddd")</f>
        <v>Tuesday</v>
      </c>
      <c r="D199" s="20" t="n">
        <f aca="false">Wk29!M45</f>
        <v>0</v>
      </c>
      <c r="E199" s="20" t="n">
        <f aca="false">IFERROR(F199-D199,"")</f>
        <v>0</v>
      </c>
      <c r="F199" s="20" t="n">
        <f aca="false">Wk29!H45</f>
        <v>0</v>
      </c>
      <c r="G199" s="12" t="str">
        <f aca="false">IF(Wk29!L45="","",Wk29!L45)</f>
        <v/>
      </c>
      <c r="H199" s="20" t="n">
        <f aca="false">Wk29!R45</f>
        <v>0</v>
      </c>
      <c r="I199" s="20" t="str">
        <f aca="false">IF(OR(F199=0,H199=0),"",F199-H199)</f>
        <v/>
      </c>
      <c r="J199" s="36" t="str">
        <f aca="false">IFERROR(I199/H199,"")</f>
        <v/>
      </c>
      <c r="K199" s="37" t="n">
        <f aca="false">Wk29!D45</f>
        <v>0</v>
      </c>
      <c r="L199" s="37" t="n">
        <f aca="false">Wk29!E45</f>
        <v>0</v>
      </c>
      <c r="M199" s="20" t="n">
        <f aca="false">Wk29!K45</f>
        <v>0</v>
      </c>
    </row>
    <row r="200" customFormat="false" ht="15" hidden="false" customHeight="false" outlineLevel="0" collapsed="false">
      <c r="A200" s="12" t="s">
        <v>151</v>
      </c>
      <c r="B200" s="13" t="n">
        <f aca="false">Wk29!B67</f>
        <v>46225</v>
      </c>
      <c r="C200" s="12" t="str">
        <f aca="false">TEXT(B200,"dddd")</f>
        <v>Wednesday</v>
      </c>
      <c r="D200" s="20" t="n">
        <f aca="false">Wk29!M67</f>
        <v>0</v>
      </c>
      <c r="E200" s="20" t="n">
        <f aca="false">IFERROR(F200-D200,"")</f>
        <v>0</v>
      </c>
      <c r="F200" s="20" t="n">
        <f aca="false">Wk29!H67</f>
        <v>0</v>
      </c>
      <c r="G200" s="12" t="str">
        <f aca="false">IF(Wk29!L67="","",Wk29!L67)</f>
        <v/>
      </c>
      <c r="H200" s="20" t="n">
        <f aca="false">Wk29!R67</f>
        <v>0</v>
      </c>
      <c r="I200" s="20" t="str">
        <f aca="false">IF(OR(F200=0,H200=0),"",F200-H200)</f>
        <v/>
      </c>
      <c r="J200" s="36" t="str">
        <f aca="false">IFERROR(I200/H200,"")</f>
        <v/>
      </c>
      <c r="K200" s="37" t="n">
        <f aca="false">Wk29!D67</f>
        <v>0</v>
      </c>
      <c r="L200" s="37" t="n">
        <f aca="false">Wk29!E67</f>
        <v>0</v>
      </c>
      <c r="M200" s="20" t="n">
        <f aca="false">Wk29!K67</f>
        <v>0</v>
      </c>
    </row>
    <row r="201" customFormat="false" ht="15" hidden="false" customHeight="false" outlineLevel="0" collapsed="false">
      <c r="A201" s="12" t="s">
        <v>151</v>
      </c>
      <c r="B201" s="13" t="n">
        <f aca="false">Wk29!B89</f>
        <v>46226</v>
      </c>
      <c r="C201" s="12" t="str">
        <f aca="false">TEXT(B201,"dddd")</f>
        <v>Thursday</v>
      </c>
      <c r="D201" s="20" t="n">
        <f aca="false">Wk29!M89</f>
        <v>0</v>
      </c>
      <c r="E201" s="20" t="n">
        <f aca="false">IFERROR(F201-D201,"")</f>
        <v>0</v>
      </c>
      <c r="F201" s="20" t="n">
        <f aca="false">Wk29!H89</f>
        <v>0</v>
      </c>
      <c r="G201" s="12" t="str">
        <f aca="false">IF(Wk29!L89="","",Wk29!L89)</f>
        <v/>
      </c>
      <c r="H201" s="20" t="n">
        <f aca="false">Wk29!R89</f>
        <v>0</v>
      </c>
      <c r="I201" s="20" t="str">
        <f aca="false">IF(OR(F201=0,H201=0),"",F201-H201)</f>
        <v/>
      </c>
      <c r="J201" s="36" t="str">
        <f aca="false">IFERROR(I201/H201,"")</f>
        <v/>
      </c>
      <c r="K201" s="37" t="n">
        <f aca="false">Wk29!D89</f>
        <v>0</v>
      </c>
      <c r="L201" s="37" t="n">
        <f aca="false">Wk29!E89</f>
        <v>0</v>
      </c>
      <c r="M201" s="20" t="n">
        <f aca="false">Wk29!K89</f>
        <v>0</v>
      </c>
    </row>
    <row r="202" customFormat="false" ht="15" hidden="false" customHeight="false" outlineLevel="0" collapsed="false">
      <c r="A202" s="12" t="s">
        <v>151</v>
      </c>
      <c r="B202" s="13" t="n">
        <f aca="false">Wk29!B111</f>
        <v>46227</v>
      </c>
      <c r="C202" s="12" t="str">
        <f aca="false">TEXT(B202,"dddd")</f>
        <v>Friday</v>
      </c>
      <c r="D202" s="20" t="n">
        <f aca="false">Wk29!M111</f>
        <v>0</v>
      </c>
      <c r="E202" s="20" t="n">
        <f aca="false">IFERROR(F202-D202,"")</f>
        <v>0</v>
      </c>
      <c r="F202" s="20" t="n">
        <f aca="false">Wk29!H111</f>
        <v>0</v>
      </c>
      <c r="G202" s="12" t="str">
        <f aca="false">IF(Wk29!L111="","",Wk29!L111)</f>
        <v/>
      </c>
      <c r="H202" s="20" t="n">
        <f aca="false">Wk29!R111</f>
        <v>0</v>
      </c>
      <c r="I202" s="20" t="str">
        <f aca="false">IF(OR(F202=0,H202=0),"",F202-H202)</f>
        <v/>
      </c>
      <c r="J202" s="36" t="str">
        <f aca="false">IFERROR(I202/H202,"")</f>
        <v/>
      </c>
      <c r="K202" s="37" t="n">
        <f aca="false">Wk29!D111</f>
        <v>0</v>
      </c>
      <c r="L202" s="37" t="n">
        <f aca="false">Wk29!E111</f>
        <v>0</v>
      </c>
      <c r="M202" s="20" t="n">
        <f aca="false">Wk29!K111</f>
        <v>0</v>
      </c>
    </row>
    <row r="203" customFormat="false" ht="15" hidden="false" customHeight="false" outlineLevel="0" collapsed="false">
      <c r="A203" s="12" t="s">
        <v>151</v>
      </c>
      <c r="B203" s="13" t="n">
        <f aca="false">Wk29!B133</f>
        <v>46228</v>
      </c>
      <c r="C203" s="12" t="str">
        <f aca="false">TEXT(B203,"dddd")</f>
        <v>Saturday</v>
      </c>
      <c r="D203" s="20" t="n">
        <f aca="false">Wk29!M133</f>
        <v>0</v>
      </c>
      <c r="E203" s="20" t="n">
        <f aca="false">IFERROR(F203-D203,"")</f>
        <v>0</v>
      </c>
      <c r="F203" s="20" t="n">
        <f aca="false">Wk29!H133</f>
        <v>0</v>
      </c>
      <c r="G203" s="12" t="str">
        <f aca="false">IF(Wk29!L133="","",Wk29!L133)</f>
        <v/>
      </c>
      <c r="H203" s="20" t="n">
        <f aca="false">Wk29!R133</f>
        <v>0</v>
      </c>
      <c r="I203" s="20" t="str">
        <f aca="false">IF(OR(F203=0,H203=0),"",F203-H203)</f>
        <v/>
      </c>
      <c r="J203" s="36" t="str">
        <f aca="false">IFERROR(I203/H203,"")</f>
        <v/>
      </c>
      <c r="K203" s="37" t="n">
        <f aca="false">Wk29!D133</f>
        <v>0</v>
      </c>
      <c r="L203" s="37" t="n">
        <f aca="false">Wk29!E133</f>
        <v>0</v>
      </c>
      <c r="M203" s="20" t="n">
        <f aca="false">Wk29!K133</f>
        <v>0</v>
      </c>
    </row>
    <row r="204" customFormat="false" ht="15" hidden="false" customHeight="false" outlineLevel="0" collapsed="false">
      <c r="A204" s="12" t="s">
        <v>151</v>
      </c>
      <c r="B204" s="13" t="n">
        <f aca="false">Wk29!B155</f>
        <v>46229</v>
      </c>
      <c r="C204" s="12" t="str">
        <f aca="false">TEXT(B204,"dddd")</f>
        <v>Sunday</v>
      </c>
      <c r="D204" s="20" t="n">
        <f aca="false">Wk29!M155</f>
        <v>0</v>
      </c>
      <c r="E204" s="20" t="n">
        <f aca="false">IFERROR(F204-D204,"")</f>
        <v>0</v>
      </c>
      <c r="F204" s="20" t="n">
        <f aca="false">Wk29!H155</f>
        <v>0</v>
      </c>
      <c r="G204" s="12" t="str">
        <f aca="false">IF(Wk29!L155="","",Wk29!L155)</f>
        <v/>
      </c>
      <c r="H204" s="20" t="n">
        <f aca="false">Wk29!R155</f>
        <v>0</v>
      </c>
      <c r="I204" s="20" t="str">
        <f aca="false">IF(OR(F204=0,H204=0),"",F204-H204)</f>
        <v/>
      </c>
      <c r="J204" s="36" t="str">
        <f aca="false">IFERROR(I204/H204,"")</f>
        <v/>
      </c>
      <c r="K204" s="37" t="n">
        <f aca="false">Wk29!D155</f>
        <v>0</v>
      </c>
      <c r="L204" s="37" t="n">
        <f aca="false">Wk29!E155</f>
        <v>0</v>
      </c>
      <c r="M204" s="20" t="n">
        <f aca="false">Wk29!K155</f>
        <v>0</v>
      </c>
    </row>
    <row r="205" customFormat="false" ht="15" hidden="false" customHeight="false" outlineLevel="0" collapsed="false">
      <c r="A205" s="12" t="s">
        <v>152</v>
      </c>
      <c r="B205" s="13" t="n">
        <f aca="false">Wk30!B23</f>
        <v>46230</v>
      </c>
      <c r="C205" s="12" t="str">
        <f aca="false">TEXT(B205,"dddd")</f>
        <v>Monday</v>
      </c>
      <c r="D205" s="20" t="n">
        <f aca="false">Wk30!M23</f>
        <v>0</v>
      </c>
      <c r="E205" s="20" t="n">
        <f aca="false">IFERROR(F205-D205,"")</f>
        <v>0</v>
      </c>
      <c r="F205" s="20" t="n">
        <f aca="false">Wk30!H23</f>
        <v>0</v>
      </c>
      <c r="G205" s="12" t="str">
        <f aca="false">IF(Wk30!L23="","",Wk30!L23)</f>
        <v/>
      </c>
      <c r="H205" s="20" t="n">
        <f aca="false">Wk30!R23</f>
        <v>0</v>
      </c>
      <c r="I205" s="20" t="str">
        <f aca="false">IF(OR(F205=0,H205=0),"",F205-H205)</f>
        <v/>
      </c>
      <c r="J205" s="36" t="str">
        <f aca="false">IFERROR(I205/H205,"")</f>
        <v/>
      </c>
      <c r="K205" s="37" t="n">
        <f aca="false">Wk30!D23</f>
        <v>0</v>
      </c>
      <c r="L205" s="37" t="n">
        <f aca="false">Wk30!E23</f>
        <v>0</v>
      </c>
      <c r="M205" s="20" t="n">
        <f aca="false">Wk30!K23</f>
        <v>0</v>
      </c>
    </row>
    <row r="206" customFormat="false" ht="15" hidden="false" customHeight="false" outlineLevel="0" collapsed="false">
      <c r="A206" s="12" t="s">
        <v>152</v>
      </c>
      <c r="B206" s="13" t="n">
        <f aca="false">Wk30!B45</f>
        <v>46231</v>
      </c>
      <c r="C206" s="12" t="str">
        <f aca="false">TEXT(B206,"dddd")</f>
        <v>Tuesday</v>
      </c>
      <c r="D206" s="20" t="n">
        <f aca="false">Wk30!M45</f>
        <v>0</v>
      </c>
      <c r="E206" s="20" t="n">
        <f aca="false">IFERROR(F206-D206,"")</f>
        <v>0</v>
      </c>
      <c r="F206" s="20" t="n">
        <f aca="false">Wk30!H45</f>
        <v>0</v>
      </c>
      <c r="G206" s="12" t="str">
        <f aca="false">IF(Wk30!L45="","",Wk30!L45)</f>
        <v/>
      </c>
      <c r="H206" s="20" t="n">
        <f aca="false">Wk30!R45</f>
        <v>0</v>
      </c>
      <c r="I206" s="20" t="str">
        <f aca="false">IF(OR(F206=0,H206=0),"",F206-H206)</f>
        <v/>
      </c>
      <c r="J206" s="36" t="str">
        <f aca="false">IFERROR(I206/H206,"")</f>
        <v/>
      </c>
      <c r="K206" s="37" t="n">
        <f aca="false">Wk30!D45</f>
        <v>0</v>
      </c>
      <c r="L206" s="37" t="n">
        <f aca="false">Wk30!E45</f>
        <v>0</v>
      </c>
      <c r="M206" s="20" t="n">
        <f aca="false">Wk30!K45</f>
        <v>0</v>
      </c>
    </row>
    <row r="207" customFormat="false" ht="15" hidden="false" customHeight="false" outlineLevel="0" collapsed="false">
      <c r="A207" s="12" t="s">
        <v>152</v>
      </c>
      <c r="B207" s="13" t="n">
        <f aca="false">Wk30!B67</f>
        <v>46232</v>
      </c>
      <c r="C207" s="12" t="str">
        <f aca="false">TEXT(B207,"dddd")</f>
        <v>Wednesday</v>
      </c>
      <c r="D207" s="20" t="n">
        <f aca="false">Wk30!M67</f>
        <v>0</v>
      </c>
      <c r="E207" s="20" t="n">
        <f aca="false">IFERROR(F207-D207,"")</f>
        <v>0</v>
      </c>
      <c r="F207" s="20" t="n">
        <f aca="false">Wk30!H67</f>
        <v>0</v>
      </c>
      <c r="G207" s="12" t="str">
        <f aca="false">IF(Wk30!L67="","",Wk30!L67)</f>
        <v/>
      </c>
      <c r="H207" s="20" t="n">
        <f aca="false">Wk30!R67</f>
        <v>0</v>
      </c>
      <c r="I207" s="20" t="str">
        <f aca="false">IF(OR(F207=0,H207=0),"",F207-H207)</f>
        <v/>
      </c>
      <c r="J207" s="36" t="str">
        <f aca="false">IFERROR(I207/H207,"")</f>
        <v/>
      </c>
      <c r="K207" s="37" t="n">
        <f aca="false">Wk30!D67</f>
        <v>0</v>
      </c>
      <c r="L207" s="37" t="n">
        <f aca="false">Wk30!E67</f>
        <v>0</v>
      </c>
      <c r="M207" s="20" t="n">
        <f aca="false">Wk30!K67</f>
        <v>0</v>
      </c>
    </row>
    <row r="208" customFormat="false" ht="15" hidden="false" customHeight="false" outlineLevel="0" collapsed="false">
      <c r="A208" s="12" t="s">
        <v>152</v>
      </c>
      <c r="B208" s="13" t="n">
        <f aca="false">Wk30!B89</f>
        <v>46233</v>
      </c>
      <c r="C208" s="12" t="str">
        <f aca="false">TEXT(B208,"dddd")</f>
        <v>Thursday</v>
      </c>
      <c r="D208" s="20" t="n">
        <f aca="false">Wk30!M89</f>
        <v>0</v>
      </c>
      <c r="E208" s="20" t="n">
        <f aca="false">IFERROR(F208-D208,"")</f>
        <v>0</v>
      </c>
      <c r="F208" s="20" t="n">
        <f aca="false">Wk30!H89</f>
        <v>0</v>
      </c>
      <c r="G208" s="12" t="str">
        <f aca="false">IF(Wk30!L89="","",Wk30!L89)</f>
        <v/>
      </c>
      <c r="H208" s="20" t="n">
        <f aca="false">Wk30!R89</f>
        <v>0</v>
      </c>
      <c r="I208" s="20" t="str">
        <f aca="false">IF(OR(F208=0,H208=0),"",F208-H208)</f>
        <v/>
      </c>
      <c r="J208" s="36" t="str">
        <f aca="false">IFERROR(I208/H208,"")</f>
        <v/>
      </c>
      <c r="K208" s="37" t="n">
        <f aca="false">Wk30!D89</f>
        <v>0</v>
      </c>
      <c r="L208" s="37" t="n">
        <f aca="false">Wk30!E89</f>
        <v>0</v>
      </c>
      <c r="M208" s="20" t="n">
        <f aca="false">Wk30!K89</f>
        <v>0</v>
      </c>
    </row>
    <row r="209" customFormat="false" ht="15" hidden="false" customHeight="false" outlineLevel="0" collapsed="false">
      <c r="A209" s="12" t="s">
        <v>152</v>
      </c>
      <c r="B209" s="13" t="n">
        <f aca="false">Wk30!B111</f>
        <v>46234</v>
      </c>
      <c r="C209" s="12" t="str">
        <f aca="false">TEXT(B209,"dddd")</f>
        <v>Friday</v>
      </c>
      <c r="D209" s="20" t="n">
        <f aca="false">Wk30!M111</f>
        <v>0</v>
      </c>
      <c r="E209" s="20" t="n">
        <f aca="false">IFERROR(F209-D209,"")</f>
        <v>0</v>
      </c>
      <c r="F209" s="20" t="n">
        <f aca="false">Wk30!H111</f>
        <v>0</v>
      </c>
      <c r="G209" s="12" t="str">
        <f aca="false">IF(Wk30!L111="","",Wk30!L111)</f>
        <v/>
      </c>
      <c r="H209" s="20" t="n">
        <f aca="false">Wk30!R111</f>
        <v>0</v>
      </c>
      <c r="I209" s="20" t="str">
        <f aca="false">IF(OR(F209=0,H209=0),"",F209-H209)</f>
        <v/>
      </c>
      <c r="J209" s="36" t="str">
        <f aca="false">IFERROR(I209/H209,"")</f>
        <v/>
      </c>
      <c r="K209" s="37" t="n">
        <f aca="false">Wk30!D111</f>
        <v>0</v>
      </c>
      <c r="L209" s="37" t="n">
        <f aca="false">Wk30!E111</f>
        <v>0</v>
      </c>
      <c r="M209" s="20" t="n">
        <f aca="false">Wk30!K111</f>
        <v>0</v>
      </c>
    </row>
    <row r="210" customFormat="false" ht="15" hidden="false" customHeight="false" outlineLevel="0" collapsed="false">
      <c r="A210" s="12" t="s">
        <v>152</v>
      </c>
      <c r="B210" s="13" t="n">
        <f aca="false">Wk30!B133</f>
        <v>46235</v>
      </c>
      <c r="C210" s="12" t="str">
        <f aca="false">TEXT(B210,"dddd")</f>
        <v>Saturday</v>
      </c>
      <c r="D210" s="20" t="n">
        <f aca="false">Wk30!M133</f>
        <v>0</v>
      </c>
      <c r="E210" s="20" t="n">
        <f aca="false">IFERROR(F210-D210,"")</f>
        <v>0</v>
      </c>
      <c r="F210" s="20" t="n">
        <f aca="false">Wk30!H133</f>
        <v>0</v>
      </c>
      <c r="G210" s="12" t="str">
        <f aca="false">IF(Wk30!L133="","",Wk30!L133)</f>
        <v/>
      </c>
      <c r="H210" s="20" t="n">
        <f aca="false">Wk30!R133</f>
        <v>0</v>
      </c>
      <c r="I210" s="20" t="str">
        <f aca="false">IF(OR(F210=0,H210=0),"",F210-H210)</f>
        <v/>
      </c>
      <c r="J210" s="36" t="str">
        <f aca="false">IFERROR(I210/H210,"")</f>
        <v/>
      </c>
      <c r="K210" s="37" t="n">
        <f aca="false">Wk30!D133</f>
        <v>0</v>
      </c>
      <c r="L210" s="37" t="n">
        <f aca="false">Wk30!E133</f>
        <v>0</v>
      </c>
      <c r="M210" s="20" t="n">
        <f aca="false">Wk30!K133</f>
        <v>0</v>
      </c>
    </row>
    <row r="211" customFormat="false" ht="15" hidden="false" customHeight="false" outlineLevel="0" collapsed="false">
      <c r="A211" s="12" t="s">
        <v>152</v>
      </c>
      <c r="B211" s="13" t="n">
        <f aca="false">Wk30!B155</f>
        <v>46236</v>
      </c>
      <c r="C211" s="12" t="str">
        <f aca="false">TEXT(B211,"dddd")</f>
        <v>Sunday</v>
      </c>
      <c r="D211" s="20" t="n">
        <f aca="false">Wk30!M155</f>
        <v>0</v>
      </c>
      <c r="E211" s="20" t="n">
        <f aca="false">IFERROR(F211-D211,"")</f>
        <v>0</v>
      </c>
      <c r="F211" s="20" t="n">
        <f aca="false">Wk30!H155</f>
        <v>0</v>
      </c>
      <c r="G211" s="12" t="str">
        <f aca="false">IF(Wk30!L155="","",Wk30!L155)</f>
        <v/>
      </c>
      <c r="H211" s="20" t="n">
        <f aca="false">Wk30!R155</f>
        <v>0</v>
      </c>
      <c r="I211" s="20" t="str">
        <f aca="false">IF(OR(F211=0,H211=0),"",F211-H211)</f>
        <v/>
      </c>
      <c r="J211" s="36" t="str">
        <f aca="false">IFERROR(I211/H211,"")</f>
        <v/>
      </c>
      <c r="K211" s="37" t="n">
        <f aca="false">Wk30!D155</f>
        <v>0</v>
      </c>
      <c r="L211" s="37" t="n">
        <f aca="false">Wk30!E155</f>
        <v>0</v>
      </c>
      <c r="M211" s="20" t="n">
        <f aca="false">Wk30!K155</f>
        <v>0</v>
      </c>
    </row>
    <row r="212" customFormat="false" ht="15" hidden="false" customHeight="false" outlineLevel="0" collapsed="false">
      <c r="A212" s="12" t="s">
        <v>153</v>
      </c>
      <c r="B212" s="13" t="n">
        <f aca="false">Wk31!B23</f>
        <v>46237</v>
      </c>
      <c r="C212" s="12" t="str">
        <f aca="false">TEXT(B212,"dddd")</f>
        <v>Monday</v>
      </c>
      <c r="D212" s="20" t="n">
        <f aca="false">Wk31!M23</f>
        <v>0</v>
      </c>
      <c r="E212" s="20" t="n">
        <f aca="false">IFERROR(F212-D212,"")</f>
        <v>0</v>
      </c>
      <c r="F212" s="20" t="n">
        <f aca="false">Wk31!H23</f>
        <v>0</v>
      </c>
      <c r="G212" s="12" t="str">
        <f aca="false">IF(Wk31!L23="","",Wk31!L23)</f>
        <v/>
      </c>
      <c r="H212" s="20" t="n">
        <f aca="false">Wk31!R23</f>
        <v>0</v>
      </c>
      <c r="I212" s="20" t="str">
        <f aca="false">IF(OR(F212=0,H212=0),"",F212-H212)</f>
        <v/>
      </c>
      <c r="J212" s="36" t="str">
        <f aca="false">IFERROR(I212/H212,"")</f>
        <v/>
      </c>
      <c r="K212" s="37" t="n">
        <f aca="false">Wk31!D23</f>
        <v>0</v>
      </c>
      <c r="L212" s="37" t="n">
        <f aca="false">Wk31!E23</f>
        <v>0</v>
      </c>
      <c r="M212" s="20" t="n">
        <f aca="false">Wk31!K23</f>
        <v>0</v>
      </c>
    </row>
    <row r="213" customFormat="false" ht="15" hidden="false" customHeight="false" outlineLevel="0" collapsed="false">
      <c r="A213" s="12" t="s">
        <v>153</v>
      </c>
      <c r="B213" s="13" t="n">
        <f aca="false">Wk31!B45</f>
        <v>46238</v>
      </c>
      <c r="C213" s="12" t="str">
        <f aca="false">TEXT(B213,"dddd")</f>
        <v>Tuesday</v>
      </c>
      <c r="D213" s="20" t="n">
        <f aca="false">Wk31!M45</f>
        <v>0</v>
      </c>
      <c r="E213" s="20" t="n">
        <f aca="false">IFERROR(F213-D213,"")</f>
        <v>0</v>
      </c>
      <c r="F213" s="20" t="n">
        <f aca="false">Wk31!H45</f>
        <v>0</v>
      </c>
      <c r="G213" s="12" t="str">
        <f aca="false">IF(Wk31!L45="","",Wk31!L45)</f>
        <v/>
      </c>
      <c r="H213" s="20" t="n">
        <f aca="false">Wk31!R45</f>
        <v>0</v>
      </c>
      <c r="I213" s="20" t="str">
        <f aca="false">IF(OR(F213=0,H213=0),"",F213-H213)</f>
        <v/>
      </c>
      <c r="J213" s="36" t="str">
        <f aca="false">IFERROR(I213/H213,"")</f>
        <v/>
      </c>
      <c r="K213" s="37" t="n">
        <f aca="false">Wk31!D45</f>
        <v>0</v>
      </c>
      <c r="L213" s="37" t="n">
        <f aca="false">Wk31!E45</f>
        <v>0</v>
      </c>
      <c r="M213" s="20" t="n">
        <f aca="false">Wk31!K45</f>
        <v>0</v>
      </c>
    </row>
    <row r="214" customFormat="false" ht="15" hidden="false" customHeight="false" outlineLevel="0" collapsed="false">
      <c r="A214" s="12" t="s">
        <v>153</v>
      </c>
      <c r="B214" s="13" t="n">
        <f aca="false">Wk31!B67</f>
        <v>46239</v>
      </c>
      <c r="C214" s="12" t="str">
        <f aca="false">TEXT(B214,"dddd")</f>
        <v>Wednesday</v>
      </c>
      <c r="D214" s="20" t="n">
        <f aca="false">Wk31!M67</f>
        <v>0</v>
      </c>
      <c r="E214" s="20" t="n">
        <f aca="false">IFERROR(F214-D214,"")</f>
        <v>0</v>
      </c>
      <c r="F214" s="20" t="n">
        <f aca="false">Wk31!H67</f>
        <v>0</v>
      </c>
      <c r="G214" s="12" t="str">
        <f aca="false">IF(Wk31!L67="","",Wk31!L67)</f>
        <v/>
      </c>
      <c r="H214" s="20" t="n">
        <f aca="false">Wk31!R67</f>
        <v>0</v>
      </c>
      <c r="I214" s="20" t="str">
        <f aca="false">IF(OR(F214=0,H214=0),"",F214-H214)</f>
        <v/>
      </c>
      <c r="J214" s="36" t="str">
        <f aca="false">IFERROR(I214/H214,"")</f>
        <v/>
      </c>
      <c r="K214" s="37" t="n">
        <f aca="false">Wk31!D67</f>
        <v>0</v>
      </c>
      <c r="L214" s="37" t="n">
        <f aca="false">Wk31!E67</f>
        <v>0</v>
      </c>
      <c r="M214" s="20" t="n">
        <f aca="false">Wk31!K67</f>
        <v>0</v>
      </c>
    </row>
    <row r="215" customFormat="false" ht="15" hidden="false" customHeight="false" outlineLevel="0" collapsed="false">
      <c r="A215" s="12" t="s">
        <v>153</v>
      </c>
      <c r="B215" s="13" t="n">
        <f aca="false">Wk31!B89</f>
        <v>46240</v>
      </c>
      <c r="C215" s="12" t="str">
        <f aca="false">TEXT(B215,"dddd")</f>
        <v>Thursday</v>
      </c>
      <c r="D215" s="20" t="n">
        <f aca="false">Wk31!M89</f>
        <v>0</v>
      </c>
      <c r="E215" s="20" t="n">
        <f aca="false">IFERROR(F215-D215,"")</f>
        <v>0</v>
      </c>
      <c r="F215" s="20" t="n">
        <f aca="false">Wk31!H89</f>
        <v>0</v>
      </c>
      <c r="G215" s="12" t="str">
        <f aca="false">IF(Wk31!L89="","",Wk31!L89)</f>
        <v/>
      </c>
      <c r="H215" s="20" t="n">
        <f aca="false">Wk31!R89</f>
        <v>0</v>
      </c>
      <c r="I215" s="20" t="str">
        <f aca="false">IF(OR(F215=0,H215=0),"",F215-H215)</f>
        <v/>
      </c>
      <c r="J215" s="36" t="str">
        <f aca="false">IFERROR(I215/H215,"")</f>
        <v/>
      </c>
      <c r="K215" s="37" t="n">
        <f aca="false">Wk31!D89</f>
        <v>0</v>
      </c>
      <c r="L215" s="37" t="n">
        <f aca="false">Wk31!E89</f>
        <v>0</v>
      </c>
      <c r="M215" s="20" t="n">
        <f aca="false">Wk31!K89</f>
        <v>0</v>
      </c>
    </row>
    <row r="216" customFormat="false" ht="15" hidden="false" customHeight="false" outlineLevel="0" collapsed="false">
      <c r="A216" s="12" t="s">
        <v>153</v>
      </c>
      <c r="B216" s="13" t="n">
        <f aca="false">Wk31!B111</f>
        <v>46241</v>
      </c>
      <c r="C216" s="12" t="str">
        <f aca="false">TEXT(B216,"dddd")</f>
        <v>Friday</v>
      </c>
      <c r="D216" s="20" t="n">
        <f aca="false">Wk31!M111</f>
        <v>0</v>
      </c>
      <c r="E216" s="20" t="n">
        <f aca="false">IFERROR(F216-D216,"")</f>
        <v>0</v>
      </c>
      <c r="F216" s="20" t="n">
        <f aca="false">Wk31!H111</f>
        <v>0</v>
      </c>
      <c r="G216" s="12" t="str">
        <f aca="false">IF(Wk31!L111="","",Wk31!L111)</f>
        <v/>
      </c>
      <c r="H216" s="20" t="n">
        <f aca="false">Wk31!R111</f>
        <v>0</v>
      </c>
      <c r="I216" s="20" t="str">
        <f aca="false">IF(OR(F216=0,H216=0),"",F216-H216)</f>
        <v/>
      </c>
      <c r="J216" s="36" t="str">
        <f aca="false">IFERROR(I216/H216,"")</f>
        <v/>
      </c>
      <c r="K216" s="37" t="n">
        <f aca="false">Wk31!D111</f>
        <v>0</v>
      </c>
      <c r="L216" s="37" t="n">
        <f aca="false">Wk31!E111</f>
        <v>0</v>
      </c>
      <c r="M216" s="20" t="n">
        <f aca="false">Wk31!K111</f>
        <v>0</v>
      </c>
    </row>
    <row r="217" customFormat="false" ht="15" hidden="false" customHeight="false" outlineLevel="0" collapsed="false">
      <c r="A217" s="12" t="s">
        <v>153</v>
      </c>
      <c r="B217" s="13" t="n">
        <f aca="false">Wk31!B133</f>
        <v>46242</v>
      </c>
      <c r="C217" s="12" t="str">
        <f aca="false">TEXT(B217,"dddd")</f>
        <v>Saturday</v>
      </c>
      <c r="D217" s="20" t="n">
        <f aca="false">Wk31!M133</f>
        <v>0</v>
      </c>
      <c r="E217" s="20" t="n">
        <f aca="false">IFERROR(F217-D217,"")</f>
        <v>0</v>
      </c>
      <c r="F217" s="20" t="n">
        <f aca="false">Wk31!H133</f>
        <v>0</v>
      </c>
      <c r="G217" s="12" t="str">
        <f aca="false">IF(Wk31!L133="","",Wk31!L133)</f>
        <v/>
      </c>
      <c r="H217" s="20" t="n">
        <f aca="false">Wk31!R133</f>
        <v>0</v>
      </c>
      <c r="I217" s="20" t="str">
        <f aca="false">IF(OR(F217=0,H217=0),"",F217-H217)</f>
        <v/>
      </c>
      <c r="J217" s="36" t="str">
        <f aca="false">IFERROR(I217/H217,"")</f>
        <v/>
      </c>
      <c r="K217" s="37" t="n">
        <f aca="false">Wk31!D133</f>
        <v>0</v>
      </c>
      <c r="L217" s="37" t="n">
        <f aca="false">Wk31!E133</f>
        <v>0</v>
      </c>
      <c r="M217" s="20" t="n">
        <f aca="false">Wk31!K133</f>
        <v>0</v>
      </c>
    </row>
    <row r="218" customFormat="false" ht="15" hidden="false" customHeight="false" outlineLevel="0" collapsed="false">
      <c r="A218" s="12" t="s">
        <v>153</v>
      </c>
      <c r="B218" s="13" t="n">
        <f aca="false">Wk31!B155</f>
        <v>46243</v>
      </c>
      <c r="C218" s="12" t="str">
        <f aca="false">TEXT(B218,"dddd")</f>
        <v>Sunday</v>
      </c>
      <c r="D218" s="20" t="n">
        <f aca="false">Wk31!M155</f>
        <v>0</v>
      </c>
      <c r="E218" s="20" t="n">
        <f aca="false">IFERROR(F218-D218,"")</f>
        <v>0</v>
      </c>
      <c r="F218" s="20" t="n">
        <f aca="false">Wk31!H155</f>
        <v>0</v>
      </c>
      <c r="G218" s="12" t="str">
        <f aca="false">IF(Wk31!L155="","",Wk31!L155)</f>
        <v/>
      </c>
      <c r="H218" s="20" t="n">
        <f aca="false">Wk31!R155</f>
        <v>0</v>
      </c>
      <c r="I218" s="20" t="str">
        <f aca="false">IF(OR(F218=0,H218=0),"",F218-H218)</f>
        <v/>
      </c>
      <c r="J218" s="36" t="str">
        <f aca="false">IFERROR(I218/H218,"")</f>
        <v/>
      </c>
      <c r="K218" s="37" t="n">
        <f aca="false">Wk31!D155</f>
        <v>0</v>
      </c>
      <c r="L218" s="37" t="n">
        <f aca="false">Wk31!E155</f>
        <v>0</v>
      </c>
      <c r="M218" s="20" t="n">
        <f aca="false">Wk31!K155</f>
        <v>0</v>
      </c>
    </row>
    <row r="219" customFormat="false" ht="15" hidden="false" customHeight="false" outlineLevel="0" collapsed="false">
      <c r="A219" s="12" t="s">
        <v>154</v>
      </c>
      <c r="B219" s="13" t="n">
        <f aca="false">Wk32!B23</f>
        <v>46244</v>
      </c>
      <c r="C219" s="12" t="str">
        <f aca="false">TEXT(B219,"dddd")</f>
        <v>Monday</v>
      </c>
      <c r="D219" s="20" t="n">
        <f aca="false">Wk32!M23</f>
        <v>0</v>
      </c>
      <c r="E219" s="20" t="n">
        <f aca="false">IFERROR(F219-D219,"")</f>
        <v>0</v>
      </c>
      <c r="F219" s="20" t="n">
        <f aca="false">Wk32!H23</f>
        <v>0</v>
      </c>
      <c r="G219" s="12" t="str">
        <f aca="false">IF(Wk32!L23="","",Wk32!L23)</f>
        <v/>
      </c>
      <c r="H219" s="20" t="n">
        <f aca="false">Wk32!R23</f>
        <v>0</v>
      </c>
      <c r="I219" s="20" t="str">
        <f aca="false">IF(OR(F219=0,H219=0),"",F219-H219)</f>
        <v/>
      </c>
      <c r="J219" s="36" t="str">
        <f aca="false">IFERROR(I219/H219,"")</f>
        <v/>
      </c>
      <c r="K219" s="37" t="n">
        <f aca="false">Wk32!D23</f>
        <v>0</v>
      </c>
      <c r="L219" s="37" t="n">
        <f aca="false">Wk32!E23</f>
        <v>0</v>
      </c>
      <c r="M219" s="20" t="n">
        <f aca="false">Wk32!K23</f>
        <v>0</v>
      </c>
    </row>
    <row r="220" customFormat="false" ht="15" hidden="false" customHeight="false" outlineLevel="0" collapsed="false">
      <c r="A220" s="12" t="s">
        <v>154</v>
      </c>
      <c r="B220" s="13" t="n">
        <f aca="false">Wk32!B45</f>
        <v>46245</v>
      </c>
      <c r="C220" s="12" t="str">
        <f aca="false">TEXT(B220,"dddd")</f>
        <v>Tuesday</v>
      </c>
      <c r="D220" s="20" t="n">
        <f aca="false">Wk32!M45</f>
        <v>0</v>
      </c>
      <c r="E220" s="20" t="n">
        <f aca="false">IFERROR(F220-D220,"")</f>
        <v>0</v>
      </c>
      <c r="F220" s="20" t="n">
        <f aca="false">Wk32!H45</f>
        <v>0</v>
      </c>
      <c r="G220" s="12" t="str">
        <f aca="false">IF(Wk32!L45="","",Wk32!L45)</f>
        <v/>
      </c>
      <c r="H220" s="20" t="n">
        <f aca="false">Wk32!R45</f>
        <v>0</v>
      </c>
      <c r="I220" s="20" t="str">
        <f aca="false">IF(OR(F220=0,H220=0),"",F220-H220)</f>
        <v/>
      </c>
      <c r="J220" s="36" t="str">
        <f aca="false">IFERROR(I220/H220,"")</f>
        <v/>
      </c>
      <c r="K220" s="37" t="n">
        <f aca="false">Wk32!D45</f>
        <v>0</v>
      </c>
      <c r="L220" s="37" t="n">
        <f aca="false">Wk32!E45</f>
        <v>0</v>
      </c>
      <c r="M220" s="20" t="n">
        <f aca="false">Wk32!K45</f>
        <v>0</v>
      </c>
    </row>
    <row r="221" customFormat="false" ht="15" hidden="false" customHeight="false" outlineLevel="0" collapsed="false">
      <c r="A221" s="12" t="s">
        <v>154</v>
      </c>
      <c r="B221" s="13" t="n">
        <f aca="false">Wk32!B67</f>
        <v>46246</v>
      </c>
      <c r="C221" s="12" t="str">
        <f aca="false">TEXT(B221,"dddd")</f>
        <v>Wednesday</v>
      </c>
      <c r="D221" s="20" t="n">
        <f aca="false">Wk32!M67</f>
        <v>0</v>
      </c>
      <c r="E221" s="20" t="n">
        <f aca="false">IFERROR(F221-D221,"")</f>
        <v>0</v>
      </c>
      <c r="F221" s="20" t="n">
        <f aca="false">Wk32!H67</f>
        <v>0</v>
      </c>
      <c r="G221" s="12" t="str">
        <f aca="false">IF(Wk32!L67="","",Wk32!L67)</f>
        <v/>
      </c>
      <c r="H221" s="20" t="n">
        <f aca="false">Wk32!R67</f>
        <v>0</v>
      </c>
      <c r="I221" s="20" t="str">
        <f aca="false">IF(OR(F221=0,H221=0),"",F221-H221)</f>
        <v/>
      </c>
      <c r="J221" s="36" t="str">
        <f aca="false">IFERROR(I221/H221,"")</f>
        <v/>
      </c>
      <c r="K221" s="37" t="n">
        <f aca="false">Wk32!D67</f>
        <v>0</v>
      </c>
      <c r="L221" s="37" t="n">
        <f aca="false">Wk32!E67</f>
        <v>0</v>
      </c>
      <c r="M221" s="20" t="n">
        <f aca="false">Wk32!K67</f>
        <v>0</v>
      </c>
    </row>
    <row r="222" customFormat="false" ht="15" hidden="false" customHeight="false" outlineLevel="0" collapsed="false">
      <c r="A222" s="12" t="s">
        <v>154</v>
      </c>
      <c r="B222" s="13" t="n">
        <f aca="false">Wk32!B89</f>
        <v>46247</v>
      </c>
      <c r="C222" s="12" t="str">
        <f aca="false">TEXT(B222,"dddd")</f>
        <v>Thursday</v>
      </c>
      <c r="D222" s="20" t="n">
        <f aca="false">Wk32!M89</f>
        <v>0</v>
      </c>
      <c r="E222" s="20" t="n">
        <f aca="false">IFERROR(F222-D222,"")</f>
        <v>0</v>
      </c>
      <c r="F222" s="20" t="n">
        <f aca="false">Wk32!H89</f>
        <v>0</v>
      </c>
      <c r="G222" s="12" t="str">
        <f aca="false">IF(Wk32!L89="","",Wk32!L89)</f>
        <v/>
      </c>
      <c r="H222" s="20" t="n">
        <f aca="false">Wk32!R89</f>
        <v>0</v>
      </c>
      <c r="I222" s="20" t="str">
        <f aca="false">IF(OR(F222=0,H222=0),"",F222-H222)</f>
        <v/>
      </c>
      <c r="J222" s="36" t="str">
        <f aca="false">IFERROR(I222/H222,"")</f>
        <v/>
      </c>
      <c r="K222" s="37" t="n">
        <f aca="false">Wk32!D89</f>
        <v>0</v>
      </c>
      <c r="L222" s="37" t="n">
        <f aca="false">Wk32!E89</f>
        <v>0</v>
      </c>
      <c r="M222" s="20" t="n">
        <f aca="false">Wk32!K89</f>
        <v>0</v>
      </c>
    </row>
    <row r="223" customFormat="false" ht="15" hidden="false" customHeight="false" outlineLevel="0" collapsed="false">
      <c r="A223" s="12" t="s">
        <v>154</v>
      </c>
      <c r="B223" s="13" t="n">
        <f aca="false">Wk32!B111</f>
        <v>46248</v>
      </c>
      <c r="C223" s="12" t="str">
        <f aca="false">TEXT(B223,"dddd")</f>
        <v>Friday</v>
      </c>
      <c r="D223" s="20" t="n">
        <f aca="false">Wk32!M111</f>
        <v>0</v>
      </c>
      <c r="E223" s="20" t="n">
        <f aca="false">IFERROR(F223-D223,"")</f>
        <v>0</v>
      </c>
      <c r="F223" s="20" t="n">
        <f aca="false">Wk32!H111</f>
        <v>0</v>
      </c>
      <c r="G223" s="12" t="str">
        <f aca="false">IF(Wk32!L111="","",Wk32!L111)</f>
        <v/>
      </c>
      <c r="H223" s="20" t="n">
        <f aca="false">Wk32!R111</f>
        <v>0</v>
      </c>
      <c r="I223" s="20" t="str">
        <f aca="false">IF(OR(F223=0,H223=0),"",F223-H223)</f>
        <v/>
      </c>
      <c r="J223" s="36" t="str">
        <f aca="false">IFERROR(I223/H223,"")</f>
        <v/>
      </c>
      <c r="K223" s="37" t="n">
        <f aca="false">Wk32!D111</f>
        <v>0</v>
      </c>
      <c r="L223" s="37" t="n">
        <f aca="false">Wk32!E111</f>
        <v>0</v>
      </c>
      <c r="M223" s="20" t="n">
        <f aca="false">Wk32!K111</f>
        <v>0</v>
      </c>
    </row>
    <row r="224" customFormat="false" ht="15" hidden="false" customHeight="false" outlineLevel="0" collapsed="false">
      <c r="A224" s="12" t="s">
        <v>154</v>
      </c>
      <c r="B224" s="13" t="n">
        <f aca="false">Wk32!B133</f>
        <v>46249</v>
      </c>
      <c r="C224" s="12" t="str">
        <f aca="false">TEXT(B224,"dddd")</f>
        <v>Saturday</v>
      </c>
      <c r="D224" s="20" t="n">
        <f aca="false">Wk32!M133</f>
        <v>0</v>
      </c>
      <c r="E224" s="20" t="n">
        <f aca="false">IFERROR(F224-D224,"")</f>
        <v>0</v>
      </c>
      <c r="F224" s="20" t="n">
        <f aca="false">Wk32!H133</f>
        <v>0</v>
      </c>
      <c r="G224" s="12" t="str">
        <f aca="false">IF(Wk32!L133="","",Wk32!L133)</f>
        <v/>
      </c>
      <c r="H224" s="20" t="n">
        <f aca="false">Wk32!R133</f>
        <v>0</v>
      </c>
      <c r="I224" s="20" t="str">
        <f aca="false">IF(OR(F224=0,H224=0),"",F224-H224)</f>
        <v/>
      </c>
      <c r="J224" s="36" t="str">
        <f aca="false">IFERROR(I224/H224,"")</f>
        <v/>
      </c>
      <c r="K224" s="37" t="n">
        <f aca="false">Wk32!D133</f>
        <v>0</v>
      </c>
      <c r="L224" s="37" t="n">
        <f aca="false">Wk32!E133</f>
        <v>0</v>
      </c>
      <c r="M224" s="20" t="n">
        <f aca="false">Wk32!K133</f>
        <v>0</v>
      </c>
    </row>
    <row r="225" customFormat="false" ht="15" hidden="false" customHeight="false" outlineLevel="0" collapsed="false">
      <c r="A225" s="12" t="s">
        <v>154</v>
      </c>
      <c r="B225" s="13" t="n">
        <f aca="false">Wk32!B155</f>
        <v>46250</v>
      </c>
      <c r="C225" s="12" t="str">
        <f aca="false">TEXT(B225,"dddd")</f>
        <v>Sunday</v>
      </c>
      <c r="D225" s="20" t="n">
        <f aca="false">Wk32!M155</f>
        <v>0</v>
      </c>
      <c r="E225" s="20" t="n">
        <f aca="false">IFERROR(F225-D225,"")</f>
        <v>0</v>
      </c>
      <c r="F225" s="20" t="n">
        <f aca="false">Wk32!H155</f>
        <v>0</v>
      </c>
      <c r="G225" s="12" t="str">
        <f aca="false">IF(Wk32!L155="","",Wk32!L155)</f>
        <v/>
      </c>
      <c r="H225" s="20" t="n">
        <f aca="false">Wk32!R155</f>
        <v>0</v>
      </c>
      <c r="I225" s="20" t="str">
        <f aca="false">IF(OR(F225=0,H225=0),"",F225-H225)</f>
        <v/>
      </c>
      <c r="J225" s="36" t="str">
        <f aca="false">IFERROR(I225/H225,"")</f>
        <v/>
      </c>
      <c r="K225" s="37" t="n">
        <f aca="false">Wk32!D155</f>
        <v>0</v>
      </c>
      <c r="L225" s="37" t="n">
        <f aca="false">Wk32!E155</f>
        <v>0</v>
      </c>
      <c r="M225" s="20" t="n">
        <f aca="false">Wk32!K155</f>
        <v>0</v>
      </c>
    </row>
    <row r="226" customFormat="false" ht="15" hidden="false" customHeight="false" outlineLevel="0" collapsed="false">
      <c r="A226" s="12" t="s">
        <v>155</v>
      </c>
      <c r="B226" s="13" t="n">
        <f aca="false">Wk33!B23</f>
        <v>46251</v>
      </c>
      <c r="C226" s="12" t="str">
        <f aca="false">TEXT(B226,"dddd")</f>
        <v>Monday</v>
      </c>
      <c r="D226" s="20" t="n">
        <f aca="false">Wk33!M23</f>
        <v>0</v>
      </c>
      <c r="E226" s="20" t="n">
        <f aca="false">IFERROR(F226-D226,"")</f>
        <v>0</v>
      </c>
      <c r="F226" s="20" t="n">
        <f aca="false">Wk33!H23</f>
        <v>0</v>
      </c>
      <c r="G226" s="12" t="str">
        <f aca="false">IF(Wk33!L23="","",Wk33!L23)</f>
        <v/>
      </c>
      <c r="H226" s="20" t="n">
        <f aca="false">Wk33!R23</f>
        <v>0</v>
      </c>
      <c r="I226" s="20" t="str">
        <f aca="false">IF(OR(F226=0,H226=0),"",F226-H226)</f>
        <v/>
      </c>
      <c r="J226" s="36" t="str">
        <f aca="false">IFERROR(I226/H226,"")</f>
        <v/>
      </c>
      <c r="K226" s="37" t="n">
        <f aca="false">Wk33!D23</f>
        <v>0</v>
      </c>
      <c r="L226" s="37" t="n">
        <f aca="false">Wk33!E23</f>
        <v>0</v>
      </c>
      <c r="M226" s="20" t="n">
        <f aca="false">Wk33!K23</f>
        <v>0</v>
      </c>
    </row>
    <row r="227" customFormat="false" ht="15" hidden="false" customHeight="false" outlineLevel="0" collapsed="false">
      <c r="A227" s="12" t="s">
        <v>155</v>
      </c>
      <c r="B227" s="13" t="n">
        <f aca="false">Wk33!B45</f>
        <v>46252</v>
      </c>
      <c r="C227" s="12" t="str">
        <f aca="false">TEXT(B227,"dddd")</f>
        <v>Tuesday</v>
      </c>
      <c r="D227" s="20" t="n">
        <f aca="false">Wk33!M45</f>
        <v>0</v>
      </c>
      <c r="E227" s="20" t="n">
        <f aca="false">IFERROR(F227-D227,"")</f>
        <v>0</v>
      </c>
      <c r="F227" s="20" t="n">
        <f aca="false">Wk33!H45</f>
        <v>0</v>
      </c>
      <c r="G227" s="12" t="str">
        <f aca="false">IF(Wk33!L45="","",Wk33!L45)</f>
        <v/>
      </c>
      <c r="H227" s="20" t="n">
        <f aca="false">Wk33!R45</f>
        <v>0</v>
      </c>
      <c r="I227" s="20" t="str">
        <f aca="false">IF(OR(F227=0,H227=0),"",F227-H227)</f>
        <v/>
      </c>
      <c r="J227" s="36" t="str">
        <f aca="false">IFERROR(I227/H227,"")</f>
        <v/>
      </c>
      <c r="K227" s="37" t="n">
        <f aca="false">Wk33!D45</f>
        <v>0</v>
      </c>
      <c r="L227" s="37" t="n">
        <f aca="false">Wk33!E45</f>
        <v>0</v>
      </c>
      <c r="M227" s="20" t="n">
        <f aca="false">Wk33!K45</f>
        <v>0</v>
      </c>
    </row>
    <row r="228" customFormat="false" ht="15" hidden="false" customHeight="false" outlineLevel="0" collapsed="false">
      <c r="A228" s="12" t="s">
        <v>155</v>
      </c>
      <c r="B228" s="13" t="n">
        <f aca="false">Wk33!B67</f>
        <v>46253</v>
      </c>
      <c r="C228" s="12" t="str">
        <f aca="false">TEXT(B228,"dddd")</f>
        <v>Wednesday</v>
      </c>
      <c r="D228" s="20" t="n">
        <f aca="false">Wk33!M67</f>
        <v>0</v>
      </c>
      <c r="E228" s="20" t="n">
        <f aca="false">IFERROR(F228-D228,"")</f>
        <v>0</v>
      </c>
      <c r="F228" s="20" t="n">
        <f aca="false">Wk33!H67</f>
        <v>0</v>
      </c>
      <c r="G228" s="12" t="str">
        <f aca="false">IF(Wk33!L67="","",Wk33!L67)</f>
        <v/>
      </c>
      <c r="H228" s="20" t="n">
        <f aca="false">Wk33!R67</f>
        <v>0</v>
      </c>
      <c r="I228" s="20" t="str">
        <f aca="false">IF(OR(F228=0,H228=0),"",F228-H228)</f>
        <v/>
      </c>
      <c r="J228" s="36" t="str">
        <f aca="false">IFERROR(I228/H228,"")</f>
        <v/>
      </c>
      <c r="K228" s="37" t="n">
        <f aca="false">Wk33!D67</f>
        <v>0</v>
      </c>
      <c r="L228" s="37" t="n">
        <f aca="false">Wk33!E67</f>
        <v>0</v>
      </c>
      <c r="M228" s="20" t="n">
        <f aca="false">Wk33!K67</f>
        <v>0</v>
      </c>
    </row>
    <row r="229" customFormat="false" ht="15" hidden="false" customHeight="false" outlineLevel="0" collapsed="false">
      <c r="A229" s="12" t="s">
        <v>155</v>
      </c>
      <c r="B229" s="13" t="n">
        <f aca="false">Wk33!B89</f>
        <v>46254</v>
      </c>
      <c r="C229" s="12" t="str">
        <f aca="false">TEXT(B229,"dddd")</f>
        <v>Thursday</v>
      </c>
      <c r="D229" s="20" t="n">
        <f aca="false">Wk33!M89</f>
        <v>0</v>
      </c>
      <c r="E229" s="20" t="n">
        <f aca="false">IFERROR(F229-D229,"")</f>
        <v>0</v>
      </c>
      <c r="F229" s="20" t="n">
        <f aca="false">Wk33!H89</f>
        <v>0</v>
      </c>
      <c r="G229" s="12" t="str">
        <f aca="false">IF(Wk33!L89="","",Wk33!L89)</f>
        <v/>
      </c>
      <c r="H229" s="20" t="n">
        <f aca="false">Wk33!R89</f>
        <v>0</v>
      </c>
      <c r="I229" s="20" t="str">
        <f aca="false">IF(OR(F229=0,H229=0),"",F229-H229)</f>
        <v/>
      </c>
      <c r="J229" s="36" t="str">
        <f aca="false">IFERROR(I229/H229,"")</f>
        <v/>
      </c>
      <c r="K229" s="37" t="n">
        <f aca="false">Wk33!D89</f>
        <v>0</v>
      </c>
      <c r="L229" s="37" t="n">
        <f aca="false">Wk33!E89</f>
        <v>0</v>
      </c>
      <c r="M229" s="20" t="n">
        <f aca="false">Wk33!K89</f>
        <v>0</v>
      </c>
    </row>
    <row r="230" customFormat="false" ht="15" hidden="false" customHeight="false" outlineLevel="0" collapsed="false">
      <c r="A230" s="12" t="s">
        <v>155</v>
      </c>
      <c r="B230" s="13" t="n">
        <f aca="false">Wk33!B111</f>
        <v>46255</v>
      </c>
      <c r="C230" s="12" t="str">
        <f aca="false">TEXT(B230,"dddd")</f>
        <v>Friday</v>
      </c>
      <c r="D230" s="20" t="n">
        <f aca="false">Wk33!M111</f>
        <v>0</v>
      </c>
      <c r="E230" s="20" t="n">
        <f aca="false">IFERROR(F230-D230,"")</f>
        <v>0</v>
      </c>
      <c r="F230" s="20" t="n">
        <f aca="false">Wk33!H111</f>
        <v>0</v>
      </c>
      <c r="G230" s="12" t="str">
        <f aca="false">IF(Wk33!L111="","",Wk33!L111)</f>
        <v/>
      </c>
      <c r="H230" s="20" t="n">
        <f aca="false">Wk33!R111</f>
        <v>0</v>
      </c>
      <c r="I230" s="20" t="str">
        <f aca="false">IF(OR(F230=0,H230=0),"",F230-H230)</f>
        <v/>
      </c>
      <c r="J230" s="36" t="str">
        <f aca="false">IFERROR(I230/H230,"")</f>
        <v/>
      </c>
      <c r="K230" s="37" t="n">
        <f aca="false">Wk33!D111</f>
        <v>0</v>
      </c>
      <c r="L230" s="37" t="n">
        <f aca="false">Wk33!E111</f>
        <v>0</v>
      </c>
      <c r="M230" s="20" t="n">
        <f aca="false">Wk33!K111</f>
        <v>0</v>
      </c>
    </row>
    <row r="231" customFormat="false" ht="15" hidden="false" customHeight="false" outlineLevel="0" collapsed="false">
      <c r="A231" s="12" t="s">
        <v>155</v>
      </c>
      <c r="B231" s="13" t="n">
        <f aca="false">Wk33!B133</f>
        <v>46256</v>
      </c>
      <c r="C231" s="12" t="str">
        <f aca="false">TEXT(B231,"dddd")</f>
        <v>Saturday</v>
      </c>
      <c r="D231" s="20" t="n">
        <f aca="false">Wk33!M133</f>
        <v>0</v>
      </c>
      <c r="E231" s="20" t="n">
        <f aca="false">IFERROR(F231-D231,"")</f>
        <v>0</v>
      </c>
      <c r="F231" s="20" t="n">
        <f aca="false">Wk33!H133</f>
        <v>0</v>
      </c>
      <c r="G231" s="12" t="str">
        <f aca="false">IF(Wk33!L133="","",Wk33!L133)</f>
        <v/>
      </c>
      <c r="H231" s="20" t="n">
        <f aca="false">Wk33!R133</f>
        <v>0</v>
      </c>
      <c r="I231" s="20" t="str">
        <f aca="false">IF(OR(F231=0,H231=0),"",F231-H231)</f>
        <v/>
      </c>
      <c r="J231" s="36" t="str">
        <f aca="false">IFERROR(I231/H231,"")</f>
        <v/>
      </c>
      <c r="K231" s="37" t="n">
        <f aca="false">Wk33!D133</f>
        <v>0</v>
      </c>
      <c r="L231" s="37" t="n">
        <f aca="false">Wk33!E133</f>
        <v>0</v>
      </c>
      <c r="M231" s="20" t="n">
        <f aca="false">Wk33!K133</f>
        <v>0</v>
      </c>
    </row>
    <row r="232" customFormat="false" ht="15" hidden="false" customHeight="false" outlineLevel="0" collapsed="false">
      <c r="A232" s="12" t="s">
        <v>155</v>
      </c>
      <c r="B232" s="13" t="n">
        <f aca="false">Wk33!B155</f>
        <v>46257</v>
      </c>
      <c r="C232" s="12" t="str">
        <f aca="false">TEXT(B232,"dddd")</f>
        <v>Sunday</v>
      </c>
      <c r="D232" s="20" t="n">
        <f aca="false">Wk33!M155</f>
        <v>0</v>
      </c>
      <c r="E232" s="20" t="n">
        <f aca="false">IFERROR(F232-D232,"")</f>
        <v>0</v>
      </c>
      <c r="F232" s="20" t="n">
        <f aca="false">Wk33!H155</f>
        <v>0</v>
      </c>
      <c r="G232" s="12" t="str">
        <f aca="false">IF(Wk33!L155="","",Wk33!L155)</f>
        <v/>
      </c>
      <c r="H232" s="20" t="n">
        <f aca="false">Wk33!R155</f>
        <v>0</v>
      </c>
      <c r="I232" s="20" t="str">
        <f aca="false">IF(OR(F232=0,H232=0),"",F232-H232)</f>
        <v/>
      </c>
      <c r="J232" s="36" t="str">
        <f aca="false">IFERROR(I232/H232,"")</f>
        <v/>
      </c>
      <c r="K232" s="37" t="n">
        <f aca="false">Wk33!D155</f>
        <v>0</v>
      </c>
      <c r="L232" s="37" t="n">
        <f aca="false">Wk33!E155</f>
        <v>0</v>
      </c>
      <c r="M232" s="20" t="n">
        <f aca="false">Wk33!K155</f>
        <v>0</v>
      </c>
    </row>
    <row r="233" customFormat="false" ht="15" hidden="false" customHeight="false" outlineLevel="0" collapsed="false">
      <c r="A233" s="12" t="s">
        <v>156</v>
      </c>
      <c r="B233" s="13" t="n">
        <f aca="false">Wk34!B23</f>
        <v>46258</v>
      </c>
      <c r="C233" s="12" t="str">
        <f aca="false">TEXT(B233,"dddd")</f>
        <v>Monday</v>
      </c>
      <c r="D233" s="20" t="n">
        <f aca="false">Wk34!M23</f>
        <v>0</v>
      </c>
      <c r="E233" s="20" t="n">
        <f aca="false">IFERROR(F233-D233,"")</f>
        <v>0</v>
      </c>
      <c r="F233" s="20" t="n">
        <f aca="false">Wk34!H23</f>
        <v>0</v>
      </c>
      <c r="G233" s="12" t="str">
        <f aca="false">IF(Wk34!L23="","",Wk34!L23)</f>
        <v/>
      </c>
      <c r="H233" s="20" t="n">
        <f aca="false">Wk34!R23</f>
        <v>0</v>
      </c>
      <c r="I233" s="20" t="str">
        <f aca="false">IF(OR(F233=0,H233=0),"",F233-H233)</f>
        <v/>
      </c>
      <c r="J233" s="36" t="str">
        <f aca="false">IFERROR(I233/H233,"")</f>
        <v/>
      </c>
      <c r="K233" s="37" t="n">
        <f aca="false">Wk34!D23</f>
        <v>0</v>
      </c>
      <c r="L233" s="37" t="n">
        <f aca="false">Wk34!E23</f>
        <v>0</v>
      </c>
      <c r="M233" s="20" t="n">
        <f aca="false">Wk34!K23</f>
        <v>0</v>
      </c>
    </row>
    <row r="234" customFormat="false" ht="15" hidden="false" customHeight="false" outlineLevel="0" collapsed="false">
      <c r="A234" s="12" t="s">
        <v>156</v>
      </c>
      <c r="B234" s="13" t="n">
        <f aca="false">Wk34!B45</f>
        <v>46259</v>
      </c>
      <c r="C234" s="12" t="str">
        <f aca="false">TEXT(B234,"dddd")</f>
        <v>Tuesday</v>
      </c>
      <c r="D234" s="20" t="n">
        <f aca="false">Wk34!M45</f>
        <v>0</v>
      </c>
      <c r="E234" s="20" t="n">
        <f aca="false">IFERROR(F234-D234,"")</f>
        <v>0</v>
      </c>
      <c r="F234" s="20" t="n">
        <f aca="false">Wk34!H45</f>
        <v>0</v>
      </c>
      <c r="G234" s="12" t="str">
        <f aca="false">IF(Wk34!L45="","",Wk34!L45)</f>
        <v/>
      </c>
      <c r="H234" s="20" t="n">
        <f aca="false">Wk34!R45</f>
        <v>0</v>
      </c>
      <c r="I234" s="20" t="str">
        <f aca="false">IF(OR(F234=0,H234=0),"",F234-H234)</f>
        <v/>
      </c>
      <c r="J234" s="36" t="str">
        <f aca="false">IFERROR(I234/H234,"")</f>
        <v/>
      </c>
      <c r="K234" s="37" t="n">
        <f aca="false">Wk34!D45</f>
        <v>0</v>
      </c>
      <c r="L234" s="37" t="n">
        <f aca="false">Wk34!E45</f>
        <v>0</v>
      </c>
      <c r="M234" s="20" t="n">
        <f aca="false">Wk34!K45</f>
        <v>0</v>
      </c>
    </row>
    <row r="235" customFormat="false" ht="15" hidden="false" customHeight="false" outlineLevel="0" collapsed="false">
      <c r="A235" s="12" t="s">
        <v>156</v>
      </c>
      <c r="B235" s="13" t="n">
        <f aca="false">Wk34!B67</f>
        <v>46260</v>
      </c>
      <c r="C235" s="12" t="str">
        <f aca="false">TEXT(B235,"dddd")</f>
        <v>Wednesday</v>
      </c>
      <c r="D235" s="20" t="n">
        <f aca="false">Wk34!M67</f>
        <v>0</v>
      </c>
      <c r="E235" s="20" t="n">
        <f aca="false">IFERROR(F235-D235,"")</f>
        <v>0</v>
      </c>
      <c r="F235" s="20" t="n">
        <f aca="false">Wk34!H67</f>
        <v>0</v>
      </c>
      <c r="G235" s="12" t="str">
        <f aca="false">IF(Wk34!L67="","",Wk34!L67)</f>
        <v/>
      </c>
      <c r="H235" s="20" t="n">
        <f aca="false">Wk34!R67</f>
        <v>0</v>
      </c>
      <c r="I235" s="20" t="str">
        <f aca="false">IF(OR(F235=0,H235=0),"",F235-H235)</f>
        <v/>
      </c>
      <c r="J235" s="36" t="str">
        <f aca="false">IFERROR(I235/H235,"")</f>
        <v/>
      </c>
      <c r="K235" s="37" t="n">
        <f aca="false">Wk34!D67</f>
        <v>0</v>
      </c>
      <c r="L235" s="37" t="n">
        <f aca="false">Wk34!E67</f>
        <v>0</v>
      </c>
      <c r="M235" s="20" t="n">
        <f aca="false">Wk34!K67</f>
        <v>0</v>
      </c>
    </row>
    <row r="236" customFormat="false" ht="15" hidden="false" customHeight="false" outlineLevel="0" collapsed="false">
      <c r="A236" s="12" t="s">
        <v>156</v>
      </c>
      <c r="B236" s="13" t="n">
        <f aca="false">Wk34!B89</f>
        <v>46261</v>
      </c>
      <c r="C236" s="12" t="str">
        <f aca="false">TEXT(B236,"dddd")</f>
        <v>Thursday</v>
      </c>
      <c r="D236" s="20" t="n">
        <f aca="false">Wk34!M89</f>
        <v>0</v>
      </c>
      <c r="E236" s="20" t="n">
        <f aca="false">IFERROR(F236-D236,"")</f>
        <v>0</v>
      </c>
      <c r="F236" s="20" t="n">
        <f aca="false">Wk34!H89</f>
        <v>0</v>
      </c>
      <c r="G236" s="12" t="str">
        <f aca="false">IF(Wk34!L89="","",Wk34!L89)</f>
        <v/>
      </c>
      <c r="H236" s="20" t="n">
        <f aca="false">Wk34!R89</f>
        <v>0</v>
      </c>
      <c r="I236" s="20" t="str">
        <f aca="false">IF(OR(F236=0,H236=0),"",F236-H236)</f>
        <v/>
      </c>
      <c r="J236" s="36" t="str">
        <f aca="false">IFERROR(I236/H236,"")</f>
        <v/>
      </c>
      <c r="K236" s="37" t="n">
        <f aca="false">Wk34!D89</f>
        <v>0</v>
      </c>
      <c r="L236" s="37" t="n">
        <f aca="false">Wk34!E89</f>
        <v>0</v>
      </c>
      <c r="M236" s="20" t="n">
        <f aca="false">Wk34!K89</f>
        <v>0</v>
      </c>
    </row>
    <row r="237" customFormat="false" ht="15" hidden="false" customHeight="false" outlineLevel="0" collapsed="false">
      <c r="A237" s="12" t="s">
        <v>156</v>
      </c>
      <c r="B237" s="13" t="n">
        <f aca="false">Wk34!B111</f>
        <v>46262</v>
      </c>
      <c r="C237" s="12" t="str">
        <f aca="false">TEXT(B237,"dddd")</f>
        <v>Friday</v>
      </c>
      <c r="D237" s="20" t="n">
        <f aca="false">Wk34!M111</f>
        <v>0</v>
      </c>
      <c r="E237" s="20" t="n">
        <f aca="false">IFERROR(F237-D237,"")</f>
        <v>0</v>
      </c>
      <c r="F237" s="20" t="n">
        <f aca="false">Wk34!H111</f>
        <v>0</v>
      </c>
      <c r="G237" s="12" t="str">
        <f aca="false">IF(Wk34!L111="","",Wk34!L111)</f>
        <v/>
      </c>
      <c r="H237" s="20" t="n">
        <f aca="false">Wk34!R111</f>
        <v>0</v>
      </c>
      <c r="I237" s="20" t="str">
        <f aca="false">IF(OR(F237=0,H237=0),"",F237-H237)</f>
        <v/>
      </c>
      <c r="J237" s="36" t="str">
        <f aca="false">IFERROR(I237/H237,"")</f>
        <v/>
      </c>
      <c r="K237" s="37" t="n">
        <f aca="false">Wk34!D111</f>
        <v>0</v>
      </c>
      <c r="L237" s="37" t="n">
        <f aca="false">Wk34!E111</f>
        <v>0</v>
      </c>
      <c r="M237" s="20" t="n">
        <f aca="false">Wk34!K111</f>
        <v>0</v>
      </c>
    </row>
    <row r="238" customFormat="false" ht="15" hidden="false" customHeight="false" outlineLevel="0" collapsed="false">
      <c r="A238" s="12" t="s">
        <v>156</v>
      </c>
      <c r="B238" s="13" t="n">
        <f aca="false">Wk34!B133</f>
        <v>46263</v>
      </c>
      <c r="C238" s="12" t="str">
        <f aca="false">TEXT(B238,"dddd")</f>
        <v>Saturday</v>
      </c>
      <c r="D238" s="20" t="n">
        <f aca="false">Wk34!M133</f>
        <v>0</v>
      </c>
      <c r="E238" s="20" t="n">
        <f aca="false">IFERROR(F238-D238,"")</f>
        <v>0</v>
      </c>
      <c r="F238" s="20" t="n">
        <f aca="false">Wk34!H133</f>
        <v>0</v>
      </c>
      <c r="G238" s="12" t="str">
        <f aca="false">IF(Wk34!L133="","",Wk34!L133)</f>
        <v/>
      </c>
      <c r="H238" s="20" t="n">
        <f aca="false">Wk34!R133</f>
        <v>0</v>
      </c>
      <c r="I238" s="20" t="str">
        <f aca="false">IF(OR(F238=0,H238=0),"",F238-H238)</f>
        <v/>
      </c>
      <c r="J238" s="36" t="str">
        <f aca="false">IFERROR(I238/H238,"")</f>
        <v/>
      </c>
      <c r="K238" s="37" t="n">
        <f aca="false">Wk34!D133</f>
        <v>0</v>
      </c>
      <c r="L238" s="37" t="n">
        <f aca="false">Wk34!E133</f>
        <v>0</v>
      </c>
      <c r="M238" s="20" t="n">
        <f aca="false">Wk34!K133</f>
        <v>0</v>
      </c>
    </row>
    <row r="239" customFormat="false" ht="15" hidden="false" customHeight="false" outlineLevel="0" collapsed="false">
      <c r="A239" s="12" t="s">
        <v>156</v>
      </c>
      <c r="B239" s="13" t="n">
        <f aca="false">Wk34!B155</f>
        <v>46264</v>
      </c>
      <c r="C239" s="12" t="str">
        <f aca="false">TEXT(B239,"dddd")</f>
        <v>Sunday</v>
      </c>
      <c r="D239" s="20" t="n">
        <f aca="false">Wk34!M155</f>
        <v>0</v>
      </c>
      <c r="E239" s="20" t="n">
        <f aca="false">IFERROR(F239-D239,"")</f>
        <v>0</v>
      </c>
      <c r="F239" s="20" t="n">
        <f aca="false">Wk34!H155</f>
        <v>0</v>
      </c>
      <c r="G239" s="12" t="str">
        <f aca="false">IF(Wk34!L155="","",Wk34!L155)</f>
        <v/>
      </c>
      <c r="H239" s="20" t="n">
        <f aca="false">Wk34!R155</f>
        <v>0</v>
      </c>
      <c r="I239" s="20" t="str">
        <f aca="false">IF(OR(F239=0,H239=0),"",F239-H239)</f>
        <v/>
      </c>
      <c r="J239" s="36" t="str">
        <f aca="false">IFERROR(I239/H239,"")</f>
        <v/>
      </c>
      <c r="K239" s="37" t="n">
        <f aca="false">Wk34!D155</f>
        <v>0</v>
      </c>
      <c r="L239" s="37" t="n">
        <f aca="false">Wk34!E155</f>
        <v>0</v>
      </c>
      <c r="M239" s="20" t="n">
        <f aca="false">Wk34!K155</f>
        <v>0</v>
      </c>
    </row>
    <row r="240" customFormat="false" ht="15" hidden="false" customHeight="false" outlineLevel="0" collapsed="false">
      <c r="A240" s="12" t="s">
        <v>157</v>
      </c>
      <c r="B240" s="13" t="n">
        <f aca="false">Wk35!B23</f>
        <v>46265</v>
      </c>
      <c r="C240" s="12" t="str">
        <f aca="false">TEXT(B240,"dddd")</f>
        <v>Monday</v>
      </c>
      <c r="D240" s="20" t="n">
        <f aca="false">Wk35!M23</f>
        <v>0</v>
      </c>
      <c r="E240" s="20" t="n">
        <f aca="false">IFERROR(F240-D240,"")</f>
        <v>0</v>
      </c>
      <c r="F240" s="20" t="n">
        <f aca="false">Wk35!H23</f>
        <v>0</v>
      </c>
      <c r="G240" s="12" t="str">
        <f aca="false">IF(Wk35!L23="","",Wk35!L23)</f>
        <v/>
      </c>
      <c r="H240" s="20" t="n">
        <f aca="false">Wk35!R23</f>
        <v>0</v>
      </c>
      <c r="I240" s="20" t="str">
        <f aca="false">IF(OR(F240=0,H240=0),"",F240-H240)</f>
        <v/>
      </c>
      <c r="J240" s="36" t="str">
        <f aca="false">IFERROR(I240/H240,"")</f>
        <v/>
      </c>
      <c r="K240" s="37" t="n">
        <f aca="false">Wk35!D23</f>
        <v>0</v>
      </c>
      <c r="L240" s="37" t="n">
        <f aca="false">Wk35!E23</f>
        <v>0</v>
      </c>
      <c r="M240" s="20" t="n">
        <f aca="false">Wk35!K23</f>
        <v>0</v>
      </c>
    </row>
    <row r="241" customFormat="false" ht="15" hidden="false" customHeight="false" outlineLevel="0" collapsed="false">
      <c r="A241" s="12" t="s">
        <v>157</v>
      </c>
      <c r="B241" s="13" t="n">
        <f aca="false">Wk35!B45</f>
        <v>46266</v>
      </c>
      <c r="C241" s="12" t="str">
        <f aca="false">TEXT(B241,"dddd")</f>
        <v>Tuesday</v>
      </c>
      <c r="D241" s="20" t="n">
        <f aca="false">Wk35!M45</f>
        <v>0</v>
      </c>
      <c r="E241" s="20" t="n">
        <f aca="false">IFERROR(F241-D241,"")</f>
        <v>0</v>
      </c>
      <c r="F241" s="20" t="n">
        <f aca="false">Wk35!H45</f>
        <v>0</v>
      </c>
      <c r="G241" s="12" t="str">
        <f aca="false">IF(Wk35!L45="","",Wk35!L45)</f>
        <v/>
      </c>
      <c r="H241" s="20" t="n">
        <f aca="false">Wk35!R45</f>
        <v>0</v>
      </c>
      <c r="I241" s="20" t="str">
        <f aca="false">IF(OR(F241=0,H241=0),"",F241-H241)</f>
        <v/>
      </c>
      <c r="J241" s="36" t="str">
        <f aca="false">IFERROR(I241/H241,"")</f>
        <v/>
      </c>
      <c r="K241" s="37" t="n">
        <f aca="false">Wk35!D45</f>
        <v>0</v>
      </c>
      <c r="L241" s="37" t="n">
        <f aca="false">Wk35!E45</f>
        <v>0</v>
      </c>
      <c r="M241" s="20" t="n">
        <f aca="false">Wk35!K45</f>
        <v>0</v>
      </c>
    </row>
    <row r="242" customFormat="false" ht="15" hidden="false" customHeight="false" outlineLevel="0" collapsed="false">
      <c r="A242" s="12" t="s">
        <v>157</v>
      </c>
      <c r="B242" s="13" t="n">
        <f aca="false">Wk35!B67</f>
        <v>46267</v>
      </c>
      <c r="C242" s="12" t="str">
        <f aca="false">TEXT(B242,"dddd")</f>
        <v>Wednesday</v>
      </c>
      <c r="D242" s="20" t="n">
        <f aca="false">Wk35!M67</f>
        <v>0</v>
      </c>
      <c r="E242" s="20" t="n">
        <f aca="false">IFERROR(F242-D242,"")</f>
        <v>0</v>
      </c>
      <c r="F242" s="20" t="n">
        <f aca="false">Wk35!H67</f>
        <v>0</v>
      </c>
      <c r="G242" s="12" t="str">
        <f aca="false">IF(Wk35!L67="","",Wk35!L67)</f>
        <v/>
      </c>
      <c r="H242" s="20" t="n">
        <f aca="false">Wk35!R67</f>
        <v>0</v>
      </c>
      <c r="I242" s="20" t="str">
        <f aca="false">IF(OR(F242=0,H242=0),"",F242-H242)</f>
        <v/>
      </c>
      <c r="J242" s="36" t="str">
        <f aca="false">IFERROR(I242/H242,"")</f>
        <v/>
      </c>
      <c r="K242" s="37" t="n">
        <f aca="false">Wk35!D67</f>
        <v>0</v>
      </c>
      <c r="L242" s="37" t="n">
        <f aca="false">Wk35!E67</f>
        <v>0</v>
      </c>
      <c r="M242" s="20" t="n">
        <f aca="false">Wk35!K67</f>
        <v>0</v>
      </c>
    </row>
    <row r="243" customFormat="false" ht="15" hidden="false" customHeight="false" outlineLevel="0" collapsed="false">
      <c r="A243" s="12" t="s">
        <v>157</v>
      </c>
      <c r="B243" s="13" t="n">
        <f aca="false">Wk35!B89</f>
        <v>46268</v>
      </c>
      <c r="C243" s="12" t="str">
        <f aca="false">TEXT(B243,"dddd")</f>
        <v>Thursday</v>
      </c>
      <c r="D243" s="20" t="n">
        <f aca="false">Wk35!M89</f>
        <v>0</v>
      </c>
      <c r="E243" s="20" t="n">
        <f aca="false">IFERROR(F243-D243,"")</f>
        <v>0</v>
      </c>
      <c r="F243" s="20" t="n">
        <f aca="false">Wk35!H89</f>
        <v>0</v>
      </c>
      <c r="G243" s="12" t="str">
        <f aca="false">IF(Wk35!L89="","",Wk35!L89)</f>
        <v/>
      </c>
      <c r="H243" s="20" t="n">
        <f aca="false">Wk35!R89</f>
        <v>0</v>
      </c>
      <c r="I243" s="20" t="str">
        <f aca="false">IF(OR(F243=0,H243=0),"",F243-H243)</f>
        <v/>
      </c>
      <c r="J243" s="36" t="str">
        <f aca="false">IFERROR(I243/H243,"")</f>
        <v/>
      </c>
      <c r="K243" s="37" t="n">
        <f aca="false">Wk35!D89</f>
        <v>0</v>
      </c>
      <c r="L243" s="37" t="n">
        <f aca="false">Wk35!E89</f>
        <v>0</v>
      </c>
      <c r="M243" s="20" t="n">
        <f aca="false">Wk35!K89</f>
        <v>0</v>
      </c>
    </row>
    <row r="244" customFormat="false" ht="15" hidden="false" customHeight="false" outlineLevel="0" collapsed="false">
      <c r="A244" s="12" t="s">
        <v>157</v>
      </c>
      <c r="B244" s="13" t="n">
        <f aca="false">Wk35!B111</f>
        <v>46269</v>
      </c>
      <c r="C244" s="12" t="str">
        <f aca="false">TEXT(B244,"dddd")</f>
        <v>Friday</v>
      </c>
      <c r="D244" s="20" t="n">
        <f aca="false">Wk35!M111</f>
        <v>0</v>
      </c>
      <c r="E244" s="20" t="n">
        <f aca="false">IFERROR(F244-D244,"")</f>
        <v>0</v>
      </c>
      <c r="F244" s="20" t="n">
        <f aca="false">Wk35!H111</f>
        <v>0</v>
      </c>
      <c r="G244" s="12" t="str">
        <f aca="false">IF(Wk35!L111="","",Wk35!L111)</f>
        <v/>
      </c>
      <c r="H244" s="20" t="n">
        <f aca="false">Wk35!R111</f>
        <v>0</v>
      </c>
      <c r="I244" s="20" t="str">
        <f aca="false">IF(OR(F244=0,H244=0),"",F244-H244)</f>
        <v/>
      </c>
      <c r="J244" s="36" t="str">
        <f aca="false">IFERROR(I244/H244,"")</f>
        <v/>
      </c>
      <c r="K244" s="37" t="n">
        <f aca="false">Wk35!D111</f>
        <v>0</v>
      </c>
      <c r="L244" s="37" t="n">
        <f aca="false">Wk35!E111</f>
        <v>0</v>
      </c>
      <c r="M244" s="20" t="n">
        <f aca="false">Wk35!K111</f>
        <v>0</v>
      </c>
    </row>
    <row r="245" customFormat="false" ht="15" hidden="false" customHeight="false" outlineLevel="0" collapsed="false">
      <c r="A245" s="12" t="s">
        <v>157</v>
      </c>
      <c r="B245" s="13" t="n">
        <f aca="false">Wk35!B133</f>
        <v>46270</v>
      </c>
      <c r="C245" s="12" t="str">
        <f aca="false">TEXT(B245,"dddd")</f>
        <v>Saturday</v>
      </c>
      <c r="D245" s="20" t="n">
        <f aca="false">Wk35!M133</f>
        <v>0</v>
      </c>
      <c r="E245" s="20" t="n">
        <f aca="false">IFERROR(F245-D245,"")</f>
        <v>0</v>
      </c>
      <c r="F245" s="20" t="n">
        <f aca="false">Wk35!H133</f>
        <v>0</v>
      </c>
      <c r="G245" s="12" t="str">
        <f aca="false">IF(Wk35!L133="","",Wk35!L133)</f>
        <v/>
      </c>
      <c r="H245" s="20" t="n">
        <f aca="false">Wk35!R133</f>
        <v>0</v>
      </c>
      <c r="I245" s="20" t="str">
        <f aca="false">IF(OR(F245=0,H245=0),"",F245-H245)</f>
        <v/>
      </c>
      <c r="J245" s="36" t="str">
        <f aca="false">IFERROR(I245/H245,"")</f>
        <v/>
      </c>
      <c r="K245" s="37" t="n">
        <f aca="false">Wk35!D133</f>
        <v>0</v>
      </c>
      <c r="L245" s="37" t="n">
        <f aca="false">Wk35!E133</f>
        <v>0</v>
      </c>
      <c r="M245" s="20" t="n">
        <f aca="false">Wk35!K133</f>
        <v>0</v>
      </c>
    </row>
    <row r="246" customFormat="false" ht="15" hidden="false" customHeight="false" outlineLevel="0" collapsed="false">
      <c r="A246" s="12" t="s">
        <v>157</v>
      </c>
      <c r="B246" s="13" t="n">
        <f aca="false">Wk35!B155</f>
        <v>46271</v>
      </c>
      <c r="C246" s="12" t="str">
        <f aca="false">TEXT(B246,"dddd")</f>
        <v>Sunday</v>
      </c>
      <c r="D246" s="20" t="n">
        <f aca="false">Wk35!M155</f>
        <v>0</v>
      </c>
      <c r="E246" s="20" t="n">
        <f aca="false">IFERROR(F246-D246,"")</f>
        <v>0</v>
      </c>
      <c r="F246" s="20" t="n">
        <f aca="false">Wk35!H155</f>
        <v>0</v>
      </c>
      <c r="G246" s="12" t="str">
        <f aca="false">IF(Wk35!L155="","",Wk35!L155)</f>
        <v/>
      </c>
      <c r="H246" s="20" t="n">
        <f aca="false">Wk35!R155</f>
        <v>0</v>
      </c>
      <c r="I246" s="20" t="str">
        <f aca="false">IF(OR(F246=0,H246=0),"",F246-H246)</f>
        <v/>
      </c>
      <c r="J246" s="36" t="str">
        <f aca="false">IFERROR(I246/H246,"")</f>
        <v/>
      </c>
      <c r="K246" s="37" t="n">
        <f aca="false">Wk35!D155</f>
        <v>0</v>
      </c>
      <c r="L246" s="37" t="n">
        <f aca="false">Wk35!E155</f>
        <v>0</v>
      </c>
      <c r="M246" s="20" t="n">
        <f aca="false">Wk35!K155</f>
        <v>0</v>
      </c>
    </row>
    <row r="247" customFormat="false" ht="15" hidden="false" customHeight="false" outlineLevel="0" collapsed="false">
      <c r="A247" s="12" t="s">
        <v>158</v>
      </c>
      <c r="B247" s="13" t="n">
        <f aca="false">Wk36!B23</f>
        <v>46272</v>
      </c>
      <c r="C247" s="12" t="str">
        <f aca="false">TEXT(B247,"dddd")</f>
        <v>Monday</v>
      </c>
      <c r="D247" s="20" t="n">
        <f aca="false">Wk36!M23</f>
        <v>0</v>
      </c>
      <c r="E247" s="20" t="n">
        <f aca="false">IFERROR(F247-D247,"")</f>
        <v>0</v>
      </c>
      <c r="F247" s="20" t="n">
        <f aca="false">Wk36!H23</f>
        <v>0</v>
      </c>
      <c r="G247" s="12" t="str">
        <f aca="false">IF(Wk36!L23="","",Wk36!L23)</f>
        <v/>
      </c>
      <c r="H247" s="20" t="n">
        <f aca="false">Wk36!R23</f>
        <v>0</v>
      </c>
      <c r="I247" s="20" t="str">
        <f aca="false">IF(OR(F247=0,H247=0),"",F247-H247)</f>
        <v/>
      </c>
      <c r="J247" s="36" t="str">
        <f aca="false">IFERROR(I247/H247,"")</f>
        <v/>
      </c>
      <c r="K247" s="37" t="n">
        <f aca="false">Wk36!D23</f>
        <v>0</v>
      </c>
      <c r="L247" s="37" t="n">
        <f aca="false">Wk36!E23</f>
        <v>0</v>
      </c>
      <c r="M247" s="20" t="n">
        <f aca="false">Wk36!K23</f>
        <v>0</v>
      </c>
    </row>
    <row r="248" customFormat="false" ht="15" hidden="false" customHeight="false" outlineLevel="0" collapsed="false">
      <c r="A248" s="12" t="s">
        <v>158</v>
      </c>
      <c r="B248" s="13" t="n">
        <f aca="false">Wk36!B45</f>
        <v>46273</v>
      </c>
      <c r="C248" s="12" t="str">
        <f aca="false">TEXT(B248,"dddd")</f>
        <v>Tuesday</v>
      </c>
      <c r="D248" s="20" t="n">
        <f aca="false">Wk36!M45</f>
        <v>0</v>
      </c>
      <c r="E248" s="20" t="n">
        <f aca="false">IFERROR(F248-D248,"")</f>
        <v>0</v>
      </c>
      <c r="F248" s="20" t="n">
        <f aca="false">Wk36!H45</f>
        <v>0</v>
      </c>
      <c r="G248" s="12" t="str">
        <f aca="false">IF(Wk36!L45="","",Wk36!L45)</f>
        <v/>
      </c>
      <c r="H248" s="20" t="n">
        <f aca="false">Wk36!R45</f>
        <v>0</v>
      </c>
      <c r="I248" s="20" t="str">
        <f aca="false">IF(OR(F248=0,H248=0),"",F248-H248)</f>
        <v/>
      </c>
      <c r="J248" s="36" t="str">
        <f aca="false">IFERROR(I248/H248,"")</f>
        <v/>
      </c>
      <c r="K248" s="37" t="n">
        <f aca="false">Wk36!D45</f>
        <v>0</v>
      </c>
      <c r="L248" s="37" t="n">
        <f aca="false">Wk36!E45</f>
        <v>0</v>
      </c>
      <c r="M248" s="20" t="n">
        <f aca="false">Wk36!K45</f>
        <v>0</v>
      </c>
    </row>
    <row r="249" customFormat="false" ht="15" hidden="false" customHeight="false" outlineLevel="0" collapsed="false">
      <c r="A249" s="12" t="s">
        <v>158</v>
      </c>
      <c r="B249" s="13" t="n">
        <f aca="false">Wk36!B67</f>
        <v>46274</v>
      </c>
      <c r="C249" s="12" t="str">
        <f aca="false">TEXT(B249,"dddd")</f>
        <v>Wednesday</v>
      </c>
      <c r="D249" s="20" t="n">
        <f aca="false">Wk36!M67</f>
        <v>0</v>
      </c>
      <c r="E249" s="20" t="n">
        <f aca="false">IFERROR(F249-D249,"")</f>
        <v>0</v>
      </c>
      <c r="F249" s="20" t="n">
        <f aca="false">Wk36!H67</f>
        <v>0</v>
      </c>
      <c r="G249" s="12" t="str">
        <f aca="false">IF(Wk36!L67="","",Wk36!L67)</f>
        <v/>
      </c>
      <c r="H249" s="20" t="n">
        <f aca="false">Wk36!R67</f>
        <v>0</v>
      </c>
      <c r="I249" s="20" t="str">
        <f aca="false">IF(OR(F249=0,H249=0),"",F249-H249)</f>
        <v/>
      </c>
      <c r="J249" s="36" t="str">
        <f aca="false">IFERROR(I249/H249,"")</f>
        <v/>
      </c>
      <c r="K249" s="37" t="n">
        <f aca="false">Wk36!D67</f>
        <v>0</v>
      </c>
      <c r="L249" s="37" t="n">
        <f aca="false">Wk36!E67</f>
        <v>0</v>
      </c>
      <c r="M249" s="20" t="n">
        <f aca="false">Wk36!K67</f>
        <v>0</v>
      </c>
    </row>
    <row r="250" customFormat="false" ht="15" hidden="false" customHeight="false" outlineLevel="0" collapsed="false">
      <c r="A250" s="12" t="s">
        <v>158</v>
      </c>
      <c r="B250" s="13" t="n">
        <f aca="false">Wk36!B89</f>
        <v>46275</v>
      </c>
      <c r="C250" s="12" t="str">
        <f aca="false">TEXT(B250,"dddd")</f>
        <v>Thursday</v>
      </c>
      <c r="D250" s="20" t="n">
        <f aca="false">Wk36!M89</f>
        <v>0</v>
      </c>
      <c r="E250" s="20" t="n">
        <f aca="false">IFERROR(F250-D250,"")</f>
        <v>0</v>
      </c>
      <c r="F250" s="20" t="n">
        <f aca="false">Wk36!H89</f>
        <v>0</v>
      </c>
      <c r="G250" s="12" t="str">
        <f aca="false">IF(Wk36!L89="","",Wk36!L89)</f>
        <v/>
      </c>
      <c r="H250" s="20" t="n">
        <f aca="false">Wk36!R89</f>
        <v>0</v>
      </c>
      <c r="I250" s="20" t="str">
        <f aca="false">IF(OR(F250=0,H250=0),"",F250-H250)</f>
        <v/>
      </c>
      <c r="J250" s="36" t="str">
        <f aca="false">IFERROR(I250/H250,"")</f>
        <v/>
      </c>
      <c r="K250" s="37" t="n">
        <f aca="false">Wk36!D89</f>
        <v>0</v>
      </c>
      <c r="L250" s="37" t="n">
        <f aca="false">Wk36!E89</f>
        <v>0</v>
      </c>
      <c r="M250" s="20" t="n">
        <f aca="false">Wk36!K89</f>
        <v>0</v>
      </c>
    </row>
    <row r="251" customFormat="false" ht="15" hidden="false" customHeight="false" outlineLevel="0" collapsed="false">
      <c r="A251" s="12" t="s">
        <v>158</v>
      </c>
      <c r="B251" s="13" t="n">
        <f aca="false">Wk36!B111</f>
        <v>46276</v>
      </c>
      <c r="C251" s="12" t="str">
        <f aca="false">TEXT(B251,"dddd")</f>
        <v>Friday</v>
      </c>
      <c r="D251" s="20" t="n">
        <f aca="false">Wk36!M111</f>
        <v>0</v>
      </c>
      <c r="E251" s="20" t="n">
        <f aca="false">IFERROR(F251-D251,"")</f>
        <v>0</v>
      </c>
      <c r="F251" s="20" t="n">
        <f aca="false">Wk36!H111</f>
        <v>0</v>
      </c>
      <c r="G251" s="12" t="str">
        <f aca="false">IF(Wk36!L111="","",Wk36!L111)</f>
        <v/>
      </c>
      <c r="H251" s="20" t="n">
        <f aca="false">Wk36!R111</f>
        <v>0</v>
      </c>
      <c r="I251" s="20" t="str">
        <f aca="false">IF(OR(F251=0,H251=0),"",F251-H251)</f>
        <v/>
      </c>
      <c r="J251" s="36" t="str">
        <f aca="false">IFERROR(I251/H251,"")</f>
        <v/>
      </c>
      <c r="K251" s="37" t="n">
        <f aca="false">Wk36!D111</f>
        <v>0</v>
      </c>
      <c r="L251" s="37" t="n">
        <f aca="false">Wk36!E111</f>
        <v>0</v>
      </c>
      <c r="M251" s="20" t="n">
        <f aca="false">Wk36!K111</f>
        <v>0</v>
      </c>
    </row>
    <row r="252" customFormat="false" ht="15" hidden="false" customHeight="false" outlineLevel="0" collapsed="false">
      <c r="A252" s="12" t="s">
        <v>158</v>
      </c>
      <c r="B252" s="13" t="n">
        <f aca="false">Wk36!B133</f>
        <v>46277</v>
      </c>
      <c r="C252" s="12" t="str">
        <f aca="false">TEXT(B252,"dddd")</f>
        <v>Saturday</v>
      </c>
      <c r="D252" s="20" t="n">
        <f aca="false">Wk36!M133</f>
        <v>0</v>
      </c>
      <c r="E252" s="20" t="n">
        <f aca="false">IFERROR(F252-D252,"")</f>
        <v>0</v>
      </c>
      <c r="F252" s="20" t="n">
        <f aca="false">Wk36!H133</f>
        <v>0</v>
      </c>
      <c r="G252" s="12" t="str">
        <f aca="false">IF(Wk36!L133="","",Wk36!L133)</f>
        <v/>
      </c>
      <c r="H252" s="20" t="n">
        <f aca="false">Wk36!R133</f>
        <v>0</v>
      </c>
      <c r="I252" s="20" t="str">
        <f aca="false">IF(OR(F252=0,H252=0),"",F252-H252)</f>
        <v/>
      </c>
      <c r="J252" s="36" t="str">
        <f aca="false">IFERROR(I252/H252,"")</f>
        <v/>
      </c>
      <c r="K252" s="37" t="n">
        <f aca="false">Wk36!D133</f>
        <v>0</v>
      </c>
      <c r="L252" s="37" t="n">
        <f aca="false">Wk36!E133</f>
        <v>0</v>
      </c>
      <c r="M252" s="20" t="n">
        <f aca="false">Wk36!K133</f>
        <v>0</v>
      </c>
    </row>
    <row r="253" customFormat="false" ht="15" hidden="false" customHeight="false" outlineLevel="0" collapsed="false">
      <c r="A253" s="12" t="s">
        <v>158</v>
      </c>
      <c r="B253" s="13" t="n">
        <f aca="false">Wk36!B155</f>
        <v>46278</v>
      </c>
      <c r="C253" s="12" t="str">
        <f aca="false">TEXT(B253,"dddd")</f>
        <v>Sunday</v>
      </c>
      <c r="D253" s="20" t="n">
        <f aca="false">Wk36!M155</f>
        <v>0</v>
      </c>
      <c r="E253" s="20" t="n">
        <f aca="false">IFERROR(F253-D253,"")</f>
        <v>0</v>
      </c>
      <c r="F253" s="20" t="n">
        <f aca="false">Wk36!H155</f>
        <v>0</v>
      </c>
      <c r="G253" s="12" t="str">
        <f aca="false">IF(Wk36!L155="","",Wk36!L155)</f>
        <v/>
      </c>
      <c r="H253" s="20" t="n">
        <f aca="false">Wk36!R155</f>
        <v>0</v>
      </c>
      <c r="I253" s="20" t="str">
        <f aca="false">IF(OR(F253=0,H253=0),"",F253-H253)</f>
        <v/>
      </c>
      <c r="J253" s="36" t="str">
        <f aca="false">IFERROR(I253/H253,"")</f>
        <v/>
      </c>
      <c r="K253" s="37" t="n">
        <f aca="false">Wk36!D155</f>
        <v>0</v>
      </c>
      <c r="L253" s="37" t="n">
        <f aca="false">Wk36!E155</f>
        <v>0</v>
      </c>
      <c r="M253" s="20" t="n">
        <f aca="false">Wk36!K155</f>
        <v>0</v>
      </c>
    </row>
    <row r="254" customFormat="false" ht="15" hidden="false" customHeight="false" outlineLevel="0" collapsed="false">
      <c r="A254" s="12" t="s">
        <v>159</v>
      </c>
      <c r="B254" s="13" t="n">
        <f aca="false">Wk37!B23</f>
        <v>46279</v>
      </c>
      <c r="C254" s="12" t="str">
        <f aca="false">TEXT(B254,"dddd")</f>
        <v>Monday</v>
      </c>
      <c r="D254" s="20" t="n">
        <f aca="false">Wk37!M23</f>
        <v>0</v>
      </c>
      <c r="E254" s="20" t="n">
        <f aca="false">IFERROR(F254-D254,"")</f>
        <v>0</v>
      </c>
      <c r="F254" s="20" t="n">
        <f aca="false">Wk37!H23</f>
        <v>0</v>
      </c>
      <c r="G254" s="12" t="str">
        <f aca="false">IF(Wk37!L23="","",Wk37!L23)</f>
        <v/>
      </c>
      <c r="H254" s="20" t="n">
        <f aca="false">Wk37!R23</f>
        <v>0</v>
      </c>
      <c r="I254" s="20" t="str">
        <f aca="false">IF(OR(F254=0,H254=0),"",F254-H254)</f>
        <v/>
      </c>
      <c r="J254" s="36" t="str">
        <f aca="false">IFERROR(I254/H254,"")</f>
        <v/>
      </c>
      <c r="K254" s="37" t="n">
        <f aca="false">Wk37!D23</f>
        <v>0</v>
      </c>
      <c r="L254" s="37" t="n">
        <f aca="false">Wk37!E23</f>
        <v>0</v>
      </c>
      <c r="M254" s="20" t="n">
        <f aca="false">Wk37!K23</f>
        <v>0</v>
      </c>
    </row>
    <row r="255" customFormat="false" ht="15" hidden="false" customHeight="false" outlineLevel="0" collapsed="false">
      <c r="A255" s="12" t="s">
        <v>159</v>
      </c>
      <c r="B255" s="13" t="n">
        <f aca="false">Wk37!B45</f>
        <v>46280</v>
      </c>
      <c r="C255" s="12" t="str">
        <f aca="false">TEXT(B255,"dddd")</f>
        <v>Tuesday</v>
      </c>
      <c r="D255" s="20" t="n">
        <f aca="false">Wk37!M45</f>
        <v>0</v>
      </c>
      <c r="E255" s="20" t="n">
        <f aca="false">IFERROR(F255-D255,"")</f>
        <v>0</v>
      </c>
      <c r="F255" s="20" t="n">
        <f aca="false">Wk37!H45</f>
        <v>0</v>
      </c>
      <c r="G255" s="12" t="str">
        <f aca="false">IF(Wk37!L45="","",Wk37!L45)</f>
        <v/>
      </c>
      <c r="H255" s="20" t="n">
        <f aca="false">Wk37!R45</f>
        <v>0</v>
      </c>
      <c r="I255" s="20" t="str">
        <f aca="false">IF(OR(F255=0,H255=0),"",F255-H255)</f>
        <v/>
      </c>
      <c r="J255" s="36" t="str">
        <f aca="false">IFERROR(I255/H255,"")</f>
        <v/>
      </c>
      <c r="K255" s="37" t="n">
        <f aca="false">Wk37!D45</f>
        <v>0</v>
      </c>
      <c r="L255" s="37" t="n">
        <f aca="false">Wk37!E45</f>
        <v>0</v>
      </c>
      <c r="M255" s="20" t="n">
        <f aca="false">Wk37!K45</f>
        <v>0</v>
      </c>
    </row>
    <row r="256" customFormat="false" ht="15" hidden="false" customHeight="false" outlineLevel="0" collapsed="false">
      <c r="A256" s="12" t="s">
        <v>159</v>
      </c>
      <c r="B256" s="13" t="n">
        <f aca="false">Wk37!B67</f>
        <v>46281</v>
      </c>
      <c r="C256" s="12" t="str">
        <f aca="false">TEXT(B256,"dddd")</f>
        <v>Wednesday</v>
      </c>
      <c r="D256" s="20" t="n">
        <f aca="false">Wk37!M67</f>
        <v>0</v>
      </c>
      <c r="E256" s="20" t="n">
        <f aca="false">IFERROR(F256-D256,"")</f>
        <v>0</v>
      </c>
      <c r="F256" s="20" t="n">
        <f aca="false">Wk37!H67</f>
        <v>0</v>
      </c>
      <c r="G256" s="12" t="str">
        <f aca="false">IF(Wk37!L67="","",Wk37!L67)</f>
        <v/>
      </c>
      <c r="H256" s="20" t="n">
        <f aca="false">Wk37!R67</f>
        <v>0</v>
      </c>
      <c r="I256" s="20" t="str">
        <f aca="false">IF(OR(F256=0,H256=0),"",F256-H256)</f>
        <v/>
      </c>
      <c r="J256" s="36" t="str">
        <f aca="false">IFERROR(I256/H256,"")</f>
        <v/>
      </c>
      <c r="K256" s="37" t="n">
        <f aca="false">Wk37!D67</f>
        <v>0</v>
      </c>
      <c r="L256" s="37" t="n">
        <f aca="false">Wk37!E67</f>
        <v>0</v>
      </c>
      <c r="M256" s="20" t="n">
        <f aca="false">Wk37!K67</f>
        <v>0</v>
      </c>
    </row>
    <row r="257" customFormat="false" ht="15" hidden="false" customHeight="false" outlineLevel="0" collapsed="false">
      <c r="A257" s="12" t="s">
        <v>159</v>
      </c>
      <c r="B257" s="13" t="n">
        <f aca="false">Wk37!B89</f>
        <v>46282</v>
      </c>
      <c r="C257" s="12" t="str">
        <f aca="false">TEXT(B257,"dddd")</f>
        <v>Thursday</v>
      </c>
      <c r="D257" s="20" t="n">
        <f aca="false">Wk37!M89</f>
        <v>0</v>
      </c>
      <c r="E257" s="20" t="n">
        <f aca="false">IFERROR(F257-D257,"")</f>
        <v>0</v>
      </c>
      <c r="F257" s="20" t="n">
        <f aca="false">Wk37!H89</f>
        <v>0</v>
      </c>
      <c r="G257" s="12" t="str">
        <f aca="false">IF(Wk37!L89="","",Wk37!L89)</f>
        <v/>
      </c>
      <c r="H257" s="20" t="n">
        <f aca="false">Wk37!R89</f>
        <v>0</v>
      </c>
      <c r="I257" s="20" t="str">
        <f aca="false">IF(OR(F257=0,H257=0),"",F257-H257)</f>
        <v/>
      </c>
      <c r="J257" s="36" t="str">
        <f aca="false">IFERROR(I257/H257,"")</f>
        <v/>
      </c>
      <c r="K257" s="37" t="n">
        <f aca="false">Wk37!D89</f>
        <v>0</v>
      </c>
      <c r="L257" s="37" t="n">
        <f aca="false">Wk37!E89</f>
        <v>0</v>
      </c>
      <c r="M257" s="20" t="n">
        <f aca="false">Wk37!K89</f>
        <v>0</v>
      </c>
    </row>
    <row r="258" customFormat="false" ht="15" hidden="false" customHeight="false" outlineLevel="0" collapsed="false">
      <c r="A258" s="12" t="s">
        <v>159</v>
      </c>
      <c r="B258" s="13" t="n">
        <f aca="false">Wk37!B111</f>
        <v>46283</v>
      </c>
      <c r="C258" s="12" t="str">
        <f aca="false">TEXT(B258,"dddd")</f>
        <v>Friday</v>
      </c>
      <c r="D258" s="20" t="n">
        <f aca="false">Wk37!M111</f>
        <v>0</v>
      </c>
      <c r="E258" s="20" t="n">
        <f aca="false">IFERROR(F258-D258,"")</f>
        <v>0</v>
      </c>
      <c r="F258" s="20" t="n">
        <f aca="false">Wk37!H111</f>
        <v>0</v>
      </c>
      <c r="G258" s="12" t="str">
        <f aca="false">IF(Wk37!L111="","",Wk37!L111)</f>
        <v/>
      </c>
      <c r="H258" s="20" t="n">
        <f aca="false">Wk37!R111</f>
        <v>0</v>
      </c>
      <c r="I258" s="20" t="str">
        <f aca="false">IF(OR(F258=0,H258=0),"",F258-H258)</f>
        <v/>
      </c>
      <c r="J258" s="36" t="str">
        <f aca="false">IFERROR(I258/H258,"")</f>
        <v/>
      </c>
      <c r="K258" s="37" t="n">
        <f aca="false">Wk37!D111</f>
        <v>0</v>
      </c>
      <c r="L258" s="37" t="n">
        <f aca="false">Wk37!E111</f>
        <v>0</v>
      </c>
      <c r="M258" s="20" t="n">
        <f aca="false">Wk37!K111</f>
        <v>0</v>
      </c>
    </row>
    <row r="259" customFormat="false" ht="15" hidden="false" customHeight="false" outlineLevel="0" collapsed="false">
      <c r="A259" s="12" t="s">
        <v>159</v>
      </c>
      <c r="B259" s="13" t="n">
        <f aca="false">Wk37!B133</f>
        <v>46284</v>
      </c>
      <c r="C259" s="12" t="str">
        <f aca="false">TEXT(B259,"dddd")</f>
        <v>Saturday</v>
      </c>
      <c r="D259" s="20" t="n">
        <f aca="false">Wk37!M133</f>
        <v>0</v>
      </c>
      <c r="E259" s="20" t="n">
        <f aca="false">IFERROR(F259-D259,"")</f>
        <v>0</v>
      </c>
      <c r="F259" s="20" t="n">
        <f aca="false">Wk37!H133</f>
        <v>0</v>
      </c>
      <c r="G259" s="12" t="str">
        <f aca="false">IF(Wk37!L133="","",Wk37!L133)</f>
        <v/>
      </c>
      <c r="H259" s="20" t="n">
        <f aca="false">Wk37!R133</f>
        <v>0</v>
      </c>
      <c r="I259" s="20" t="str">
        <f aca="false">IF(OR(F259=0,H259=0),"",F259-H259)</f>
        <v/>
      </c>
      <c r="J259" s="36" t="str">
        <f aca="false">IFERROR(I259/H259,"")</f>
        <v/>
      </c>
      <c r="K259" s="37" t="n">
        <f aca="false">Wk37!D133</f>
        <v>0</v>
      </c>
      <c r="L259" s="37" t="n">
        <f aca="false">Wk37!E133</f>
        <v>0</v>
      </c>
      <c r="M259" s="20" t="n">
        <f aca="false">Wk37!K133</f>
        <v>0</v>
      </c>
    </row>
    <row r="260" customFormat="false" ht="15" hidden="false" customHeight="false" outlineLevel="0" collapsed="false">
      <c r="A260" s="12" t="s">
        <v>159</v>
      </c>
      <c r="B260" s="13" t="n">
        <f aca="false">Wk37!B155</f>
        <v>46285</v>
      </c>
      <c r="C260" s="12" t="str">
        <f aca="false">TEXT(B260,"dddd")</f>
        <v>Sunday</v>
      </c>
      <c r="D260" s="20" t="n">
        <f aca="false">Wk37!M155</f>
        <v>0</v>
      </c>
      <c r="E260" s="20" t="n">
        <f aca="false">IFERROR(F260-D260,"")</f>
        <v>0</v>
      </c>
      <c r="F260" s="20" t="n">
        <f aca="false">Wk37!H155</f>
        <v>0</v>
      </c>
      <c r="G260" s="12" t="str">
        <f aca="false">IF(Wk37!L155="","",Wk37!L155)</f>
        <v/>
      </c>
      <c r="H260" s="20" t="n">
        <f aca="false">Wk37!R155</f>
        <v>0</v>
      </c>
      <c r="I260" s="20" t="str">
        <f aca="false">IF(OR(F260=0,H260=0),"",F260-H260)</f>
        <v/>
      </c>
      <c r="J260" s="36" t="str">
        <f aca="false">IFERROR(I260/H260,"")</f>
        <v/>
      </c>
      <c r="K260" s="37" t="n">
        <f aca="false">Wk37!D155</f>
        <v>0</v>
      </c>
      <c r="L260" s="37" t="n">
        <f aca="false">Wk37!E155</f>
        <v>0</v>
      </c>
      <c r="M260" s="20" t="n">
        <f aca="false">Wk37!K155</f>
        <v>0</v>
      </c>
    </row>
    <row r="261" customFormat="false" ht="15" hidden="false" customHeight="false" outlineLevel="0" collapsed="false">
      <c r="A261" s="12" t="s">
        <v>160</v>
      </c>
      <c r="B261" s="13" t="n">
        <f aca="false">Wk38!B23</f>
        <v>46286</v>
      </c>
      <c r="C261" s="12" t="str">
        <f aca="false">TEXT(B261,"dddd")</f>
        <v>Monday</v>
      </c>
      <c r="D261" s="20" t="n">
        <f aca="false">Wk38!M23</f>
        <v>0</v>
      </c>
      <c r="E261" s="20" t="n">
        <f aca="false">IFERROR(F261-D261,"")</f>
        <v>0</v>
      </c>
      <c r="F261" s="20" t="n">
        <f aca="false">Wk38!H23</f>
        <v>0</v>
      </c>
      <c r="G261" s="12" t="str">
        <f aca="false">IF(Wk38!L23="","",Wk38!L23)</f>
        <v/>
      </c>
      <c r="H261" s="20" t="n">
        <f aca="false">Wk38!R23</f>
        <v>0</v>
      </c>
      <c r="I261" s="20" t="str">
        <f aca="false">IF(OR(F261=0,H261=0),"",F261-H261)</f>
        <v/>
      </c>
      <c r="J261" s="36" t="str">
        <f aca="false">IFERROR(I261/H261,"")</f>
        <v/>
      </c>
      <c r="K261" s="37" t="n">
        <f aca="false">Wk38!D23</f>
        <v>0</v>
      </c>
      <c r="L261" s="37" t="n">
        <f aca="false">Wk38!E23</f>
        <v>0</v>
      </c>
      <c r="M261" s="20" t="n">
        <f aca="false">Wk38!K23</f>
        <v>0</v>
      </c>
    </row>
    <row r="262" customFormat="false" ht="15" hidden="false" customHeight="false" outlineLevel="0" collapsed="false">
      <c r="A262" s="12" t="s">
        <v>160</v>
      </c>
      <c r="B262" s="13" t="n">
        <f aca="false">Wk38!B45</f>
        <v>46287</v>
      </c>
      <c r="C262" s="12" t="str">
        <f aca="false">TEXT(B262,"dddd")</f>
        <v>Tuesday</v>
      </c>
      <c r="D262" s="20" t="n">
        <f aca="false">Wk38!M45</f>
        <v>0</v>
      </c>
      <c r="E262" s="20" t="n">
        <f aca="false">IFERROR(F262-D262,"")</f>
        <v>0</v>
      </c>
      <c r="F262" s="20" t="n">
        <f aca="false">Wk38!H45</f>
        <v>0</v>
      </c>
      <c r="G262" s="12" t="str">
        <f aca="false">IF(Wk38!L45="","",Wk38!L45)</f>
        <v/>
      </c>
      <c r="H262" s="20" t="n">
        <f aca="false">Wk38!R45</f>
        <v>0</v>
      </c>
      <c r="I262" s="20" t="str">
        <f aca="false">IF(OR(F262=0,H262=0),"",F262-H262)</f>
        <v/>
      </c>
      <c r="J262" s="36" t="str">
        <f aca="false">IFERROR(I262/H262,"")</f>
        <v/>
      </c>
      <c r="K262" s="37" t="n">
        <f aca="false">Wk38!D45</f>
        <v>0</v>
      </c>
      <c r="L262" s="37" t="n">
        <f aca="false">Wk38!E45</f>
        <v>0</v>
      </c>
      <c r="M262" s="20" t="n">
        <f aca="false">Wk38!K45</f>
        <v>0</v>
      </c>
    </row>
    <row r="263" customFormat="false" ht="15" hidden="false" customHeight="false" outlineLevel="0" collapsed="false">
      <c r="A263" s="12" t="s">
        <v>160</v>
      </c>
      <c r="B263" s="13" t="n">
        <f aca="false">Wk38!B67</f>
        <v>46288</v>
      </c>
      <c r="C263" s="12" t="str">
        <f aca="false">TEXT(B263,"dddd")</f>
        <v>Wednesday</v>
      </c>
      <c r="D263" s="20" t="n">
        <f aca="false">Wk38!M67</f>
        <v>0</v>
      </c>
      <c r="E263" s="20" t="n">
        <f aca="false">IFERROR(F263-D263,"")</f>
        <v>0</v>
      </c>
      <c r="F263" s="20" t="n">
        <f aca="false">Wk38!H67</f>
        <v>0</v>
      </c>
      <c r="G263" s="12" t="str">
        <f aca="false">IF(Wk38!L67="","",Wk38!L67)</f>
        <v/>
      </c>
      <c r="H263" s="20" t="n">
        <f aca="false">Wk38!R67</f>
        <v>0</v>
      </c>
      <c r="I263" s="20" t="str">
        <f aca="false">IF(OR(F263=0,H263=0),"",F263-H263)</f>
        <v/>
      </c>
      <c r="J263" s="36" t="str">
        <f aca="false">IFERROR(I263/H263,"")</f>
        <v/>
      </c>
      <c r="K263" s="37" t="n">
        <f aca="false">Wk38!D67</f>
        <v>0</v>
      </c>
      <c r="L263" s="37" t="n">
        <f aca="false">Wk38!E67</f>
        <v>0</v>
      </c>
      <c r="M263" s="20" t="n">
        <f aca="false">Wk38!K67</f>
        <v>0</v>
      </c>
    </row>
    <row r="264" customFormat="false" ht="15" hidden="false" customHeight="false" outlineLevel="0" collapsed="false">
      <c r="A264" s="12" t="s">
        <v>160</v>
      </c>
      <c r="B264" s="13" t="n">
        <f aca="false">Wk38!B89</f>
        <v>46289</v>
      </c>
      <c r="C264" s="12" t="str">
        <f aca="false">TEXT(B264,"dddd")</f>
        <v>Thursday</v>
      </c>
      <c r="D264" s="20" t="n">
        <f aca="false">Wk38!M89</f>
        <v>0</v>
      </c>
      <c r="E264" s="20" t="n">
        <f aca="false">IFERROR(F264-D264,"")</f>
        <v>0</v>
      </c>
      <c r="F264" s="20" t="n">
        <f aca="false">Wk38!H89</f>
        <v>0</v>
      </c>
      <c r="G264" s="12" t="str">
        <f aca="false">IF(Wk38!L89="","",Wk38!L89)</f>
        <v/>
      </c>
      <c r="H264" s="20" t="n">
        <f aca="false">Wk38!R89</f>
        <v>0</v>
      </c>
      <c r="I264" s="20" t="str">
        <f aca="false">IF(OR(F264=0,H264=0),"",F264-H264)</f>
        <v/>
      </c>
      <c r="J264" s="36" t="str">
        <f aca="false">IFERROR(I264/H264,"")</f>
        <v/>
      </c>
      <c r="K264" s="37" t="n">
        <f aca="false">Wk38!D89</f>
        <v>0</v>
      </c>
      <c r="L264" s="37" t="n">
        <f aca="false">Wk38!E89</f>
        <v>0</v>
      </c>
      <c r="M264" s="20" t="n">
        <f aca="false">Wk38!K89</f>
        <v>0</v>
      </c>
    </row>
    <row r="265" customFormat="false" ht="15" hidden="false" customHeight="false" outlineLevel="0" collapsed="false">
      <c r="A265" s="12" t="s">
        <v>160</v>
      </c>
      <c r="B265" s="13" t="n">
        <f aca="false">Wk38!B111</f>
        <v>46290</v>
      </c>
      <c r="C265" s="12" t="str">
        <f aca="false">TEXT(B265,"dddd")</f>
        <v>Friday</v>
      </c>
      <c r="D265" s="20" t="n">
        <f aca="false">Wk38!M111</f>
        <v>0</v>
      </c>
      <c r="E265" s="20" t="n">
        <f aca="false">IFERROR(F265-D265,"")</f>
        <v>0</v>
      </c>
      <c r="F265" s="20" t="n">
        <f aca="false">Wk38!H111</f>
        <v>0</v>
      </c>
      <c r="G265" s="12" t="str">
        <f aca="false">IF(Wk38!L111="","",Wk38!L111)</f>
        <v/>
      </c>
      <c r="H265" s="20" t="n">
        <f aca="false">Wk38!R111</f>
        <v>0</v>
      </c>
      <c r="I265" s="20" t="str">
        <f aca="false">IF(OR(F265=0,H265=0),"",F265-H265)</f>
        <v/>
      </c>
      <c r="J265" s="36" t="str">
        <f aca="false">IFERROR(I265/H265,"")</f>
        <v/>
      </c>
      <c r="K265" s="37" t="n">
        <f aca="false">Wk38!D111</f>
        <v>0</v>
      </c>
      <c r="L265" s="37" t="n">
        <f aca="false">Wk38!E111</f>
        <v>0</v>
      </c>
      <c r="M265" s="20" t="n">
        <f aca="false">Wk38!K111</f>
        <v>0</v>
      </c>
    </row>
    <row r="266" customFormat="false" ht="15" hidden="false" customHeight="false" outlineLevel="0" collapsed="false">
      <c r="A266" s="12" t="s">
        <v>160</v>
      </c>
      <c r="B266" s="13" t="n">
        <f aca="false">Wk38!B133</f>
        <v>46291</v>
      </c>
      <c r="C266" s="12" t="str">
        <f aca="false">TEXT(B266,"dddd")</f>
        <v>Saturday</v>
      </c>
      <c r="D266" s="20" t="n">
        <f aca="false">Wk38!M133</f>
        <v>0</v>
      </c>
      <c r="E266" s="20" t="n">
        <f aca="false">IFERROR(F266-D266,"")</f>
        <v>0</v>
      </c>
      <c r="F266" s="20" t="n">
        <f aca="false">Wk38!H133</f>
        <v>0</v>
      </c>
      <c r="G266" s="12" t="str">
        <f aca="false">IF(Wk38!L133="","",Wk38!L133)</f>
        <v/>
      </c>
      <c r="H266" s="20" t="n">
        <f aca="false">Wk38!R133</f>
        <v>0</v>
      </c>
      <c r="I266" s="20" t="str">
        <f aca="false">IF(OR(F266=0,H266=0),"",F266-H266)</f>
        <v/>
      </c>
      <c r="J266" s="36" t="str">
        <f aca="false">IFERROR(I266/H266,"")</f>
        <v/>
      </c>
      <c r="K266" s="37" t="n">
        <f aca="false">Wk38!D133</f>
        <v>0</v>
      </c>
      <c r="L266" s="37" t="n">
        <f aca="false">Wk38!E133</f>
        <v>0</v>
      </c>
      <c r="M266" s="20" t="n">
        <f aca="false">Wk38!K133</f>
        <v>0</v>
      </c>
    </row>
    <row r="267" customFormat="false" ht="15" hidden="false" customHeight="false" outlineLevel="0" collapsed="false">
      <c r="A267" s="12" t="s">
        <v>160</v>
      </c>
      <c r="B267" s="13" t="n">
        <f aca="false">Wk38!B155</f>
        <v>46292</v>
      </c>
      <c r="C267" s="12" t="str">
        <f aca="false">TEXT(B267,"dddd")</f>
        <v>Sunday</v>
      </c>
      <c r="D267" s="20" t="n">
        <f aca="false">Wk38!M155</f>
        <v>0</v>
      </c>
      <c r="E267" s="20" t="n">
        <f aca="false">IFERROR(F267-D267,"")</f>
        <v>0</v>
      </c>
      <c r="F267" s="20" t="n">
        <f aca="false">Wk38!H155</f>
        <v>0</v>
      </c>
      <c r="G267" s="12" t="str">
        <f aca="false">IF(Wk38!L155="","",Wk38!L155)</f>
        <v/>
      </c>
      <c r="H267" s="20" t="n">
        <f aca="false">Wk38!R155</f>
        <v>0</v>
      </c>
      <c r="I267" s="20" t="str">
        <f aca="false">IF(OR(F267=0,H267=0),"",F267-H267)</f>
        <v/>
      </c>
      <c r="J267" s="36" t="str">
        <f aca="false">IFERROR(I267/H267,"")</f>
        <v/>
      </c>
      <c r="K267" s="37" t="n">
        <f aca="false">Wk38!D155</f>
        <v>0</v>
      </c>
      <c r="L267" s="37" t="n">
        <f aca="false">Wk38!E155</f>
        <v>0</v>
      </c>
      <c r="M267" s="20" t="n">
        <f aca="false">Wk38!K155</f>
        <v>0</v>
      </c>
    </row>
    <row r="268" customFormat="false" ht="15" hidden="false" customHeight="false" outlineLevel="0" collapsed="false">
      <c r="A268" s="12" t="s">
        <v>161</v>
      </c>
      <c r="B268" s="13" t="n">
        <f aca="false">Wk39!B23</f>
        <v>46293</v>
      </c>
      <c r="C268" s="12" t="str">
        <f aca="false">TEXT(B268,"dddd")</f>
        <v>Monday</v>
      </c>
      <c r="D268" s="20" t="n">
        <f aca="false">Wk39!M23</f>
        <v>0</v>
      </c>
      <c r="E268" s="20" t="n">
        <f aca="false">IFERROR(F268-D268,"")</f>
        <v>0</v>
      </c>
      <c r="F268" s="20" t="n">
        <f aca="false">Wk39!H23</f>
        <v>0</v>
      </c>
      <c r="G268" s="12" t="str">
        <f aca="false">IF(Wk39!L23="","",Wk39!L23)</f>
        <v/>
      </c>
      <c r="H268" s="20" t="n">
        <f aca="false">Wk39!R23</f>
        <v>0</v>
      </c>
      <c r="I268" s="20" t="str">
        <f aca="false">IF(OR(F268=0,H268=0),"",F268-H268)</f>
        <v/>
      </c>
      <c r="J268" s="36" t="str">
        <f aca="false">IFERROR(I268/H268,"")</f>
        <v/>
      </c>
      <c r="K268" s="37" t="n">
        <f aca="false">Wk39!D23</f>
        <v>0</v>
      </c>
      <c r="L268" s="37" t="n">
        <f aca="false">Wk39!E23</f>
        <v>0</v>
      </c>
      <c r="M268" s="20" t="n">
        <f aca="false">Wk39!K23</f>
        <v>0</v>
      </c>
    </row>
    <row r="269" customFormat="false" ht="15" hidden="false" customHeight="false" outlineLevel="0" collapsed="false">
      <c r="A269" s="12" t="s">
        <v>161</v>
      </c>
      <c r="B269" s="13" t="n">
        <f aca="false">Wk39!B45</f>
        <v>46294</v>
      </c>
      <c r="C269" s="12" t="str">
        <f aca="false">TEXT(B269,"dddd")</f>
        <v>Tuesday</v>
      </c>
      <c r="D269" s="20" t="n">
        <f aca="false">Wk39!M45</f>
        <v>0</v>
      </c>
      <c r="E269" s="20" t="n">
        <f aca="false">IFERROR(F269-D269,"")</f>
        <v>0</v>
      </c>
      <c r="F269" s="20" t="n">
        <f aca="false">Wk39!H45</f>
        <v>0</v>
      </c>
      <c r="G269" s="12" t="str">
        <f aca="false">IF(Wk39!L45="","",Wk39!L45)</f>
        <v/>
      </c>
      <c r="H269" s="20" t="n">
        <f aca="false">Wk39!R45</f>
        <v>0</v>
      </c>
      <c r="I269" s="20" t="str">
        <f aca="false">IF(OR(F269=0,H269=0),"",F269-H269)</f>
        <v/>
      </c>
      <c r="J269" s="36" t="str">
        <f aca="false">IFERROR(I269/H269,"")</f>
        <v/>
      </c>
      <c r="K269" s="37" t="n">
        <f aca="false">Wk39!D45</f>
        <v>0</v>
      </c>
      <c r="L269" s="37" t="n">
        <f aca="false">Wk39!E45</f>
        <v>0</v>
      </c>
      <c r="M269" s="20" t="n">
        <f aca="false">Wk39!K45</f>
        <v>0</v>
      </c>
    </row>
    <row r="270" customFormat="false" ht="15" hidden="false" customHeight="false" outlineLevel="0" collapsed="false">
      <c r="A270" s="12" t="s">
        <v>161</v>
      </c>
      <c r="B270" s="13" t="n">
        <f aca="false">Wk39!B67</f>
        <v>46295</v>
      </c>
      <c r="C270" s="12" t="str">
        <f aca="false">TEXT(B270,"dddd")</f>
        <v>Wednesday</v>
      </c>
      <c r="D270" s="20" t="n">
        <f aca="false">Wk39!M67</f>
        <v>0</v>
      </c>
      <c r="E270" s="20" t="n">
        <f aca="false">IFERROR(F270-D270,"")</f>
        <v>0</v>
      </c>
      <c r="F270" s="20" t="n">
        <f aca="false">Wk39!H67</f>
        <v>0</v>
      </c>
      <c r="G270" s="12" t="str">
        <f aca="false">IF(Wk39!L67="","",Wk39!L67)</f>
        <v/>
      </c>
      <c r="H270" s="20" t="n">
        <f aca="false">Wk39!R67</f>
        <v>0</v>
      </c>
      <c r="I270" s="20" t="str">
        <f aca="false">IF(OR(F270=0,H270=0),"",F270-H270)</f>
        <v/>
      </c>
      <c r="J270" s="36" t="str">
        <f aca="false">IFERROR(I270/H270,"")</f>
        <v/>
      </c>
      <c r="K270" s="37" t="n">
        <f aca="false">Wk39!D67</f>
        <v>0</v>
      </c>
      <c r="L270" s="37" t="n">
        <f aca="false">Wk39!E67</f>
        <v>0</v>
      </c>
      <c r="M270" s="20" t="n">
        <f aca="false">Wk39!K67</f>
        <v>0</v>
      </c>
    </row>
    <row r="271" customFormat="false" ht="15" hidden="false" customHeight="false" outlineLevel="0" collapsed="false">
      <c r="A271" s="12" t="s">
        <v>161</v>
      </c>
      <c r="B271" s="13" t="n">
        <f aca="false">Wk39!B89</f>
        <v>46296</v>
      </c>
      <c r="C271" s="12" t="str">
        <f aca="false">TEXT(B271,"dddd")</f>
        <v>Thursday</v>
      </c>
      <c r="D271" s="20" t="n">
        <f aca="false">Wk39!M89</f>
        <v>0</v>
      </c>
      <c r="E271" s="20" t="n">
        <f aca="false">IFERROR(F271-D271,"")</f>
        <v>0</v>
      </c>
      <c r="F271" s="20" t="n">
        <f aca="false">Wk39!H89</f>
        <v>0</v>
      </c>
      <c r="G271" s="12" t="str">
        <f aca="false">IF(Wk39!L89="","",Wk39!L89)</f>
        <v/>
      </c>
      <c r="H271" s="20" t="n">
        <f aca="false">Wk39!R89</f>
        <v>0</v>
      </c>
      <c r="I271" s="20" t="str">
        <f aca="false">IF(OR(F271=0,H271=0),"",F271-H271)</f>
        <v/>
      </c>
      <c r="J271" s="36" t="str">
        <f aca="false">IFERROR(I271/H271,"")</f>
        <v/>
      </c>
      <c r="K271" s="37" t="n">
        <f aca="false">Wk39!D89</f>
        <v>0</v>
      </c>
      <c r="L271" s="37" t="n">
        <f aca="false">Wk39!E89</f>
        <v>0</v>
      </c>
      <c r="M271" s="20" t="n">
        <f aca="false">Wk39!K89</f>
        <v>0</v>
      </c>
    </row>
    <row r="272" customFormat="false" ht="15" hidden="false" customHeight="false" outlineLevel="0" collapsed="false">
      <c r="A272" s="12" t="s">
        <v>161</v>
      </c>
      <c r="B272" s="13" t="n">
        <f aca="false">Wk39!B111</f>
        <v>46297</v>
      </c>
      <c r="C272" s="12" t="str">
        <f aca="false">TEXT(B272,"dddd")</f>
        <v>Friday</v>
      </c>
      <c r="D272" s="20" t="n">
        <f aca="false">Wk39!M111</f>
        <v>0</v>
      </c>
      <c r="E272" s="20" t="n">
        <f aca="false">IFERROR(F272-D272,"")</f>
        <v>0</v>
      </c>
      <c r="F272" s="20" t="n">
        <f aca="false">Wk39!H111</f>
        <v>0</v>
      </c>
      <c r="G272" s="12" t="str">
        <f aca="false">IF(Wk39!L111="","",Wk39!L111)</f>
        <v/>
      </c>
      <c r="H272" s="20" t="n">
        <f aca="false">Wk39!R111</f>
        <v>0</v>
      </c>
      <c r="I272" s="20" t="str">
        <f aca="false">IF(OR(F272=0,H272=0),"",F272-H272)</f>
        <v/>
      </c>
      <c r="J272" s="36" t="str">
        <f aca="false">IFERROR(I272/H272,"")</f>
        <v/>
      </c>
      <c r="K272" s="37" t="n">
        <f aca="false">Wk39!D111</f>
        <v>0</v>
      </c>
      <c r="L272" s="37" t="n">
        <f aca="false">Wk39!E111</f>
        <v>0</v>
      </c>
      <c r="M272" s="20" t="n">
        <f aca="false">Wk39!K111</f>
        <v>0</v>
      </c>
    </row>
    <row r="273" customFormat="false" ht="15" hidden="false" customHeight="false" outlineLevel="0" collapsed="false">
      <c r="A273" s="12" t="s">
        <v>161</v>
      </c>
      <c r="B273" s="13" t="n">
        <f aca="false">Wk39!B133</f>
        <v>46298</v>
      </c>
      <c r="C273" s="12" t="str">
        <f aca="false">TEXT(B273,"dddd")</f>
        <v>Saturday</v>
      </c>
      <c r="D273" s="20" t="n">
        <f aca="false">Wk39!M133</f>
        <v>0</v>
      </c>
      <c r="E273" s="20" t="n">
        <f aca="false">IFERROR(F273-D273,"")</f>
        <v>0</v>
      </c>
      <c r="F273" s="20" t="n">
        <f aca="false">Wk39!H133</f>
        <v>0</v>
      </c>
      <c r="G273" s="12" t="str">
        <f aca="false">IF(Wk39!L133="","",Wk39!L133)</f>
        <v/>
      </c>
      <c r="H273" s="20" t="n">
        <f aca="false">Wk39!R133</f>
        <v>0</v>
      </c>
      <c r="I273" s="20" t="str">
        <f aca="false">IF(OR(F273=0,H273=0),"",F273-H273)</f>
        <v/>
      </c>
      <c r="J273" s="36" t="str">
        <f aca="false">IFERROR(I273/H273,"")</f>
        <v/>
      </c>
      <c r="K273" s="37" t="n">
        <f aca="false">Wk39!D133</f>
        <v>0</v>
      </c>
      <c r="L273" s="37" t="n">
        <f aca="false">Wk39!E133</f>
        <v>0</v>
      </c>
      <c r="M273" s="20" t="n">
        <f aca="false">Wk39!K133</f>
        <v>0</v>
      </c>
    </row>
    <row r="274" customFormat="false" ht="15" hidden="false" customHeight="false" outlineLevel="0" collapsed="false">
      <c r="A274" s="12" t="s">
        <v>161</v>
      </c>
      <c r="B274" s="13" t="n">
        <f aca="false">Wk39!B155</f>
        <v>46299</v>
      </c>
      <c r="C274" s="12" t="str">
        <f aca="false">TEXT(B274,"dddd")</f>
        <v>Sunday</v>
      </c>
      <c r="D274" s="20" t="n">
        <f aca="false">Wk39!M155</f>
        <v>0</v>
      </c>
      <c r="E274" s="20" t="n">
        <f aca="false">IFERROR(F274-D274,"")</f>
        <v>0</v>
      </c>
      <c r="F274" s="20" t="n">
        <f aca="false">Wk39!H155</f>
        <v>0</v>
      </c>
      <c r="G274" s="12" t="str">
        <f aca="false">IF(Wk39!L155="","",Wk39!L155)</f>
        <v/>
      </c>
      <c r="H274" s="20" t="n">
        <f aca="false">Wk39!R155</f>
        <v>0</v>
      </c>
      <c r="I274" s="20" t="str">
        <f aca="false">IF(OR(F274=0,H274=0),"",F274-H274)</f>
        <v/>
      </c>
      <c r="J274" s="36" t="str">
        <f aca="false">IFERROR(I274/H274,"")</f>
        <v/>
      </c>
      <c r="K274" s="37" t="n">
        <f aca="false">Wk39!D155</f>
        <v>0</v>
      </c>
      <c r="L274" s="37" t="n">
        <f aca="false">Wk39!E155</f>
        <v>0</v>
      </c>
      <c r="M274" s="20" t="n">
        <f aca="false">Wk39!K155</f>
        <v>0</v>
      </c>
    </row>
    <row r="275" customFormat="false" ht="15" hidden="false" customHeight="false" outlineLevel="0" collapsed="false">
      <c r="A275" s="12" t="s">
        <v>162</v>
      </c>
      <c r="B275" s="13" t="n">
        <f aca="false">Wk40!B23</f>
        <v>46300</v>
      </c>
      <c r="C275" s="12" t="str">
        <f aca="false">TEXT(B275,"dddd")</f>
        <v>Monday</v>
      </c>
      <c r="D275" s="20" t="n">
        <f aca="false">Wk40!M23</f>
        <v>0</v>
      </c>
      <c r="E275" s="20" t="n">
        <f aca="false">IFERROR(F275-D275,"")</f>
        <v>0</v>
      </c>
      <c r="F275" s="20" t="n">
        <f aca="false">Wk40!H23</f>
        <v>0</v>
      </c>
      <c r="G275" s="12" t="str">
        <f aca="false">IF(Wk40!L23="","",Wk40!L23)</f>
        <v/>
      </c>
      <c r="H275" s="20" t="n">
        <f aca="false">Wk40!R23</f>
        <v>0</v>
      </c>
      <c r="I275" s="20" t="str">
        <f aca="false">IF(OR(F275=0,H275=0),"",F275-H275)</f>
        <v/>
      </c>
      <c r="J275" s="36" t="str">
        <f aca="false">IFERROR(I275/H275,"")</f>
        <v/>
      </c>
      <c r="K275" s="37" t="n">
        <f aca="false">Wk40!D23</f>
        <v>0</v>
      </c>
      <c r="L275" s="37" t="n">
        <f aca="false">Wk40!E23</f>
        <v>0</v>
      </c>
      <c r="M275" s="20" t="n">
        <f aca="false">Wk40!K23</f>
        <v>0</v>
      </c>
    </row>
    <row r="276" customFormat="false" ht="15" hidden="false" customHeight="false" outlineLevel="0" collapsed="false">
      <c r="A276" s="12" t="s">
        <v>162</v>
      </c>
      <c r="B276" s="13" t="n">
        <f aca="false">Wk40!B45</f>
        <v>46301</v>
      </c>
      <c r="C276" s="12" t="str">
        <f aca="false">TEXT(B276,"dddd")</f>
        <v>Tuesday</v>
      </c>
      <c r="D276" s="20" t="n">
        <f aca="false">Wk40!M45</f>
        <v>0</v>
      </c>
      <c r="E276" s="20" t="n">
        <f aca="false">IFERROR(F276-D276,"")</f>
        <v>0</v>
      </c>
      <c r="F276" s="20" t="n">
        <f aca="false">Wk40!H45</f>
        <v>0</v>
      </c>
      <c r="G276" s="12" t="str">
        <f aca="false">IF(Wk40!L45="","",Wk40!L45)</f>
        <v/>
      </c>
      <c r="H276" s="20" t="n">
        <f aca="false">Wk40!R45</f>
        <v>0</v>
      </c>
      <c r="I276" s="20" t="str">
        <f aca="false">IF(OR(F276=0,H276=0),"",F276-H276)</f>
        <v/>
      </c>
      <c r="J276" s="36" t="str">
        <f aca="false">IFERROR(I276/H276,"")</f>
        <v/>
      </c>
      <c r="K276" s="37" t="n">
        <f aca="false">Wk40!D45</f>
        <v>0</v>
      </c>
      <c r="L276" s="37" t="n">
        <f aca="false">Wk40!E45</f>
        <v>0</v>
      </c>
      <c r="M276" s="20" t="n">
        <f aca="false">Wk40!K45</f>
        <v>0</v>
      </c>
    </row>
    <row r="277" customFormat="false" ht="15" hidden="false" customHeight="false" outlineLevel="0" collapsed="false">
      <c r="A277" s="12" t="s">
        <v>162</v>
      </c>
      <c r="B277" s="13" t="n">
        <f aca="false">Wk40!B67</f>
        <v>46302</v>
      </c>
      <c r="C277" s="12" t="str">
        <f aca="false">TEXT(B277,"dddd")</f>
        <v>Wednesday</v>
      </c>
      <c r="D277" s="20" t="n">
        <f aca="false">Wk40!M67</f>
        <v>0</v>
      </c>
      <c r="E277" s="20" t="n">
        <f aca="false">IFERROR(F277-D277,"")</f>
        <v>0</v>
      </c>
      <c r="F277" s="20" t="n">
        <f aca="false">Wk40!H67</f>
        <v>0</v>
      </c>
      <c r="G277" s="12" t="str">
        <f aca="false">IF(Wk40!L67="","",Wk40!L67)</f>
        <v/>
      </c>
      <c r="H277" s="20" t="n">
        <f aca="false">Wk40!R67</f>
        <v>0</v>
      </c>
      <c r="I277" s="20" t="str">
        <f aca="false">IF(OR(F277=0,H277=0),"",F277-H277)</f>
        <v/>
      </c>
      <c r="J277" s="36" t="str">
        <f aca="false">IFERROR(I277/H277,"")</f>
        <v/>
      </c>
      <c r="K277" s="37" t="n">
        <f aca="false">Wk40!D67</f>
        <v>0</v>
      </c>
      <c r="L277" s="37" t="n">
        <f aca="false">Wk40!E67</f>
        <v>0</v>
      </c>
      <c r="M277" s="20" t="n">
        <f aca="false">Wk40!K67</f>
        <v>0</v>
      </c>
    </row>
    <row r="278" customFormat="false" ht="15" hidden="false" customHeight="false" outlineLevel="0" collapsed="false">
      <c r="A278" s="12" t="s">
        <v>162</v>
      </c>
      <c r="B278" s="13" t="n">
        <f aca="false">Wk40!B89</f>
        <v>46303</v>
      </c>
      <c r="C278" s="12" t="str">
        <f aca="false">TEXT(B278,"dddd")</f>
        <v>Thursday</v>
      </c>
      <c r="D278" s="20" t="n">
        <f aca="false">Wk40!M89</f>
        <v>0</v>
      </c>
      <c r="E278" s="20" t="n">
        <f aca="false">IFERROR(F278-D278,"")</f>
        <v>0</v>
      </c>
      <c r="F278" s="20" t="n">
        <f aca="false">Wk40!H89</f>
        <v>0</v>
      </c>
      <c r="G278" s="12" t="str">
        <f aca="false">IF(Wk40!L89="","",Wk40!L89)</f>
        <v/>
      </c>
      <c r="H278" s="20" t="n">
        <f aca="false">Wk40!R89</f>
        <v>0</v>
      </c>
      <c r="I278" s="20" t="str">
        <f aca="false">IF(OR(F278=0,H278=0),"",F278-H278)</f>
        <v/>
      </c>
      <c r="J278" s="36" t="str">
        <f aca="false">IFERROR(I278/H278,"")</f>
        <v/>
      </c>
      <c r="K278" s="37" t="n">
        <f aca="false">Wk40!D89</f>
        <v>0</v>
      </c>
      <c r="L278" s="37" t="n">
        <f aca="false">Wk40!E89</f>
        <v>0</v>
      </c>
      <c r="M278" s="20" t="n">
        <f aca="false">Wk40!K89</f>
        <v>0</v>
      </c>
    </row>
    <row r="279" customFormat="false" ht="15" hidden="false" customHeight="false" outlineLevel="0" collapsed="false">
      <c r="A279" s="12" t="s">
        <v>162</v>
      </c>
      <c r="B279" s="13" t="n">
        <f aca="false">Wk40!B111</f>
        <v>46304</v>
      </c>
      <c r="C279" s="12" t="str">
        <f aca="false">TEXT(B279,"dddd")</f>
        <v>Friday</v>
      </c>
      <c r="D279" s="20" t="n">
        <f aca="false">Wk40!M111</f>
        <v>0</v>
      </c>
      <c r="E279" s="20" t="n">
        <f aca="false">IFERROR(F279-D279,"")</f>
        <v>0</v>
      </c>
      <c r="F279" s="20" t="n">
        <f aca="false">Wk40!H111</f>
        <v>0</v>
      </c>
      <c r="G279" s="12" t="str">
        <f aca="false">IF(Wk40!L111="","",Wk40!L111)</f>
        <v/>
      </c>
      <c r="H279" s="20" t="n">
        <f aca="false">Wk40!R111</f>
        <v>0</v>
      </c>
      <c r="I279" s="20" t="str">
        <f aca="false">IF(OR(F279=0,H279=0),"",F279-H279)</f>
        <v/>
      </c>
      <c r="J279" s="36" t="str">
        <f aca="false">IFERROR(I279/H279,"")</f>
        <v/>
      </c>
      <c r="K279" s="37" t="n">
        <f aca="false">Wk40!D111</f>
        <v>0</v>
      </c>
      <c r="L279" s="37" t="n">
        <f aca="false">Wk40!E111</f>
        <v>0</v>
      </c>
      <c r="M279" s="20" t="n">
        <f aca="false">Wk40!K111</f>
        <v>0</v>
      </c>
    </row>
    <row r="280" customFormat="false" ht="15" hidden="false" customHeight="false" outlineLevel="0" collapsed="false">
      <c r="A280" s="12" t="s">
        <v>162</v>
      </c>
      <c r="B280" s="13" t="n">
        <f aca="false">Wk40!B133</f>
        <v>46305</v>
      </c>
      <c r="C280" s="12" t="str">
        <f aca="false">TEXT(B280,"dddd")</f>
        <v>Saturday</v>
      </c>
      <c r="D280" s="20" t="n">
        <f aca="false">Wk40!M133</f>
        <v>0</v>
      </c>
      <c r="E280" s="20" t="n">
        <f aca="false">IFERROR(F280-D280,"")</f>
        <v>0</v>
      </c>
      <c r="F280" s="20" t="n">
        <f aca="false">Wk40!H133</f>
        <v>0</v>
      </c>
      <c r="G280" s="12" t="str">
        <f aca="false">IF(Wk40!L133="","",Wk40!L133)</f>
        <v/>
      </c>
      <c r="H280" s="20" t="n">
        <f aca="false">Wk40!R133</f>
        <v>0</v>
      </c>
      <c r="I280" s="20" t="str">
        <f aca="false">IF(OR(F280=0,H280=0),"",F280-H280)</f>
        <v/>
      </c>
      <c r="J280" s="36" t="str">
        <f aca="false">IFERROR(I280/H280,"")</f>
        <v/>
      </c>
      <c r="K280" s="37" t="n">
        <f aca="false">Wk40!D133</f>
        <v>0</v>
      </c>
      <c r="L280" s="37" t="n">
        <f aca="false">Wk40!E133</f>
        <v>0</v>
      </c>
      <c r="M280" s="20" t="n">
        <f aca="false">Wk40!K133</f>
        <v>0</v>
      </c>
    </row>
    <row r="281" customFormat="false" ht="15" hidden="false" customHeight="false" outlineLevel="0" collapsed="false">
      <c r="A281" s="12" t="s">
        <v>162</v>
      </c>
      <c r="B281" s="13" t="n">
        <f aca="false">Wk40!B155</f>
        <v>46306</v>
      </c>
      <c r="C281" s="12" t="str">
        <f aca="false">TEXT(B281,"dddd")</f>
        <v>Sunday</v>
      </c>
      <c r="D281" s="20" t="n">
        <f aca="false">Wk40!M155</f>
        <v>0</v>
      </c>
      <c r="E281" s="20" t="n">
        <f aca="false">IFERROR(F281-D281,"")</f>
        <v>0</v>
      </c>
      <c r="F281" s="20" t="n">
        <f aca="false">Wk40!H155</f>
        <v>0</v>
      </c>
      <c r="G281" s="12" t="str">
        <f aca="false">IF(Wk40!L155="","",Wk40!L155)</f>
        <v/>
      </c>
      <c r="H281" s="20" t="n">
        <f aca="false">Wk40!R155</f>
        <v>0</v>
      </c>
      <c r="I281" s="20" t="str">
        <f aca="false">IF(OR(F281=0,H281=0),"",F281-H281)</f>
        <v/>
      </c>
      <c r="J281" s="36" t="str">
        <f aca="false">IFERROR(I281/H281,"")</f>
        <v/>
      </c>
      <c r="K281" s="37" t="n">
        <f aca="false">Wk40!D155</f>
        <v>0</v>
      </c>
      <c r="L281" s="37" t="n">
        <f aca="false">Wk40!E155</f>
        <v>0</v>
      </c>
      <c r="M281" s="20" t="n">
        <f aca="false">Wk40!K155</f>
        <v>0</v>
      </c>
    </row>
    <row r="282" customFormat="false" ht="15" hidden="false" customHeight="false" outlineLevel="0" collapsed="false">
      <c r="A282" s="12" t="s">
        <v>163</v>
      </c>
      <c r="B282" s="13" t="n">
        <f aca="false">Wk41!B23</f>
        <v>46307</v>
      </c>
      <c r="C282" s="12" t="str">
        <f aca="false">TEXT(B282,"dddd")</f>
        <v>Monday</v>
      </c>
      <c r="D282" s="20" t="n">
        <f aca="false">Wk41!M23</f>
        <v>0</v>
      </c>
      <c r="E282" s="20" t="n">
        <f aca="false">IFERROR(F282-D282,"")</f>
        <v>0</v>
      </c>
      <c r="F282" s="20" t="n">
        <f aca="false">Wk41!H23</f>
        <v>0</v>
      </c>
      <c r="G282" s="12" t="str">
        <f aca="false">IF(Wk41!L23="","",Wk41!L23)</f>
        <v/>
      </c>
      <c r="H282" s="20" t="n">
        <f aca="false">Wk41!R23</f>
        <v>0</v>
      </c>
      <c r="I282" s="20" t="str">
        <f aca="false">IF(OR(F282=0,H282=0),"",F282-H282)</f>
        <v/>
      </c>
      <c r="J282" s="36" t="str">
        <f aca="false">IFERROR(I282/H282,"")</f>
        <v/>
      </c>
      <c r="K282" s="37" t="n">
        <f aca="false">Wk41!D23</f>
        <v>0</v>
      </c>
      <c r="L282" s="37" t="n">
        <f aca="false">Wk41!E23</f>
        <v>0</v>
      </c>
      <c r="M282" s="20" t="n">
        <f aca="false">Wk41!K23</f>
        <v>0</v>
      </c>
    </row>
    <row r="283" customFormat="false" ht="15" hidden="false" customHeight="false" outlineLevel="0" collapsed="false">
      <c r="A283" s="12" t="s">
        <v>163</v>
      </c>
      <c r="B283" s="13" t="n">
        <f aca="false">Wk41!B45</f>
        <v>46308</v>
      </c>
      <c r="C283" s="12" t="str">
        <f aca="false">TEXT(B283,"dddd")</f>
        <v>Tuesday</v>
      </c>
      <c r="D283" s="20" t="n">
        <f aca="false">Wk41!M45</f>
        <v>0</v>
      </c>
      <c r="E283" s="20" t="n">
        <f aca="false">IFERROR(F283-D283,"")</f>
        <v>0</v>
      </c>
      <c r="F283" s="20" t="n">
        <f aca="false">Wk41!H45</f>
        <v>0</v>
      </c>
      <c r="G283" s="12" t="str">
        <f aca="false">IF(Wk41!L45="","",Wk41!L45)</f>
        <v/>
      </c>
      <c r="H283" s="20" t="n">
        <f aca="false">Wk41!R45</f>
        <v>0</v>
      </c>
      <c r="I283" s="20" t="str">
        <f aca="false">IF(OR(F283=0,H283=0),"",F283-H283)</f>
        <v/>
      </c>
      <c r="J283" s="36" t="str">
        <f aca="false">IFERROR(I283/H283,"")</f>
        <v/>
      </c>
      <c r="K283" s="37" t="n">
        <f aca="false">Wk41!D45</f>
        <v>0</v>
      </c>
      <c r="L283" s="37" t="n">
        <f aca="false">Wk41!E45</f>
        <v>0</v>
      </c>
      <c r="M283" s="20" t="n">
        <f aca="false">Wk41!K45</f>
        <v>0</v>
      </c>
    </row>
    <row r="284" customFormat="false" ht="15" hidden="false" customHeight="false" outlineLevel="0" collapsed="false">
      <c r="A284" s="12" t="s">
        <v>163</v>
      </c>
      <c r="B284" s="13" t="n">
        <f aca="false">Wk41!B67</f>
        <v>46309</v>
      </c>
      <c r="C284" s="12" t="str">
        <f aca="false">TEXT(B284,"dddd")</f>
        <v>Wednesday</v>
      </c>
      <c r="D284" s="20" t="n">
        <f aca="false">Wk41!M67</f>
        <v>0</v>
      </c>
      <c r="E284" s="20" t="n">
        <f aca="false">IFERROR(F284-D284,"")</f>
        <v>0</v>
      </c>
      <c r="F284" s="20" t="n">
        <f aca="false">Wk41!H67</f>
        <v>0</v>
      </c>
      <c r="G284" s="12" t="str">
        <f aca="false">IF(Wk41!L67="","",Wk41!L67)</f>
        <v/>
      </c>
      <c r="H284" s="20" t="n">
        <f aca="false">Wk41!R67</f>
        <v>0</v>
      </c>
      <c r="I284" s="20" t="str">
        <f aca="false">IF(OR(F284=0,H284=0),"",F284-H284)</f>
        <v/>
      </c>
      <c r="J284" s="36" t="str">
        <f aca="false">IFERROR(I284/H284,"")</f>
        <v/>
      </c>
      <c r="K284" s="37" t="n">
        <f aca="false">Wk41!D67</f>
        <v>0</v>
      </c>
      <c r="L284" s="37" t="n">
        <f aca="false">Wk41!E67</f>
        <v>0</v>
      </c>
      <c r="M284" s="20" t="n">
        <f aca="false">Wk41!K67</f>
        <v>0</v>
      </c>
    </row>
    <row r="285" customFormat="false" ht="15" hidden="false" customHeight="false" outlineLevel="0" collapsed="false">
      <c r="A285" s="12" t="s">
        <v>163</v>
      </c>
      <c r="B285" s="13" t="n">
        <f aca="false">Wk41!B89</f>
        <v>46310</v>
      </c>
      <c r="C285" s="12" t="str">
        <f aca="false">TEXT(B285,"dddd")</f>
        <v>Thursday</v>
      </c>
      <c r="D285" s="20" t="n">
        <f aca="false">Wk41!M89</f>
        <v>0</v>
      </c>
      <c r="E285" s="20" t="n">
        <f aca="false">IFERROR(F285-D285,"")</f>
        <v>0</v>
      </c>
      <c r="F285" s="20" t="n">
        <f aca="false">Wk41!H89</f>
        <v>0</v>
      </c>
      <c r="G285" s="12" t="str">
        <f aca="false">IF(Wk41!L89="","",Wk41!L89)</f>
        <v/>
      </c>
      <c r="H285" s="20" t="n">
        <f aca="false">Wk41!R89</f>
        <v>0</v>
      </c>
      <c r="I285" s="20" t="str">
        <f aca="false">IF(OR(F285=0,H285=0),"",F285-H285)</f>
        <v/>
      </c>
      <c r="J285" s="36" t="str">
        <f aca="false">IFERROR(I285/H285,"")</f>
        <v/>
      </c>
      <c r="K285" s="37" t="n">
        <f aca="false">Wk41!D89</f>
        <v>0</v>
      </c>
      <c r="L285" s="37" t="n">
        <f aca="false">Wk41!E89</f>
        <v>0</v>
      </c>
      <c r="M285" s="20" t="n">
        <f aca="false">Wk41!K89</f>
        <v>0</v>
      </c>
    </row>
    <row r="286" customFormat="false" ht="15" hidden="false" customHeight="false" outlineLevel="0" collapsed="false">
      <c r="A286" s="12" t="s">
        <v>163</v>
      </c>
      <c r="B286" s="13" t="n">
        <f aca="false">Wk41!B111</f>
        <v>46311</v>
      </c>
      <c r="C286" s="12" t="str">
        <f aca="false">TEXT(B286,"dddd")</f>
        <v>Friday</v>
      </c>
      <c r="D286" s="20" t="n">
        <f aca="false">Wk41!M111</f>
        <v>0</v>
      </c>
      <c r="E286" s="20" t="n">
        <f aca="false">IFERROR(F286-D286,"")</f>
        <v>0</v>
      </c>
      <c r="F286" s="20" t="n">
        <f aca="false">Wk41!H111</f>
        <v>0</v>
      </c>
      <c r="G286" s="12" t="str">
        <f aca="false">IF(Wk41!L111="","",Wk41!L111)</f>
        <v/>
      </c>
      <c r="H286" s="20" t="n">
        <f aca="false">Wk41!R111</f>
        <v>0</v>
      </c>
      <c r="I286" s="20" t="str">
        <f aca="false">IF(OR(F286=0,H286=0),"",F286-H286)</f>
        <v/>
      </c>
      <c r="J286" s="36" t="str">
        <f aca="false">IFERROR(I286/H286,"")</f>
        <v/>
      </c>
      <c r="K286" s="37" t="n">
        <f aca="false">Wk41!D111</f>
        <v>0</v>
      </c>
      <c r="L286" s="37" t="n">
        <f aca="false">Wk41!E111</f>
        <v>0</v>
      </c>
      <c r="M286" s="20" t="n">
        <f aca="false">Wk41!K111</f>
        <v>0</v>
      </c>
    </row>
    <row r="287" customFormat="false" ht="15" hidden="false" customHeight="false" outlineLevel="0" collapsed="false">
      <c r="A287" s="12" t="s">
        <v>163</v>
      </c>
      <c r="B287" s="13" t="n">
        <f aca="false">Wk41!B133</f>
        <v>46312</v>
      </c>
      <c r="C287" s="12" t="str">
        <f aca="false">TEXT(B287,"dddd")</f>
        <v>Saturday</v>
      </c>
      <c r="D287" s="20" t="n">
        <f aca="false">Wk41!M133</f>
        <v>0</v>
      </c>
      <c r="E287" s="20" t="n">
        <f aca="false">IFERROR(F287-D287,"")</f>
        <v>0</v>
      </c>
      <c r="F287" s="20" t="n">
        <f aca="false">Wk41!H133</f>
        <v>0</v>
      </c>
      <c r="G287" s="12" t="str">
        <f aca="false">IF(Wk41!L133="","",Wk41!L133)</f>
        <v/>
      </c>
      <c r="H287" s="20" t="n">
        <f aca="false">Wk41!R133</f>
        <v>0</v>
      </c>
      <c r="I287" s="20" t="str">
        <f aca="false">IF(OR(F287=0,H287=0),"",F287-H287)</f>
        <v/>
      </c>
      <c r="J287" s="36" t="str">
        <f aca="false">IFERROR(I287/H287,"")</f>
        <v/>
      </c>
      <c r="K287" s="37" t="n">
        <f aca="false">Wk41!D133</f>
        <v>0</v>
      </c>
      <c r="L287" s="37" t="n">
        <f aca="false">Wk41!E133</f>
        <v>0</v>
      </c>
      <c r="M287" s="20" t="n">
        <f aca="false">Wk41!K133</f>
        <v>0</v>
      </c>
    </row>
    <row r="288" customFormat="false" ht="15" hidden="false" customHeight="false" outlineLevel="0" collapsed="false">
      <c r="A288" s="12" t="s">
        <v>163</v>
      </c>
      <c r="B288" s="13" t="n">
        <f aca="false">Wk41!B155</f>
        <v>46313</v>
      </c>
      <c r="C288" s="12" t="str">
        <f aca="false">TEXT(B288,"dddd")</f>
        <v>Sunday</v>
      </c>
      <c r="D288" s="20" t="n">
        <f aca="false">Wk41!M155</f>
        <v>0</v>
      </c>
      <c r="E288" s="20" t="n">
        <f aca="false">IFERROR(F288-D288,"")</f>
        <v>0</v>
      </c>
      <c r="F288" s="20" t="n">
        <f aca="false">Wk41!H155</f>
        <v>0</v>
      </c>
      <c r="G288" s="12" t="str">
        <f aca="false">IF(Wk41!L155="","",Wk41!L155)</f>
        <v/>
      </c>
      <c r="H288" s="20" t="n">
        <f aca="false">Wk41!R155</f>
        <v>0</v>
      </c>
      <c r="I288" s="20" t="str">
        <f aca="false">IF(OR(F288=0,H288=0),"",F288-H288)</f>
        <v/>
      </c>
      <c r="J288" s="36" t="str">
        <f aca="false">IFERROR(I288/H288,"")</f>
        <v/>
      </c>
      <c r="K288" s="37" t="n">
        <f aca="false">Wk41!D155</f>
        <v>0</v>
      </c>
      <c r="L288" s="37" t="n">
        <f aca="false">Wk41!E155</f>
        <v>0</v>
      </c>
      <c r="M288" s="20" t="n">
        <f aca="false">Wk41!K155</f>
        <v>0</v>
      </c>
    </row>
    <row r="289" customFormat="false" ht="15" hidden="false" customHeight="false" outlineLevel="0" collapsed="false">
      <c r="A289" s="12" t="s">
        <v>164</v>
      </c>
      <c r="B289" s="13" t="n">
        <f aca="false">Wk42!B23</f>
        <v>46314</v>
      </c>
      <c r="C289" s="12" t="str">
        <f aca="false">TEXT(B289,"dddd")</f>
        <v>Monday</v>
      </c>
      <c r="D289" s="20" t="n">
        <f aca="false">Wk42!M23</f>
        <v>0</v>
      </c>
      <c r="E289" s="20" t="n">
        <f aca="false">IFERROR(F289-D289,"")</f>
        <v>0</v>
      </c>
      <c r="F289" s="20" t="n">
        <f aca="false">Wk42!H23</f>
        <v>0</v>
      </c>
      <c r="G289" s="12" t="str">
        <f aca="false">IF(Wk42!L23="","",Wk42!L23)</f>
        <v/>
      </c>
      <c r="H289" s="20" t="n">
        <f aca="false">Wk42!R23</f>
        <v>0</v>
      </c>
      <c r="I289" s="20" t="str">
        <f aca="false">IF(OR(F289=0,H289=0),"",F289-H289)</f>
        <v/>
      </c>
      <c r="J289" s="36" t="str">
        <f aca="false">IFERROR(I289/H289,"")</f>
        <v/>
      </c>
      <c r="K289" s="37" t="n">
        <f aca="false">Wk42!D23</f>
        <v>0</v>
      </c>
      <c r="L289" s="37" t="n">
        <f aca="false">Wk42!E23</f>
        <v>0</v>
      </c>
      <c r="M289" s="20" t="n">
        <f aca="false">Wk42!K23</f>
        <v>0</v>
      </c>
    </row>
    <row r="290" customFormat="false" ht="15" hidden="false" customHeight="false" outlineLevel="0" collapsed="false">
      <c r="A290" s="12" t="s">
        <v>164</v>
      </c>
      <c r="B290" s="13" t="n">
        <f aca="false">Wk42!B45</f>
        <v>46315</v>
      </c>
      <c r="C290" s="12" t="str">
        <f aca="false">TEXT(B290,"dddd")</f>
        <v>Tuesday</v>
      </c>
      <c r="D290" s="20" t="n">
        <f aca="false">Wk42!M45</f>
        <v>0</v>
      </c>
      <c r="E290" s="20" t="n">
        <f aca="false">IFERROR(F290-D290,"")</f>
        <v>0</v>
      </c>
      <c r="F290" s="20" t="n">
        <f aca="false">Wk42!H45</f>
        <v>0</v>
      </c>
      <c r="G290" s="12" t="str">
        <f aca="false">IF(Wk42!L45="","",Wk42!L45)</f>
        <v/>
      </c>
      <c r="H290" s="20" t="n">
        <f aca="false">Wk42!R45</f>
        <v>0</v>
      </c>
      <c r="I290" s="20" t="str">
        <f aca="false">IF(OR(F290=0,H290=0),"",F290-H290)</f>
        <v/>
      </c>
      <c r="J290" s="36" t="str">
        <f aca="false">IFERROR(I290/H290,"")</f>
        <v/>
      </c>
      <c r="K290" s="37" t="n">
        <f aca="false">Wk42!D45</f>
        <v>0</v>
      </c>
      <c r="L290" s="37" t="n">
        <f aca="false">Wk42!E45</f>
        <v>0</v>
      </c>
      <c r="M290" s="20" t="n">
        <f aca="false">Wk42!K45</f>
        <v>0</v>
      </c>
    </row>
    <row r="291" customFormat="false" ht="15" hidden="false" customHeight="false" outlineLevel="0" collapsed="false">
      <c r="A291" s="12" t="s">
        <v>164</v>
      </c>
      <c r="B291" s="13" t="n">
        <f aca="false">Wk42!B67</f>
        <v>46316</v>
      </c>
      <c r="C291" s="12" t="str">
        <f aca="false">TEXT(B291,"dddd")</f>
        <v>Wednesday</v>
      </c>
      <c r="D291" s="20" t="n">
        <f aca="false">Wk42!M67</f>
        <v>0</v>
      </c>
      <c r="E291" s="20" t="n">
        <f aca="false">IFERROR(F291-D291,"")</f>
        <v>0</v>
      </c>
      <c r="F291" s="20" t="n">
        <f aca="false">Wk42!H67</f>
        <v>0</v>
      </c>
      <c r="G291" s="12" t="str">
        <f aca="false">IF(Wk42!L67="","",Wk42!L67)</f>
        <v/>
      </c>
      <c r="H291" s="20" t="n">
        <f aca="false">Wk42!R67</f>
        <v>0</v>
      </c>
      <c r="I291" s="20" t="str">
        <f aca="false">IF(OR(F291=0,H291=0),"",F291-H291)</f>
        <v/>
      </c>
      <c r="J291" s="36" t="str">
        <f aca="false">IFERROR(I291/H291,"")</f>
        <v/>
      </c>
      <c r="K291" s="37" t="n">
        <f aca="false">Wk42!D67</f>
        <v>0</v>
      </c>
      <c r="L291" s="37" t="n">
        <f aca="false">Wk42!E67</f>
        <v>0</v>
      </c>
      <c r="M291" s="20" t="n">
        <f aca="false">Wk42!K67</f>
        <v>0</v>
      </c>
    </row>
    <row r="292" customFormat="false" ht="15" hidden="false" customHeight="false" outlineLevel="0" collapsed="false">
      <c r="A292" s="12" t="s">
        <v>164</v>
      </c>
      <c r="B292" s="13" t="n">
        <f aca="false">Wk42!B89</f>
        <v>46317</v>
      </c>
      <c r="C292" s="12" t="str">
        <f aca="false">TEXT(B292,"dddd")</f>
        <v>Thursday</v>
      </c>
      <c r="D292" s="20" t="n">
        <f aca="false">Wk42!M89</f>
        <v>0</v>
      </c>
      <c r="E292" s="20" t="n">
        <f aca="false">IFERROR(F292-D292,"")</f>
        <v>0</v>
      </c>
      <c r="F292" s="20" t="n">
        <f aca="false">Wk42!H89</f>
        <v>0</v>
      </c>
      <c r="G292" s="12" t="str">
        <f aca="false">IF(Wk42!L89="","",Wk42!L89)</f>
        <v/>
      </c>
      <c r="H292" s="20" t="n">
        <f aca="false">Wk42!R89</f>
        <v>0</v>
      </c>
      <c r="I292" s="20" t="str">
        <f aca="false">IF(OR(F292=0,H292=0),"",F292-H292)</f>
        <v/>
      </c>
      <c r="J292" s="36" t="str">
        <f aca="false">IFERROR(I292/H292,"")</f>
        <v/>
      </c>
      <c r="K292" s="37" t="n">
        <f aca="false">Wk42!D89</f>
        <v>0</v>
      </c>
      <c r="L292" s="37" t="n">
        <f aca="false">Wk42!E89</f>
        <v>0</v>
      </c>
      <c r="M292" s="20" t="n">
        <f aca="false">Wk42!K89</f>
        <v>0</v>
      </c>
    </row>
    <row r="293" customFormat="false" ht="15" hidden="false" customHeight="false" outlineLevel="0" collapsed="false">
      <c r="A293" s="12" t="s">
        <v>164</v>
      </c>
      <c r="B293" s="13" t="n">
        <f aca="false">Wk42!B111</f>
        <v>46318</v>
      </c>
      <c r="C293" s="12" t="str">
        <f aca="false">TEXT(B293,"dddd")</f>
        <v>Friday</v>
      </c>
      <c r="D293" s="20" t="n">
        <f aca="false">Wk42!M111</f>
        <v>0</v>
      </c>
      <c r="E293" s="20" t="n">
        <f aca="false">IFERROR(F293-D293,"")</f>
        <v>0</v>
      </c>
      <c r="F293" s="20" t="n">
        <f aca="false">Wk42!H111</f>
        <v>0</v>
      </c>
      <c r="G293" s="12" t="str">
        <f aca="false">IF(Wk42!L111="","",Wk42!L111)</f>
        <v/>
      </c>
      <c r="H293" s="20" t="n">
        <f aca="false">Wk42!R111</f>
        <v>0</v>
      </c>
      <c r="I293" s="20" t="str">
        <f aca="false">IF(OR(F293=0,H293=0),"",F293-H293)</f>
        <v/>
      </c>
      <c r="J293" s="36" t="str">
        <f aca="false">IFERROR(I293/H293,"")</f>
        <v/>
      </c>
      <c r="K293" s="37" t="n">
        <f aca="false">Wk42!D111</f>
        <v>0</v>
      </c>
      <c r="L293" s="37" t="n">
        <f aca="false">Wk42!E111</f>
        <v>0</v>
      </c>
      <c r="M293" s="20" t="n">
        <f aca="false">Wk42!K111</f>
        <v>0</v>
      </c>
    </row>
    <row r="294" customFormat="false" ht="15" hidden="false" customHeight="false" outlineLevel="0" collapsed="false">
      <c r="A294" s="12" t="s">
        <v>164</v>
      </c>
      <c r="B294" s="13" t="n">
        <f aca="false">Wk42!B133</f>
        <v>46319</v>
      </c>
      <c r="C294" s="12" t="str">
        <f aca="false">TEXT(B294,"dddd")</f>
        <v>Saturday</v>
      </c>
      <c r="D294" s="20" t="n">
        <f aca="false">Wk42!M133</f>
        <v>0</v>
      </c>
      <c r="E294" s="20" t="n">
        <f aca="false">IFERROR(F294-D294,"")</f>
        <v>0</v>
      </c>
      <c r="F294" s="20" t="n">
        <f aca="false">Wk42!H133</f>
        <v>0</v>
      </c>
      <c r="G294" s="12" t="str">
        <f aca="false">IF(Wk42!L133="","",Wk42!L133)</f>
        <v/>
      </c>
      <c r="H294" s="20" t="n">
        <f aca="false">Wk42!R133</f>
        <v>0</v>
      </c>
      <c r="I294" s="20" t="str">
        <f aca="false">IF(OR(F294=0,H294=0),"",F294-H294)</f>
        <v/>
      </c>
      <c r="J294" s="36" t="str">
        <f aca="false">IFERROR(I294/H294,"")</f>
        <v/>
      </c>
      <c r="K294" s="37" t="n">
        <f aca="false">Wk42!D133</f>
        <v>0</v>
      </c>
      <c r="L294" s="37" t="n">
        <f aca="false">Wk42!E133</f>
        <v>0</v>
      </c>
      <c r="M294" s="20" t="n">
        <f aca="false">Wk42!K133</f>
        <v>0</v>
      </c>
    </row>
    <row r="295" customFormat="false" ht="15" hidden="false" customHeight="false" outlineLevel="0" collapsed="false">
      <c r="A295" s="12" t="s">
        <v>164</v>
      </c>
      <c r="B295" s="13" t="n">
        <f aca="false">Wk42!B155</f>
        <v>46320</v>
      </c>
      <c r="C295" s="12" t="str">
        <f aca="false">TEXT(B295,"dddd")</f>
        <v>Sunday</v>
      </c>
      <c r="D295" s="20" t="n">
        <f aca="false">Wk42!M155</f>
        <v>0</v>
      </c>
      <c r="E295" s="20" t="n">
        <f aca="false">IFERROR(F295-D295,"")</f>
        <v>0</v>
      </c>
      <c r="F295" s="20" t="n">
        <f aca="false">Wk42!H155</f>
        <v>0</v>
      </c>
      <c r="G295" s="12" t="str">
        <f aca="false">IF(Wk42!L155="","",Wk42!L155)</f>
        <v/>
      </c>
      <c r="H295" s="20" t="n">
        <f aca="false">Wk42!R155</f>
        <v>0</v>
      </c>
      <c r="I295" s="20" t="str">
        <f aca="false">IF(OR(F295=0,H295=0),"",F295-H295)</f>
        <v/>
      </c>
      <c r="J295" s="36" t="str">
        <f aca="false">IFERROR(I295/H295,"")</f>
        <v/>
      </c>
      <c r="K295" s="37" t="n">
        <f aca="false">Wk42!D155</f>
        <v>0</v>
      </c>
      <c r="L295" s="37" t="n">
        <f aca="false">Wk42!E155</f>
        <v>0</v>
      </c>
      <c r="M295" s="20" t="n">
        <f aca="false">Wk42!K155</f>
        <v>0</v>
      </c>
    </row>
    <row r="296" customFormat="false" ht="15" hidden="false" customHeight="false" outlineLevel="0" collapsed="false">
      <c r="A296" s="12" t="s">
        <v>165</v>
      </c>
      <c r="B296" s="13" t="n">
        <f aca="false">Wk43!B23</f>
        <v>46321</v>
      </c>
      <c r="C296" s="12" t="str">
        <f aca="false">TEXT(B296,"dddd")</f>
        <v>Monday</v>
      </c>
      <c r="D296" s="20" t="n">
        <f aca="false">Wk43!M23</f>
        <v>0</v>
      </c>
      <c r="E296" s="20" t="n">
        <f aca="false">IFERROR(F296-D296,"")</f>
        <v>0</v>
      </c>
      <c r="F296" s="20" t="n">
        <f aca="false">Wk43!H23</f>
        <v>0</v>
      </c>
      <c r="G296" s="12" t="str">
        <f aca="false">IF(Wk43!L23="","",Wk43!L23)</f>
        <v/>
      </c>
      <c r="H296" s="20" t="n">
        <f aca="false">Wk43!R23</f>
        <v>0</v>
      </c>
      <c r="I296" s="20" t="str">
        <f aca="false">IF(OR(F296=0,H296=0),"",F296-H296)</f>
        <v/>
      </c>
      <c r="J296" s="36" t="str">
        <f aca="false">IFERROR(I296/H296,"")</f>
        <v/>
      </c>
      <c r="K296" s="37" t="n">
        <f aca="false">Wk43!D23</f>
        <v>0</v>
      </c>
      <c r="L296" s="37" t="n">
        <f aca="false">Wk43!E23</f>
        <v>0</v>
      </c>
      <c r="M296" s="20" t="n">
        <f aca="false">Wk43!K23</f>
        <v>0</v>
      </c>
    </row>
    <row r="297" customFormat="false" ht="15" hidden="false" customHeight="false" outlineLevel="0" collapsed="false">
      <c r="A297" s="12" t="s">
        <v>165</v>
      </c>
      <c r="B297" s="13" t="n">
        <f aca="false">Wk43!B45</f>
        <v>46322</v>
      </c>
      <c r="C297" s="12" t="str">
        <f aca="false">TEXT(B297,"dddd")</f>
        <v>Tuesday</v>
      </c>
      <c r="D297" s="20" t="n">
        <f aca="false">Wk43!M45</f>
        <v>0</v>
      </c>
      <c r="E297" s="20" t="n">
        <f aca="false">IFERROR(F297-D297,"")</f>
        <v>0</v>
      </c>
      <c r="F297" s="20" t="n">
        <f aca="false">Wk43!H45</f>
        <v>0</v>
      </c>
      <c r="G297" s="12" t="str">
        <f aca="false">IF(Wk43!L45="","",Wk43!L45)</f>
        <v/>
      </c>
      <c r="H297" s="20" t="n">
        <f aca="false">Wk43!R45</f>
        <v>0</v>
      </c>
      <c r="I297" s="20" t="str">
        <f aca="false">IF(OR(F297=0,H297=0),"",F297-H297)</f>
        <v/>
      </c>
      <c r="J297" s="36" t="str">
        <f aca="false">IFERROR(I297/H297,"")</f>
        <v/>
      </c>
      <c r="K297" s="37" t="n">
        <f aca="false">Wk43!D45</f>
        <v>0</v>
      </c>
      <c r="L297" s="37" t="n">
        <f aca="false">Wk43!E45</f>
        <v>0</v>
      </c>
      <c r="M297" s="20" t="n">
        <f aca="false">Wk43!K45</f>
        <v>0</v>
      </c>
    </row>
    <row r="298" customFormat="false" ht="15" hidden="false" customHeight="false" outlineLevel="0" collapsed="false">
      <c r="A298" s="12" t="s">
        <v>165</v>
      </c>
      <c r="B298" s="13" t="n">
        <f aca="false">Wk43!B67</f>
        <v>46323</v>
      </c>
      <c r="C298" s="12" t="str">
        <f aca="false">TEXT(B298,"dddd")</f>
        <v>Wednesday</v>
      </c>
      <c r="D298" s="20" t="n">
        <f aca="false">Wk43!M67</f>
        <v>0</v>
      </c>
      <c r="E298" s="20" t="n">
        <f aca="false">IFERROR(F298-D298,"")</f>
        <v>0</v>
      </c>
      <c r="F298" s="20" t="n">
        <f aca="false">Wk43!H67</f>
        <v>0</v>
      </c>
      <c r="G298" s="12" t="str">
        <f aca="false">IF(Wk43!L67="","",Wk43!L67)</f>
        <v/>
      </c>
      <c r="H298" s="20" t="n">
        <f aca="false">Wk43!R67</f>
        <v>0</v>
      </c>
      <c r="I298" s="20" t="str">
        <f aca="false">IF(OR(F298=0,H298=0),"",F298-H298)</f>
        <v/>
      </c>
      <c r="J298" s="36" t="str">
        <f aca="false">IFERROR(I298/H298,"")</f>
        <v/>
      </c>
      <c r="K298" s="37" t="n">
        <f aca="false">Wk43!D67</f>
        <v>0</v>
      </c>
      <c r="L298" s="37" t="n">
        <f aca="false">Wk43!E67</f>
        <v>0</v>
      </c>
      <c r="M298" s="20" t="n">
        <f aca="false">Wk43!K67</f>
        <v>0</v>
      </c>
    </row>
    <row r="299" customFormat="false" ht="15" hidden="false" customHeight="false" outlineLevel="0" collapsed="false">
      <c r="A299" s="12" t="s">
        <v>165</v>
      </c>
      <c r="B299" s="13" t="n">
        <f aca="false">Wk43!B89</f>
        <v>46324</v>
      </c>
      <c r="C299" s="12" t="str">
        <f aca="false">TEXT(B299,"dddd")</f>
        <v>Thursday</v>
      </c>
      <c r="D299" s="20" t="n">
        <f aca="false">Wk43!M89</f>
        <v>0</v>
      </c>
      <c r="E299" s="20" t="n">
        <f aca="false">IFERROR(F299-D299,"")</f>
        <v>0</v>
      </c>
      <c r="F299" s="20" t="n">
        <f aca="false">Wk43!H89</f>
        <v>0</v>
      </c>
      <c r="G299" s="12" t="str">
        <f aca="false">IF(Wk43!L89="","",Wk43!L89)</f>
        <v/>
      </c>
      <c r="H299" s="20" t="n">
        <f aca="false">Wk43!R89</f>
        <v>0</v>
      </c>
      <c r="I299" s="20" t="str">
        <f aca="false">IF(OR(F299=0,H299=0),"",F299-H299)</f>
        <v/>
      </c>
      <c r="J299" s="36" t="str">
        <f aca="false">IFERROR(I299/H299,"")</f>
        <v/>
      </c>
      <c r="K299" s="37" t="n">
        <f aca="false">Wk43!D89</f>
        <v>0</v>
      </c>
      <c r="L299" s="37" t="n">
        <f aca="false">Wk43!E89</f>
        <v>0</v>
      </c>
      <c r="M299" s="20" t="n">
        <f aca="false">Wk43!K89</f>
        <v>0</v>
      </c>
    </row>
    <row r="300" customFormat="false" ht="15" hidden="false" customHeight="false" outlineLevel="0" collapsed="false">
      <c r="A300" s="12" t="s">
        <v>165</v>
      </c>
      <c r="B300" s="13" t="n">
        <f aca="false">Wk43!B111</f>
        <v>46325</v>
      </c>
      <c r="C300" s="12" t="str">
        <f aca="false">TEXT(B300,"dddd")</f>
        <v>Friday</v>
      </c>
      <c r="D300" s="20" t="n">
        <f aca="false">Wk43!M111</f>
        <v>0</v>
      </c>
      <c r="E300" s="20" t="n">
        <f aca="false">IFERROR(F300-D300,"")</f>
        <v>0</v>
      </c>
      <c r="F300" s="20" t="n">
        <f aca="false">Wk43!H111</f>
        <v>0</v>
      </c>
      <c r="G300" s="12" t="str">
        <f aca="false">IF(Wk43!L111="","",Wk43!L111)</f>
        <v/>
      </c>
      <c r="H300" s="20" t="n">
        <f aca="false">Wk43!R111</f>
        <v>0</v>
      </c>
      <c r="I300" s="20" t="str">
        <f aca="false">IF(OR(F300=0,H300=0),"",F300-H300)</f>
        <v/>
      </c>
      <c r="J300" s="36" t="str">
        <f aca="false">IFERROR(I300/H300,"")</f>
        <v/>
      </c>
      <c r="K300" s="37" t="n">
        <f aca="false">Wk43!D111</f>
        <v>0</v>
      </c>
      <c r="L300" s="37" t="n">
        <f aca="false">Wk43!E111</f>
        <v>0</v>
      </c>
      <c r="M300" s="20" t="n">
        <f aca="false">Wk43!K111</f>
        <v>0</v>
      </c>
    </row>
    <row r="301" customFormat="false" ht="15" hidden="false" customHeight="false" outlineLevel="0" collapsed="false">
      <c r="A301" s="12" t="s">
        <v>165</v>
      </c>
      <c r="B301" s="13" t="n">
        <f aca="false">Wk43!B133</f>
        <v>46326</v>
      </c>
      <c r="C301" s="12" t="str">
        <f aca="false">TEXT(B301,"dddd")</f>
        <v>Saturday</v>
      </c>
      <c r="D301" s="20" t="n">
        <f aca="false">Wk43!M133</f>
        <v>0</v>
      </c>
      <c r="E301" s="20" t="n">
        <f aca="false">IFERROR(F301-D301,"")</f>
        <v>0</v>
      </c>
      <c r="F301" s="20" t="n">
        <f aca="false">Wk43!H133</f>
        <v>0</v>
      </c>
      <c r="G301" s="12" t="str">
        <f aca="false">IF(Wk43!L133="","",Wk43!L133)</f>
        <v/>
      </c>
      <c r="H301" s="20" t="n">
        <f aca="false">Wk43!R133</f>
        <v>0</v>
      </c>
      <c r="I301" s="20" t="str">
        <f aca="false">IF(OR(F301=0,H301=0),"",F301-H301)</f>
        <v/>
      </c>
      <c r="J301" s="36" t="str">
        <f aca="false">IFERROR(I301/H301,"")</f>
        <v/>
      </c>
      <c r="K301" s="37" t="n">
        <f aca="false">Wk43!D133</f>
        <v>0</v>
      </c>
      <c r="L301" s="37" t="n">
        <f aca="false">Wk43!E133</f>
        <v>0</v>
      </c>
      <c r="M301" s="20" t="n">
        <f aca="false">Wk43!K133</f>
        <v>0</v>
      </c>
    </row>
    <row r="302" customFormat="false" ht="15" hidden="false" customHeight="false" outlineLevel="0" collapsed="false">
      <c r="A302" s="12" t="s">
        <v>165</v>
      </c>
      <c r="B302" s="13" t="n">
        <f aca="false">Wk43!B155</f>
        <v>46327</v>
      </c>
      <c r="C302" s="12" t="str">
        <f aca="false">TEXT(B302,"dddd")</f>
        <v>Sunday</v>
      </c>
      <c r="D302" s="20" t="n">
        <f aca="false">Wk43!M155</f>
        <v>0</v>
      </c>
      <c r="E302" s="20" t="n">
        <f aca="false">IFERROR(F302-D302,"")</f>
        <v>0</v>
      </c>
      <c r="F302" s="20" t="n">
        <f aca="false">Wk43!H155</f>
        <v>0</v>
      </c>
      <c r="G302" s="12" t="str">
        <f aca="false">IF(Wk43!L155="","",Wk43!L155)</f>
        <v/>
      </c>
      <c r="H302" s="20" t="n">
        <f aca="false">Wk43!R155</f>
        <v>0</v>
      </c>
      <c r="I302" s="20" t="str">
        <f aca="false">IF(OR(F302=0,H302=0),"",F302-H302)</f>
        <v/>
      </c>
      <c r="J302" s="36" t="str">
        <f aca="false">IFERROR(I302/H302,"")</f>
        <v/>
      </c>
      <c r="K302" s="37" t="n">
        <f aca="false">Wk43!D155</f>
        <v>0</v>
      </c>
      <c r="L302" s="37" t="n">
        <f aca="false">Wk43!E155</f>
        <v>0</v>
      </c>
      <c r="M302" s="20" t="n">
        <f aca="false">Wk43!K155</f>
        <v>0</v>
      </c>
    </row>
    <row r="303" customFormat="false" ht="15" hidden="false" customHeight="false" outlineLevel="0" collapsed="false">
      <c r="A303" s="12" t="s">
        <v>166</v>
      </c>
      <c r="B303" s="13" t="n">
        <f aca="false">Wk44!B23</f>
        <v>46328</v>
      </c>
      <c r="C303" s="12" t="str">
        <f aca="false">TEXT(B303,"dddd")</f>
        <v>Monday</v>
      </c>
      <c r="D303" s="20" t="n">
        <f aca="false">Wk44!M23</f>
        <v>0</v>
      </c>
      <c r="E303" s="20" t="n">
        <f aca="false">IFERROR(F303-D303,"")</f>
        <v>0</v>
      </c>
      <c r="F303" s="20" t="n">
        <f aca="false">Wk44!H23</f>
        <v>0</v>
      </c>
      <c r="G303" s="12" t="str">
        <f aca="false">IF(Wk44!L23="","",Wk44!L23)</f>
        <v/>
      </c>
      <c r="H303" s="20" t="n">
        <f aca="false">Wk44!R23</f>
        <v>0</v>
      </c>
      <c r="I303" s="20" t="str">
        <f aca="false">IF(OR(F303=0,H303=0),"",F303-H303)</f>
        <v/>
      </c>
      <c r="J303" s="36" t="str">
        <f aca="false">IFERROR(I303/H303,"")</f>
        <v/>
      </c>
      <c r="K303" s="37" t="n">
        <f aca="false">Wk44!D23</f>
        <v>0</v>
      </c>
      <c r="L303" s="37" t="n">
        <f aca="false">Wk44!E23</f>
        <v>0</v>
      </c>
      <c r="M303" s="20" t="n">
        <f aca="false">Wk44!K23</f>
        <v>0</v>
      </c>
    </row>
    <row r="304" customFormat="false" ht="15" hidden="false" customHeight="false" outlineLevel="0" collapsed="false">
      <c r="A304" s="12" t="s">
        <v>166</v>
      </c>
      <c r="B304" s="13" t="n">
        <f aca="false">Wk44!B45</f>
        <v>46329</v>
      </c>
      <c r="C304" s="12" t="str">
        <f aca="false">TEXT(B304,"dddd")</f>
        <v>Tuesday</v>
      </c>
      <c r="D304" s="20" t="n">
        <f aca="false">Wk44!M45</f>
        <v>0</v>
      </c>
      <c r="E304" s="20" t="n">
        <f aca="false">IFERROR(F304-D304,"")</f>
        <v>0</v>
      </c>
      <c r="F304" s="20" t="n">
        <f aca="false">Wk44!H45</f>
        <v>0</v>
      </c>
      <c r="G304" s="12" t="str">
        <f aca="false">IF(Wk44!L45="","",Wk44!L45)</f>
        <v/>
      </c>
      <c r="H304" s="20" t="n">
        <f aca="false">Wk44!R45</f>
        <v>0</v>
      </c>
      <c r="I304" s="20" t="str">
        <f aca="false">IF(OR(F304=0,H304=0),"",F304-H304)</f>
        <v/>
      </c>
      <c r="J304" s="36" t="str">
        <f aca="false">IFERROR(I304/H304,"")</f>
        <v/>
      </c>
      <c r="K304" s="37" t="n">
        <f aca="false">Wk44!D45</f>
        <v>0</v>
      </c>
      <c r="L304" s="37" t="n">
        <f aca="false">Wk44!E45</f>
        <v>0</v>
      </c>
      <c r="M304" s="20" t="n">
        <f aca="false">Wk44!K45</f>
        <v>0</v>
      </c>
    </row>
    <row r="305" customFormat="false" ht="15" hidden="false" customHeight="false" outlineLevel="0" collapsed="false">
      <c r="A305" s="12" t="s">
        <v>166</v>
      </c>
      <c r="B305" s="13" t="n">
        <f aca="false">Wk44!B67</f>
        <v>46330</v>
      </c>
      <c r="C305" s="12" t="str">
        <f aca="false">TEXT(B305,"dddd")</f>
        <v>Wednesday</v>
      </c>
      <c r="D305" s="20" t="n">
        <f aca="false">Wk44!M67</f>
        <v>0</v>
      </c>
      <c r="E305" s="20" t="n">
        <f aca="false">IFERROR(F305-D305,"")</f>
        <v>0</v>
      </c>
      <c r="F305" s="20" t="n">
        <f aca="false">Wk44!H67</f>
        <v>0</v>
      </c>
      <c r="G305" s="12" t="str">
        <f aca="false">IF(Wk44!L67="","",Wk44!L67)</f>
        <v/>
      </c>
      <c r="H305" s="20" t="n">
        <f aca="false">Wk44!R67</f>
        <v>0</v>
      </c>
      <c r="I305" s="20" t="str">
        <f aca="false">IF(OR(F305=0,H305=0),"",F305-H305)</f>
        <v/>
      </c>
      <c r="J305" s="36" t="str">
        <f aca="false">IFERROR(I305/H305,"")</f>
        <v/>
      </c>
      <c r="K305" s="37" t="n">
        <f aca="false">Wk44!D67</f>
        <v>0</v>
      </c>
      <c r="L305" s="37" t="n">
        <f aca="false">Wk44!E67</f>
        <v>0</v>
      </c>
      <c r="M305" s="20" t="n">
        <f aca="false">Wk44!K67</f>
        <v>0</v>
      </c>
    </row>
    <row r="306" customFormat="false" ht="15" hidden="false" customHeight="false" outlineLevel="0" collapsed="false">
      <c r="A306" s="12" t="s">
        <v>166</v>
      </c>
      <c r="B306" s="13" t="n">
        <f aca="false">Wk44!B89</f>
        <v>46331</v>
      </c>
      <c r="C306" s="12" t="str">
        <f aca="false">TEXT(B306,"dddd")</f>
        <v>Thursday</v>
      </c>
      <c r="D306" s="20" t="n">
        <f aca="false">Wk44!M89</f>
        <v>0</v>
      </c>
      <c r="E306" s="20" t="n">
        <f aca="false">IFERROR(F306-D306,"")</f>
        <v>0</v>
      </c>
      <c r="F306" s="20" t="n">
        <f aca="false">Wk44!H89</f>
        <v>0</v>
      </c>
      <c r="G306" s="12" t="str">
        <f aca="false">IF(Wk44!L89="","",Wk44!L89)</f>
        <v/>
      </c>
      <c r="H306" s="20" t="n">
        <f aca="false">Wk44!R89</f>
        <v>0</v>
      </c>
      <c r="I306" s="20" t="str">
        <f aca="false">IF(OR(F306=0,H306=0),"",F306-H306)</f>
        <v/>
      </c>
      <c r="J306" s="36" t="str">
        <f aca="false">IFERROR(I306/H306,"")</f>
        <v/>
      </c>
      <c r="K306" s="37" t="n">
        <f aca="false">Wk44!D89</f>
        <v>0</v>
      </c>
      <c r="L306" s="37" t="n">
        <f aca="false">Wk44!E89</f>
        <v>0</v>
      </c>
      <c r="M306" s="20" t="n">
        <f aca="false">Wk44!K89</f>
        <v>0</v>
      </c>
    </row>
    <row r="307" customFormat="false" ht="15" hidden="false" customHeight="false" outlineLevel="0" collapsed="false">
      <c r="A307" s="12" t="s">
        <v>166</v>
      </c>
      <c r="B307" s="13" t="n">
        <f aca="false">Wk44!B111</f>
        <v>46332</v>
      </c>
      <c r="C307" s="12" t="str">
        <f aca="false">TEXT(B307,"dddd")</f>
        <v>Friday</v>
      </c>
      <c r="D307" s="20" t="n">
        <f aca="false">Wk44!M111</f>
        <v>0</v>
      </c>
      <c r="E307" s="20" t="n">
        <f aca="false">IFERROR(F307-D307,"")</f>
        <v>0</v>
      </c>
      <c r="F307" s="20" t="n">
        <f aca="false">Wk44!H111</f>
        <v>0</v>
      </c>
      <c r="G307" s="12" t="str">
        <f aca="false">IF(Wk44!L111="","",Wk44!L111)</f>
        <v/>
      </c>
      <c r="H307" s="20" t="n">
        <f aca="false">Wk44!R111</f>
        <v>0</v>
      </c>
      <c r="I307" s="20" t="str">
        <f aca="false">IF(OR(F307=0,H307=0),"",F307-H307)</f>
        <v/>
      </c>
      <c r="J307" s="36" t="str">
        <f aca="false">IFERROR(I307/H307,"")</f>
        <v/>
      </c>
      <c r="K307" s="37" t="n">
        <f aca="false">Wk44!D111</f>
        <v>0</v>
      </c>
      <c r="L307" s="37" t="n">
        <f aca="false">Wk44!E111</f>
        <v>0</v>
      </c>
      <c r="M307" s="20" t="n">
        <f aca="false">Wk44!K111</f>
        <v>0</v>
      </c>
    </row>
    <row r="308" customFormat="false" ht="15" hidden="false" customHeight="false" outlineLevel="0" collapsed="false">
      <c r="A308" s="12" t="s">
        <v>166</v>
      </c>
      <c r="B308" s="13" t="n">
        <f aca="false">Wk44!B133</f>
        <v>46333</v>
      </c>
      <c r="C308" s="12" t="str">
        <f aca="false">TEXT(B308,"dddd")</f>
        <v>Saturday</v>
      </c>
      <c r="D308" s="20" t="n">
        <f aca="false">Wk44!M133</f>
        <v>0</v>
      </c>
      <c r="E308" s="20" t="n">
        <f aca="false">IFERROR(F308-D308,"")</f>
        <v>0</v>
      </c>
      <c r="F308" s="20" t="n">
        <f aca="false">Wk44!H133</f>
        <v>0</v>
      </c>
      <c r="G308" s="12" t="str">
        <f aca="false">IF(Wk44!L133="","",Wk44!L133)</f>
        <v/>
      </c>
      <c r="H308" s="20" t="n">
        <f aca="false">Wk44!R133</f>
        <v>0</v>
      </c>
      <c r="I308" s="20" t="str">
        <f aca="false">IF(OR(F308=0,H308=0),"",F308-H308)</f>
        <v/>
      </c>
      <c r="J308" s="36" t="str">
        <f aca="false">IFERROR(I308/H308,"")</f>
        <v/>
      </c>
      <c r="K308" s="37" t="n">
        <f aca="false">Wk44!D133</f>
        <v>0</v>
      </c>
      <c r="L308" s="37" t="n">
        <f aca="false">Wk44!E133</f>
        <v>0</v>
      </c>
      <c r="M308" s="20" t="n">
        <f aca="false">Wk44!K133</f>
        <v>0</v>
      </c>
    </row>
    <row r="309" customFormat="false" ht="15" hidden="false" customHeight="false" outlineLevel="0" collapsed="false">
      <c r="A309" s="12" t="s">
        <v>166</v>
      </c>
      <c r="B309" s="13" t="n">
        <f aca="false">Wk44!B155</f>
        <v>46334</v>
      </c>
      <c r="C309" s="12" t="str">
        <f aca="false">TEXT(B309,"dddd")</f>
        <v>Sunday</v>
      </c>
      <c r="D309" s="20" t="n">
        <f aca="false">Wk44!M155</f>
        <v>0</v>
      </c>
      <c r="E309" s="20" t="n">
        <f aca="false">IFERROR(F309-D309,"")</f>
        <v>0</v>
      </c>
      <c r="F309" s="20" t="n">
        <f aca="false">Wk44!H155</f>
        <v>0</v>
      </c>
      <c r="G309" s="12" t="str">
        <f aca="false">IF(Wk44!L155="","",Wk44!L155)</f>
        <v/>
      </c>
      <c r="H309" s="20" t="n">
        <f aca="false">Wk44!R155</f>
        <v>0</v>
      </c>
      <c r="I309" s="20" t="str">
        <f aca="false">IF(OR(F309=0,H309=0),"",F309-H309)</f>
        <v/>
      </c>
      <c r="J309" s="36" t="str">
        <f aca="false">IFERROR(I309/H309,"")</f>
        <v/>
      </c>
      <c r="K309" s="37" t="n">
        <f aca="false">Wk44!D155</f>
        <v>0</v>
      </c>
      <c r="L309" s="37" t="n">
        <f aca="false">Wk44!E155</f>
        <v>0</v>
      </c>
      <c r="M309" s="20" t="n">
        <f aca="false">Wk44!K155</f>
        <v>0</v>
      </c>
    </row>
    <row r="310" customFormat="false" ht="15" hidden="false" customHeight="false" outlineLevel="0" collapsed="false">
      <c r="A310" s="12" t="s">
        <v>167</v>
      </c>
      <c r="B310" s="13" t="n">
        <f aca="false">Wk45!B23</f>
        <v>46335</v>
      </c>
      <c r="C310" s="12" t="str">
        <f aca="false">TEXT(B310,"dddd")</f>
        <v>Monday</v>
      </c>
      <c r="D310" s="20" t="n">
        <f aca="false">Wk45!M23</f>
        <v>0</v>
      </c>
      <c r="E310" s="20" t="n">
        <f aca="false">IFERROR(F310-D310,"")</f>
        <v>0</v>
      </c>
      <c r="F310" s="20" t="n">
        <f aca="false">Wk45!H23</f>
        <v>0</v>
      </c>
      <c r="G310" s="12" t="str">
        <f aca="false">IF(Wk45!L23="","",Wk45!L23)</f>
        <v/>
      </c>
      <c r="H310" s="20" t="n">
        <f aca="false">Wk45!R23</f>
        <v>0</v>
      </c>
      <c r="I310" s="20" t="str">
        <f aca="false">IF(OR(F310=0,H310=0),"",F310-H310)</f>
        <v/>
      </c>
      <c r="J310" s="36" t="str">
        <f aca="false">IFERROR(I310/H310,"")</f>
        <v/>
      </c>
      <c r="K310" s="37" t="n">
        <f aca="false">Wk45!D23</f>
        <v>0</v>
      </c>
      <c r="L310" s="37" t="n">
        <f aca="false">Wk45!E23</f>
        <v>0</v>
      </c>
      <c r="M310" s="20" t="n">
        <f aca="false">Wk45!K23</f>
        <v>0</v>
      </c>
    </row>
    <row r="311" customFormat="false" ht="15" hidden="false" customHeight="false" outlineLevel="0" collapsed="false">
      <c r="A311" s="12" t="s">
        <v>167</v>
      </c>
      <c r="B311" s="13" t="n">
        <f aca="false">Wk45!B45</f>
        <v>46336</v>
      </c>
      <c r="C311" s="12" t="str">
        <f aca="false">TEXT(B311,"dddd")</f>
        <v>Tuesday</v>
      </c>
      <c r="D311" s="20" t="n">
        <f aca="false">Wk45!M45</f>
        <v>0</v>
      </c>
      <c r="E311" s="20" t="n">
        <f aca="false">IFERROR(F311-D311,"")</f>
        <v>0</v>
      </c>
      <c r="F311" s="20" t="n">
        <f aca="false">Wk45!H45</f>
        <v>0</v>
      </c>
      <c r="G311" s="12" t="str">
        <f aca="false">IF(Wk45!L45="","",Wk45!L45)</f>
        <v/>
      </c>
      <c r="H311" s="20" t="n">
        <f aca="false">Wk45!R45</f>
        <v>0</v>
      </c>
      <c r="I311" s="20" t="str">
        <f aca="false">IF(OR(F311=0,H311=0),"",F311-H311)</f>
        <v/>
      </c>
      <c r="J311" s="36" t="str">
        <f aca="false">IFERROR(I311/H311,"")</f>
        <v/>
      </c>
      <c r="K311" s="37" t="n">
        <f aca="false">Wk45!D45</f>
        <v>0</v>
      </c>
      <c r="L311" s="37" t="n">
        <f aca="false">Wk45!E45</f>
        <v>0</v>
      </c>
      <c r="M311" s="20" t="n">
        <f aca="false">Wk45!K45</f>
        <v>0</v>
      </c>
    </row>
    <row r="312" customFormat="false" ht="15" hidden="false" customHeight="false" outlineLevel="0" collapsed="false">
      <c r="A312" s="12" t="s">
        <v>167</v>
      </c>
      <c r="B312" s="13" t="n">
        <f aca="false">Wk45!B67</f>
        <v>46337</v>
      </c>
      <c r="C312" s="12" t="str">
        <f aca="false">TEXT(B312,"dddd")</f>
        <v>Wednesday</v>
      </c>
      <c r="D312" s="20" t="n">
        <f aca="false">Wk45!M67</f>
        <v>0</v>
      </c>
      <c r="E312" s="20" t="n">
        <f aca="false">IFERROR(F312-D312,"")</f>
        <v>0</v>
      </c>
      <c r="F312" s="20" t="n">
        <f aca="false">Wk45!H67</f>
        <v>0</v>
      </c>
      <c r="G312" s="12" t="str">
        <f aca="false">IF(Wk45!L67="","",Wk45!L67)</f>
        <v/>
      </c>
      <c r="H312" s="20" t="n">
        <f aca="false">Wk45!R67</f>
        <v>0</v>
      </c>
      <c r="I312" s="20" t="str">
        <f aca="false">IF(OR(F312=0,H312=0),"",F312-H312)</f>
        <v/>
      </c>
      <c r="J312" s="36" t="str">
        <f aca="false">IFERROR(I312/H312,"")</f>
        <v/>
      </c>
      <c r="K312" s="37" t="n">
        <f aca="false">Wk45!D67</f>
        <v>0</v>
      </c>
      <c r="L312" s="37" t="n">
        <f aca="false">Wk45!E67</f>
        <v>0</v>
      </c>
      <c r="M312" s="20" t="n">
        <f aca="false">Wk45!K67</f>
        <v>0</v>
      </c>
    </row>
    <row r="313" customFormat="false" ht="15" hidden="false" customHeight="false" outlineLevel="0" collapsed="false">
      <c r="A313" s="12" t="s">
        <v>167</v>
      </c>
      <c r="B313" s="13" t="n">
        <f aca="false">Wk45!B89</f>
        <v>46338</v>
      </c>
      <c r="C313" s="12" t="str">
        <f aca="false">TEXT(B313,"dddd")</f>
        <v>Thursday</v>
      </c>
      <c r="D313" s="20" t="n">
        <f aca="false">Wk45!M89</f>
        <v>0</v>
      </c>
      <c r="E313" s="20" t="n">
        <f aca="false">IFERROR(F313-D313,"")</f>
        <v>0</v>
      </c>
      <c r="F313" s="20" t="n">
        <f aca="false">Wk45!H89</f>
        <v>0</v>
      </c>
      <c r="G313" s="12" t="str">
        <f aca="false">IF(Wk45!L89="","",Wk45!L89)</f>
        <v/>
      </c>
      <c r="H313" s="20" t="n">
        <f aca="false">Wk45!R89</f>
        <v>0</v>
      </c>
      <c r="I313" s="20" t="str">
        <f aca="false">IF(OR(F313=0,H313=0),"",F313-H313)</f>
        <v/>
      </c>
      <c r="J313" s="36" t="str">
        <f aca="false">IFERROR(I313/H313,"")</f>
        <v/>
      </c>
      <c r="K313" s="37" t="n">
        <f aca="false">Wk45!D89</f>
        <v>0</v>
      </c>
      <c r="L313" s="37" t="n">
        <f aca="false">Wk45!E89</f>
        <v>0</v>
      </c>
      <c r="M313" s="20" t="n">
        <f aca="false">Wk45!K89</f>
        <v>0</v>
      </c>
    </row>
    <row r="314" customFormat="false" ht="15" hidden="false" customHeight="false" outlineLevel="0" collapsed="false">
      <c r="A314" s="12" t="s">
        <v>167</v>
      </c>
      <c r="B314" s="13" t="n">
        <f aca="false">Wk45!B111</f>
        <v>46339</v>
      </c>
      <c r="C314" s="12" t="str">
        <f aca="false">TEXT(B314,"dddd")</f>
        <v>Friday</v>
      </c>
      <c r="D314" s="20" t="n">
        <f aca="false">Wk45!M111</f>
        <v>0</v>
      </c>
      <c r="E314" s="20" t="n">
        <f aca="false">IFERROR(F314-D314,"")</f>
        <v>0</v>
      </c>
      <c r="F314" s="20" t="n">
        <f aca="false">Wk45!H111</f>
        <v>0</v>
      </c>
      <c r="G314" s="12" t="str">
        <f aca="false">IF(Wk45!L111="","",Wk45!L111)</f>
        <v/>
      </c>
      <c r="H314" s="20" t="n">
        <f aca="false">Wk45!R111</f>
        <v>0</v>
      </c>
      <c r="I314" s="20" t="str">
        <f aca="false">IF(OR(F314=0,H314=0),"",F314-H314)</f>
        <v/>
      </c>
      <c r="J314" s="36" t="str">
        <f aca="false">IFERROR(I314/H314,"")</f>
        <v/>
      </c>
      <c r="K314" s="37" t="n">
        <f aca="false">Wk45!D111</f>
        <v>0</v>
      </c>
      <c r="L314" s="37" t="n">
        <f aca="false">Wk45!E111</f>
        <v>0</v>
      </c>
      <c r="M314" s="20" t="n">
        <f aca="false">Wk45!K111</f>
        <v>0</v>
      </c>
    </row>
    <row r="315" customFormat="false" ht="15" hidden="false" customHeight="false" outlineLevel="0" collapsed="false">
      <c r="A315" s="12" t="s">
        <v>167</v>
      </c>
      <c r="B315" s="13" t="n">
        <f aca="false">Wk45!B133</f>
        <v>46340</v>
      </c>
      <c r="C315" s="12" t="str">
        <f aca="false">TEXT(B315,"dddd")</f>
        <v>Saturday</v>
      </c>
      <c r="D315" s="20" t="n">
        <f aca="false">Wk45!M133</f>
        <v>0</v>
      </c>
      <c r="E315" s="20" t="n">
        <f aca="false">IFERROR(F315-D315,"")</f>
        <v>0</v>
      </c>
      <c r="F315" s="20" t="n">
        <f aca="false">Wk45!H133</f>
        <v>0</v>
      </c>
      <c r="G315" s="12" t="str">
        <f aca="false">IF(Wk45!L133="","",Wk45!L133)</f>
        <v/>
      </c>
      <c r="H315" s="20" t="n">
        <f aca="false">Wk45!R133</f>
        <v>0</v>
      </c>
      <c r="I315" s="20" t="str">
        <f aca="false">IF(OR(F315=0,H315=0),"",F315-H315)</f>
        <v/>
      </c>
      <c r="J315" s="36" t="str">
        <f aca="false">IFERROR(I315/H315,"")</f>
        <v/>
      </c>
      <c r="K315" s="37" t="n">
        <f aca="false">Wk45!D133</f>
        <v>0</v>
      </c>
      <c r="L315" s="37" t="n">
        <f aca="false">Wk45!E133</f>
        <v>0</v>
      </c>
      <c r="M315" s="20" t="n">
        <f aca="false">Wk45!K133</f>
        <v>0</v>
      </c>
    </row>
    <row r="316" customFormat="false" ht="15" hidden="false" customHeight="false" outlineLevel="0" collapsed="false">
      <c r="A316" s="12" t="s">
        <v>167</v>
      </c>
      <c r="B316" s="13" t="n">
        <f aca="false">Wk45!B155</f>
        <v>46341</v>
      </c>
      <c r="C316" s="12" t="str">
        <f aca="false">TEXT(B316,"dddd")</f>
        <v>Sunday</v>
      </c>
      <c r="D316" s="20" t="n">
        <f aca="false">Wk45!M155</f>
        <v>0</v>
      </c>
      <c r="E316" s="20" t="n">
        <f aca="false">IFERROR(F316-D316,"")</f>
        <v>0</v>
      </c>
      <c r="F316" s="20" t="n">
        <f aca="false">Wk45!H155</f>
        <v>0</v>
      </c>
      <c r="G316" s="12" t="str">
        <f aca="false">IF(Wk45!L155="","",Wk45!L155)</f>
        <v/>
      </c>
      <c r="H316" s="20" t="n">
        <f aca="false">Wk45!R155</f>
        <v>0</v>
      </c>
      <c r="I316" s="20" t="str">
        <f aca="false">IF(OR(F316=0,H316=0),"",F316-H316)</f>
        <v/>
      </c>
      <c r="J316" s="36" t="str">
        <f aca="false">IFERROR(I316/H316,"")</f>
        <v/>
      </c>
      <c r="K316" s="37" t="n">
        <f aca="false">Wk45!D155</f>
        <v>0</v>
      </c>
      <c r="L316" s="37" t="n">
        <f aca="false">Wk45!E155</f>
        <v>0</v>
      </c>
      <c r="M316" s="20" t="n">
        <f aca="false">Wk45!K155</f>
        <v>0</v>
      </c>
    </row>
    <row r="317" customFormat="false" ht="15" hidden="false" customHeight="false" outlineLevel="0" collapsed="false">
      <c r="A317" s="12" t="s">
        <v>168</v>
      </c>
      <c r="B317" s="13" t="n">
        <f aca="false">Wk46!B23</f>
        <v>46342</v>
      </c>
      <c r="C317" s="12" t="str">
        <f aca="false">TEXT(B317,"dddd")</f>
        <v>Monday</v>
      </c>
      <c r="D317" s="20" t="n">
        <f aca="false">Wk46!M23</f>
        <v>0</v>
      </c>
      <c r="E317" s="20" t="n">
        <f aca="false">IFERROR(F317-D317,"")</f>
        <v>0</v>
      </c>
      <c r="F317" s="20" t="n">
        <f aca="false">Wk46!H23</f>
        <v>0</v>
      </c>
      <c r="G317" s="12" t="str">
        <f aca="false">IF(Wk46!L23="","",Wk46!L23)</f>
        <v/>
      </c>
      <c r="H317" s="20" t="n">
        <f aca="false">Wk46!R23</f>
        <v>0</v>
      </c>
      <c r="I317" s="20" t="str">
        <f aca="false">IF(OR(F317=0,H317=0),"",F317-H317)</f>
        <v/>
      </c>
      <c r="J317" s="36" t="str">
        <f aca="false">IFERROR(I317/H317,"")</f>
        <v/>
      </c>
      <c r="K317" s="37" t="n">
        <f aca="false">Wk46!D23</f>
        <v>0</v>
      </c>
      <c r="L317" s="37" t="n">
        <f aca="false">Wk46!E23</f>
        <v>0</v>
      </c>
      <c r="M317" s="20" t="n">
        <f aca="false">Wk46!K23</f>
        <v>0</v>
      </c>
    </row>
    <row r="318" customFormat="false" ht="15" hidden="false" customHeight="false" outlineLevel="0" collapsed="false">
      <c r="A318" s="12" t="s">
        <v>168</v>
      </c>
      <c r="B318" s="13" t="n">
        <f aca="false">Wk46!B45</f>
        <v>46343</v>
      </c>
      <c r="C318" s="12" t="str">
        <f aca="false">TEXT(B318,"dddd")</f>
        <v>Tuesday</v>
      </c>
      <c r="D318" s="20" t="n">
        <f aca="false">Wk46!M45</f>
        <v>0</v>
      </c>
      <c r="E318" s="20" t="n">
        <f aca="false">IFERROR(F318-D318,"")</f>
        <v>0</v>
      </c>
      <c r="F318" s="20" t="n">
        <f aca="false">Wk46!H45</f>
        <v>0</v>
      </c>
      <c r="G318" s="12" t="str">
        <f aca="false">IF(Wk46!L45="","",Wk46!L45)</f>
        <v/>
      </c>
      <c r="H318" s="20" t="n">
        <f aca="false">Wk46!R45</f>
        <v>0</v>
      </c>
      <c r="I318" s="20" t="str">
        <f aca="false">IF(OR(F318=0,H318=0),"",F318-H318)</f>
        <v/>
      </c>
      <c r="J318" s="36" t="str">
        <f aca="false">IFERROR(I318/H318,"")</f>
        <v/>
      </c>
      <c r="K318" s="37" t="n">
        <f aca="false">Wk46!D45</f>
        <v>0</v>
      </c>
      <c r="L318" s="37" t="n">
        <f aca="false">Wk46!E45</f>
        <v>0</v>
      </c>
      <c r="M318" s="20" t="n">
        <f aca="false">Wk46!K45</f>
        <v>0</v>
      </c>
    </row>
    <row r="319" customFormat="false" ht="15" hidden="false" customHeight="false" outlineLevel="0" collapsed="false">
      <c r="A319" s="12" t="s">
        <v>168</v>
      </c>
      <c r="B319" s="13" t="n">
        <f aca="false">Wk46!B67</f>
        <v>46344</v>
      </c>
      <c r="C319" s="12" t="str">
        <f aca="false">TEXT(B319,"dddd")</f>
        <v>Wednesday</v>
      </c>
      <c r="D319" s="20" t="n">
        <f aca="false">Wk46!M67</f>
        <v>0</v>
      </c>
      <c r="E319" s="20" t="n">
        <f aca="false">IFERROR(F319-D319,"")</f>
        <v>0</v>
      </c>
      <c r="F319" s="20" t="n">
        <f aca="false">Wk46!H67</f>
        <v>0</v>
      </c>
      <c r="G319" s="12" t="str">
        <f aca="false">IF(Wk46!L67="","",Wk46!L67)</f>
        <v/>
      </c>
      <c r="H319" s="20" t="n">
        <f aca="false">Wk46!R67</f>
        <v>0</v>
      </c>
      <c r="I319" s="20" t="str">
        <f aca="false">IF(OR(F319=0,H319=0),"",F319-H319)</f>
        <v/>
      </c>
      <c r="J319" s="36" t="str">
        <f aca="false">IFERROR(I319/H319,"")</f>
        <v/>
      </c>
      <c r="K319" s="37" t="n">
        <f aca="false">Wk46!D67</f>
        <v>0</v>
      </c>
      <c r="L319" s="37" t="n">
        <f aca="false">Wk46!E67</f>
        <v>0</v>
      </c>
      <c r="M319" s="20" t="n">
        <f aca="false">Wk46!K67</f>
        <v>0</v>
      </c>
    </row>
    <row r="320" customFormat="false" ht="15" hidden="false" customHeight="false" outlineLevel="0" collapsed="false">
      <c r="A320" s="12" t="s">
        <v>168</v>
      </c>
      <c r="B320" s="13" t="n">
        <f aca="false">Wk46!B89</f>
        <v>46345</v>
      </c>
      <c r="C320" s="12" t="str">
        <f aca="false">TEXT(B320,"dddd")</f>
        <v>Thursday</v>
      </c>
      <c r="D320" s="20" t="n">
        <f aca="false">Wk46!M89</f>
        <v>0</v>
      </c>
      <c r="E320" s="20" t="n">
        <f aca="false">IFERROR(F320-D320,"")</f>
        <v>0</v>
      </c>
      <c r="F320" s="20" t="n">
        <f aca="false">Wk46!H89</f>
        <v>0</v>
      </c>
      <c r="G320" s="12" t="str">
        <f aca="false">IF(Wk46!L89="","",Wk46!L89)</f>
        <v/>
      </c>
      <c r="H320" s="20" t="n">
        <f aca="false">Wk46!R89</f>
        <v>0</v>
      </c>
      <c r="I320" s="20" t="str">
        <f aca="false">IF(OR(F320=0,H320=0),"",F320-H320)</f>
        <v/>
      </c>
      <c r="J320" s="36" t="str">
        <f aca="false">IFERROR(I320/H320,"")</f>
        <v/>
      </c>
      <c r="K320" s="37" t="n">
        <f aca="false">Wk46!D89</f>
        <v>0</v>
      </c>
      <c r="L320" s="37" t="n">
        <f aca="false">Wk46!E89</f>
        <v>0</v>
      </c>
      <c r="M320" s="20" t="n">
        <f aca="false">Wk46!K89</f>
        <v>0</v>
      </c>
    </row>
    <row r="321" customFormat="false" ht="15" hidden="false" customHeight="false" outlineLevel="0" collapsed="false">
      <c r="A321" s="12" t="s">
        <v>168</v>
      </c>
      <c r="B321" s="13" t="n">
        <f aca="false">Wk46!B111</f>
        <v>46346</v>
      </c>
      <c r="C321" s="12" t="str">
        <f aca="false">TEXT(B321,"dddd")</f>
        <v>Friday</v>
      </c>
      <c r="D321" s="20" t="n">
        <f aca="false">Wk46!M111</f>
        <v>0</v>
      </c>
      <c r="E321" s="20" t="n">
        <f aca="false">IFERROR(F321-D321,"")</f>
        <v>0</v>
      </c>
      <c r="F321" s="20" t="n">
        <f aca="false">Wk46!H111</f>
        <v>0</v>
      </c>
      <c r="G321" s="12" t="str">
        <f aca="false">IF(Wk46!L111="","",Wk46!L111)</f>
        <v/>
      </c>
      <c r="H321" s="20" t="n">
        <f aca="false">Wk46!R111</f>
        <v>0</v>
      </c>
      <c r="I321" s="20" t="str">
        <f aca="false">IF(OR(F321=0,H321=0),"",F321-H321)</f>
        <v/>
      </c>
      <c r="J321" s="36" t="str">
        <f aca="false">IFERROR(I321/H321,"")</f>
        <v/>
      </c>
      <c r="K321" s="37" t="n">
        <f aca="false">Wk46!D111</f>
        <v>0</v>
      </c>
      <c r="L321" s="37" t="n">
        <f aca="false">Wk46!E111</f>
        <v>0</v>
      </c>
      <c r="M321" s="20" t="n">
        <f aca="false">Wk46!K111</f>
        <v>0</v>
      </c>
    </row>
    <row r="322" customFormat="false" ht="15" hidden="false" customHeight="false" outlineLevel="0" collapsed="false">
      <c r="A322" s="12" t="s">
        <v>168</v>
      </c>
      <c r="B322" s="13" t="n">
        <f aca="false">Wk46!B133</f>
        <v>46347</v>
      </c>
      <c r="C322" s="12" t="str">
        <f aca="false">TEXT(B322,"dddd")</f>
        <v>Saturday</v>
      </c>
      <c r="D322" s="20" t="n">
        <f aca="false">Wk46!M133</f>
        <v>0</v>
      </c>
      <c r="E322" s="20" t="n">
        <f aca="false">IFERROR(F322-D322,"")</f>
        <v>0</v>
      </c>
      <c r="F322" s="20" t="n">
        <f aca="false">Wk46!H133</f>
        <v>0</v>
      </c>
      <c r="G322" s="12" t="str">
        <f aca="false">IF(Wk46!L133="","",Wk46!L133)</f>
        <v/>
      </c>
      <c r="H322" s="20" t="n">
        <f aca="false">Wk46!R133</f>
        <v>0</v>
      </c>
      <c r="I322" s="20" t="str">
        <f aca="false">IF(OR(F322=0,H322=0),"",F322-H322)</f>
        <v/>
      </c>
      <c r="J322" s="36" t="str">
        <f aca="false">IFERROR(I322/H322,"")</f>
        <v/>
      </c>
      <c r="K322" s="37" t="n">
        <f aca="false">Wk46!D133</f>
        <v>0</v>
      </c>
      <c r="L322" s="37" t="n">
        <f aca="false">Wk46!E133</f>
        <v>0</v>
      </c>
      <c r="M322" s="20" t="n">
        <f aca="false">Wk46!K133</f>
        <v>0</v>
      </c>
    </row>
    <row r="323" customFormat="false" ht="15" hidden="false" customHeight="false" outlineLevel="0" collapsed="false">
      <c r="A323" s="12" t="s">
        <v>168</v>
      </c>
      <c r="B323" s="13" t="n">
        <f aca="false">Wk46!B155</f>
        <v>46348</v>
      </c>
      <c r="C323" s="12" t="str">
        <f aca="false">TEXT(B323,"dddd")</f>
        <v>Sunday</v>
      </c>
      <c r="D323" s="20" t="n">
        <f aca="false">Wk46!M155</f>
        <v>0</v>
      </c>
      <c r="E323" s="20" t="n">
        <f aca="false">IFERROR(F323-D323,"")</f>
        <v>0</v>
      </c>
      <c r="F323" s="20" t="n">
        <f aca="false">Wk46!H155</f>
        <v>0</v>
      </c>
      <c r="G323" s="12" t="str">
        <f aca="false">IF(Wk46!L155="","",Wk46!L155)</f>
        <v/>
      </c>
      <c r="H323" s="20" t="n">
        <f aca="false">Wk46!R155</f>
        <v>0</v>
      </c>
      <c r="I323" s="20" t="str">
        <f aca="false">IF(OR(F323=0,H323=0),"",F323-H323)</f>
        <v/>
      </c>
      <c r="J323" s="36" t="str">
        <f aca="false">IFERROR(I323/H323,"")</f>
        <v/>
      </c>
      <c r="K323" s="37" t="n">
        <f aca="false">Wk46!D155</f>
        <v>0</v>
      </c>
      <c r="L323" s="37" t="n">
        <f aca="false">Wk46!E155</f>
        <v>0</v>
      </c>
      <c r="M323" s="20" t="n">
        <f aca="false">Wk46!K155</f>
        <v>0</v>
      </c>
    </row>
    <row r="324" customFormat="false" ht="15" hidden="false" customHeight="false" outlineLevel="0" collapsed="false">
      <c r="A324" s="12" t="s">
        <v>169</v>
      </c>
      <c r="B324" s="13" t="n">
        <f aca="false">Wk47!B23</f>
        <v>46349</v>
      </c>
      <c r="C324" s="12" t="str">
        <f aca="false">TEXT(B324,"dddd")</f>
        <v>Monday</v>
      </c>
      <c r="D324" s="20" t="n">
        <f aca="false">Wk47!M23</f>
        <v>0</v>
      </c>
      <c r="E324" s="20" t="n">
        <f aca="false">IFERROR(F324-D324,"")</f>
        <v>0</v>
      </c>
      <c r="F324" s="20" t="n">
        <f aca="false">Wk47!H23</f>
        <v>0</v>
      </c>
      <c r="G324" s="12" t="str">
        <f aca="false">IF(Wk47!L23="","",Wk47!L23)</f>
        <v/>
      </c>
      <c r="H324" s="20" t="n">
        <f aca="false">Wk47!R23</f>
        <v>0</v>
      </c>
      <c r="I324" s="20" t="str">
        <f aca="false">IF(OR(F324=0,H324=0),"",F324-H324)</f>
        <v/>
      </c>
      <c r="J324" s="36" t="str">
        <f aca="false">IFERROR(I324/H324,"")</f>
        <v/>
      </c>
      <c r="K324" s="37" t="n">
        <f aca="false">Wk47!D23</f>
        <v>0</v>
      </c>
      <c r="L324" s="37" t="n">
        <f aca="false">Wk47!E23</f>
        <v>0</v>
      </c>
      <c r="M324" s="20" t="n">
        <f aca="false">Wk47!K23</f>
        <v>0</v>
      </c>
    </row>
    <row r="325" customFormat="false" ht="15" hidden="false" customHeight="false" outlineLevel="0" collapsed="false">
      <c r="A325" s="12" t="s">
        <v>169</v>
      </c>
      <c r="B325" s="13" t="n">
        <f aca="false">Wk47!B45</f>
        <v>46350</v>
      </c>
      <c r="C325" s="12" t="str">
        <f aca="false">TEXT(B325,"dddd")</f>
        <v>Tuesday</v>
      </c>
      <c r="D325" s="20" t="n">
        <f aca="false">Wk47!M45</f>
        <v>0</v>
      </c>
      <c r="E325" s="20" t="n">
        <f aca="false">IFERROR(F325-D325,"")</f>
        <v>0</v>
      </c>
      <c r="F325" s="20" t="n">
        <f aca="false">Wk47!H45</f>
        <v>0</v>
      </c>
      <c r="G325" s="12" t="str">
        <f aca="false">IF(Wk47!L45="","",Wk47!L45)</f>
        <v/>
      </c>
      <c r="H325" s="20" t="n">
        <f aca="false">Wk47!R45</f>
        <v>0</v>
      </c>
      <c r="I325" s="20" t="str">
        <f aca="false">IF(OR(F325=0,H325=0),"",F325-H325)</f>
        <v/>
      </c>
      <c r="J325" s="36" t="str">
        <f aca="false">IFERROR(I325/H325,"")</f>
        <v/>
      </c>
      <c r="K325" s="37" t="n">
        <f aca="false">Wk47!D45</f>
        <v>0</v>
      </c>
      <c r="L325" s="37" t="n">
        <f aca="false">Wk47!E45</f>
        <v>0</v>
      </c>
      <c r="M325" s="20" t="n">
        <f aca="false">Wk47!K45</f>
        <v>0</v>
      </c>
    </row>
    <row r="326" customFormat="false" ht="15" hidden="false" customHeight="false" outlineLevel="0" collapsed="false">
      <c r="A326" s="12" t="s">
        <v>169</v>
      </c>
      <c r="B326" s="13" t="n">
        <f aca="false">Wk47!B67</f>
        <v>46351</v>
      </c>
      <c r="C326" s="12" t="str">
        <f aca="false">TEXT(B326,"dddd")</f>
        <v>Wednesday</v>
      </c>
      <c r="D326" s="20" t="n">
        <f aca="false">Wk47!M67</f>
        <v>0</v>
      </c>
      <c r="E326" s="20" t="n">
        <f aca="false">IFERROR(F326-D326,"")</f>
        <v>0</v>
      </c>
      <c r="F326" s="20" t="n">
        <f aca="false">Wk47!H67</f>
        <v>0</v>
      </c>
      <c r="G326" s="12" t="str">
        <f aca="false">IF(Wk47!L67="","",Wk47!L67)</f>
        <v/>
      </c>
      <c r="H326" s="20" t="n">
        <f aca="false">Wk47!R67</f>
        <v>0</v>
      </c>
      <c r="I326" s="20" t="str">
        <f aca="false">IF(OR(F326=0,H326=0),"",F326-H326)</f>
        <v/>
      </c>
      <c r="J326" s="36" t="str">
        <f aca="false">IFERROR(I326/H326,"")</f>
        <v/>
      </c>
      <c r="K326" s="37" t="n">
        <f aca="false">Wk47!D67</f>
        <v>0</v>
      </c>
      <c r="L326" s="37" t="n">
        <f aca="false">Wk47!E67</f>
        <v>0</v>
      </c>
      <c r="M326" s="20" t="n">
        <f aca="false">Wk47!K67</f>
        <v>0</v>
      </c>
    </row>
    <row r="327" customFormat="false" ht="15" hidden="false" customHeight="false" outlineLevel="0" collapsed="false">
      <c r="A327" s="12" t="s">
        <v>169</v>
      </c>
      <c r="B327" s="13" t="n">
        <f aca="false">Wk47!B89</f>
        <v>46352</v>
      </c>
      <c r="C327" s="12" t="str">
        <f aca="false">TEXT(B327,"dddd")</f>
        <v>Thursday</v>
      </c>
      <c r="D327" s="20" t="n">
        <f aca="false">Wk47!M89</f>
        <v>0</v>
      </c>
      <c r="E327" s="20" t="n">
        <f aca="false">IFERROR(F327-D327,"")</f>
        <v>0</v>
      </c>
      <c r="F327" s="20" t="n">
        <f aca="false">Wk47!H89</f>
        <v>0</v>
      </c>
      <c r="G327" s="12" t="str">
        <f aca="false">IF(Wk47!L89="","",Wk47!L89)</f>
        <v/>
      </c>
      <c r="H327" s="20" t="n">
        <f aca="false">Wk47!R89</f>
        <v>0</v>
      </c>
      <c r="I327" s="20" t="str">
        <f aca="false">IF(OR(F327=0,H327=0),"",F327-H327)</f>
        <v/>
      </c>
      <c r="J327" s="36" t="str">
        <f aca="false">IFERROR(I327/H327,"")</f>
        <v/>
      </c>
      <c r="K327" s="37" t="n">
        <f aca="false">Wk47!D89</f>
        <v>0</v>
      </c>
      <c r="L327" s="37" t="n">
        <f aca="false">Wk47!E89</f>
        <v>0</v>
      </c>
      <c r="M327" s="20" t="n">
        <f aca="false">Wk47!K89</f>
        <v>0</v>
      </c>
    </row>
    <row r="328" customFormat="false" ht="15" hidden="false" customHeight="false" outlineLevel="0" collapsed="false">
      <c r="A328" s="12" t="s">
        <v>169</v>
      </c>
      <c r="B328" s="13" t="n">
        <f aca="false">Wk47!B111</f>
        <v>46353</v>
      </c>
      <c r="C328" s="12" t="str">
        <f aca="false">TEXT(B328,"dddd")</f>
        <v>Friday</v>
      </c>
      <c r="D328" s="20" t="n">
        <f aca="false">Wk47!M111</f>
        <v>0</v>
      </c>
      <c r="E328" s="20" t="n">
        <f aca="false">IFERROR(F328-D328,"")</f>
        <v>0</v>
      </c>
      <c r="F328" s="20" t="n">
        <f aca="false">Wk47!H111</f>
        <v>0</v>
      </c>
      <c r="G328" s="12" t="str">
        <f aca="false">IF(Wk47!L111="","",Wk47!L111)</f>
        <v/>
      </c>
      <c r="H328" s="20" t="n">
        <f aca="false">Wk47!R111</f>
        <v>0</v>
      </c>
      <c r="I328" s="20" t="str">
        <f aca="false">IF(OR(F328=0,H328=0),"",F328-H328)</f>
        <v/>
      </c>
      <c r="J328" s="36" t="str">
        <f aca="false">IFERROR(I328/H328,"")</f>
        <v/>
      </c>
      <c r="K328" s="37" t="n">
        <f aca="false">Wk47!D111</f>
        <v>0</v>
      </c>
      <c r="L328" s="37" t="n">
        <f aca="false">Wk47!E111</f>
        <v>0</v>
      </c>
      <c r="M328" s="20" t="n">
        <f aca="false">Wk47!K111</f>
        <v>0</v>
      </c>
    </row>
    <row r="329" customFormat="false" ht="15" hidden="false" customHeight="false" outlineLevel="0" collapsed="false">
      <c r="A329" s="12" t="s">
        <v>169</v>
      </c>
      <c r="B329" s="13" t="n">
        <f aca="false">Wk47!B133</f>
        <v>46354</v>
      </c>
      <c r="C329" s="12" t="str">
        <f aca="false">TEXT(B329,"dddd")</f>
        <v>Saturday</v>
      </c>
      <c r="D329" s="20" t="n">
        <f aca="false">Wk47!M133</f>
        <v>0</v>
      </c>
      <c r="E329" s="20" t="n">
        <f aca="false">IFERROR(F329-D329,"")</f>
        <v>0</v>
      </c>
      <c r="F329" s="20" t="n">
        <f aca="false">Wk47!H133</f>
        <v>0</v>
      </c>
      <c r="G329" s="12" t="str">
        <f aca="false">IF(Wk47!L133="","",Wk47!L133)</f>
        <v/>
      </c>
      <c r="H329" s="20" t="n">
        <f aca="false">Wk47!R133</f>
        <v>0</v>
      </c>
      <c r="I329" s="20" t="str">
        <f aca="false">IF(OR(F329=0,H329=0),"",F329-H329)</f>
        <v/>
      </c>
      <c r="J329" s="36" t="str">
        <f aca="false">IFERROR(I329/H329,"")</f>
        <v/>
      </c>
      <c r="K329" s="37" t="n">
        <f aca="false">Wk47!D133</f>
        <v>0</v>
      </c>
      <c r="L329" s="37" t="n">
        <f aca="false">Wk47!E133</f>
        <v>0</v>
      </c>
      <c r="M329" s="20" t="n">
        <f aca="false">Wk47!K133</f>
        <v>0</v>
      </c>
    </row>
    <row r="330" customFormat="false" ht="15" hidden="false" customHeight="false" outlineLevel="0" collapsed="false">
      <c r="A330" s="12" t="s">
        <v>169</v>
      </c>
      <c r="B330" s="13" t="n">
        <f aca="false">Wk47!B155</f>
        <v>46355</v>
      </c>
      <c r="C330" s="12" t="str">
        <f aca="false">TEXT(B330,"dddd")</f>
        <v>Sunday</v>
      </c>
      <c r="D330" s="20" t="n">
        <f aca="false">Wk47!M155</f>
        <v>0</v>
      </c>
      <c r="E330" s="20" t="n">
        <f aca="false">IFERROR(F330-D330,"")</f>
        <v>0</v>
      </c>
      <c r="F330" s="20" t="n">
        <f aca="false">Wk47!H155</f>
        <v>0</v>
      </c>
      <c r="G330" s="12" t="str">
        <f aca="false">IF(Wk47!L155="","",Wk47!L155)</f>
        <v/>
      </c>
      <c r="H330" s="20" t="n">
        <f aca="false">Wk47!R155</f>
        <v>0</v>
      </c>
      <c r="I330" s="20" t="str">
        <f aca="false">IF(OR(F330=0,H330=0),"",F330-H330)</f>
        <v/>
      </c>
      <c r="J330" s="36" t="str">
        <f aca="false">IFERROR(I330/H330,"")</f>
        <v/>
      </c>
      <c r="K330" s="37" t="n">
        <f aca="false">Wk47!D155</f>
        <v>0</v>
      </c>
      <c r="L330" s="37" t="n">
        <f aca="false">Wk47!E155</f>
        <v>0</v>
      </c>
      <c r="M330" s="20" t="n">
        <f aca="false">Wk47!K155</f>
        <v>0</v>
      </c>
    </row>
    <row r="331" customFormat="false" ht="15" hidden="false" customHeight="false" outlineLevel="0" collapsed="false">
      <c r="A331" s="12" t="s">
        <v>170</v>
      </c>
      <c r="B331" s="13" t="n">
        <f aca="false">Wk48!B23</f>
        <v>46356</v>
      </c>
      <c r="C331" s="12" t="str">
        <f aca="false">TEXT(B331,"dddd")</f>
        <v>Monday</v>
      </c>
      <c r="D331" s="20" t="n">
        <f aca="false">Wk48!M23</f>
        <v>0</v>
      </c>
      <c r="E331" s="20" t="n">
        <f aca="false">IFERROR(F331-D331,"")</f>
        <v>0</v>
      </c>
      <c r="F331" s="20" t="n">
        <f aca="false">Wk48!H23</f>
        <v>0</v>
      </c>
      <c r="G331" s="12" t="str">
        <f aca="false">IF(Wk48!L23="","",Wk48!L23)</f>
        <v/>
      </c>
      <c r="H331" s="20" t="n">
        <f aca="false">Wk48!R23</f>
        <v>0</v>
      </c>
      <c r="I331" s="20" t="str">
        <f aca="false">IF(OR(F331=0,H331=0),"",F331-H331)</f>
        <v/>
      </c>
      <c r="J331" s="36" t="str">
        <f aca="false">IFERROR(I331/H331,"")</f>
        <v/>
      </c>
      <c r="K331" s="37" t="n">
        <f aca="false">Wk48!D23</f>
        <v>0</v>
      </c>
      <c r="L331" s="37" t="n">
        <f aca="false">Wk48!E23</f>
        <v>0</v>
      </c>
      <c r="M331" s="20" t="n">
        <f aca="false">Wk48!K23</f>
        <v>0</v>
      </c>
    </row>
    <row r="332" customFormat="false" ht="15" hidden="false" customHeight="false" outlineLevel="0" collapsed="false">
      <c r="A332" s="12" t="s">
        <v>170</v>
      </c>
      <c r="B332" s="13" t="n">
        <f aca="false">Wk48!B45</f>
        <v>46357</v>
      </c>
      <c r="C332" s="12" t="str">
        <f aca="false">TEXT(B332,"dddd")</f>
        <v>Tuesday</v>
      </c>
      <c r="D332" s="20" t="n">
        <f aca="false">Wk48!M45</f>
        <v>0</v>
      </c>
      <c r="E332" s="20" t="n">
        <f aca="false">IFERROR(F332-D332,"")</f>
        <v>0</v>
      </c>
      <c r="F332" s="20" t="n">
        <f aca="false">Wk48!H45</f>
        <v>0</v>
      </c>
      <c r="G332" s="12" t="str">
        <f aca="false">IF(Wk48!L45="","",Wk48!L45)</f>
        <v/>
      </c>
      <c r="H332" s="20" t="n">
        <f aca="false">Wk48!R45</f>
        <v>0</v>
      </c>
      <c r="I332" s="20" t="str">
        <f aca="false">IF(OR(F332=0,H332=0),"",F332-H332)</f>
        <v/>
      </c>
      <c r="J332" s="36" t="str">
        <f aca="false">IFERROR(I332/H332,"")</f>
        <v/>
      </c>
      <c r="K332" s="37" t="n">
        <f aca="false">Wk48!D45</f>
        <v>0</v>
      </c>
      <c r="L332" s="37" t="n">
        <f aca="false">Wk48!E45</f>
        <v>0</v>
      </c>
      <c r="M332" s="20" t="n">
        <f aca="false">Wk48!K45</f>
        <v>0</v>
      </c>
    </row>
    <row r="333" customFormat="false" ht="15" hidden="false" customHeight="false" outlineLevel="0" collapsed="false">
      <c r="A333" s="12" t="s">
        <v>170</v>
      </c>
      <c r="B333" s="13" t="n">
        <f aca="false">Wk48!B67</f>
        <v>46358</v>
      </c>
      <c r="C333" s="12" t="str">
        <f aca="false">TEXT(B333,"dddd")</f>
        <v>Wednesday</v>
      </c>
      <c r="D333" s="20" t="n">
        <f aca="false">Wk48!M67</f>
        <v>0</v>
      </c>
      <c r="E333" s="20" t="n">
        <f aca="false">IFERROR(F333-D333,"")</f>
        <v>0</v>
      </c>
      <c r="F333" s="20" t="n">
        <f aca="false">Wk48!H67</f>
        <v>0</v>
      </c>
      <c r="G333" s="12" t="str">
        <f aca="false">IF(Wk48!L67="","",Wk48!L67)</f>
        <v/>
      </c>
      <c r="H333" s="20" t="n">
        <f aca="false">Wk48!R67</f>
        <v>0</v>
      </c>
      <c r="I333" s="20" t="str">
        <f aca="false">IF(OR(F333=0,H333=0),"",F333-H333)</f>
        <v/>
      </c>
      <c r="J333" s="36" t="str">
        <f aca="false">IFERROR(I333/H333,"")</f>
        <v/>
      </c>
      <c r="K333" s="37" t="n">
        <f aca="false">Wk48!D67</f>
        <v>0</v>
      </c>
      <c r="L333" s="37" t="n">
        <f aca="false">Wk48!E67</f>
        <v>0</v>
      </c>
      <c r="M333" s="20" t="n">
        <f aca="false">Wk48!K67</f>
        <v>0</v>
      </c>
    </row>
    <row r="334" customFormat="false" ht="15" hidden="false" customHeight="false" outlineLevel="0" collapsed="false">
      <c r="A334" s="12" t="s">
        <v>170</v>
      </c>
      <c r="B334" s="13" t="n">
        <f aca="false">Wk48!B89</f>
        <v>46359</v>
      </c>
      <c r="C334" s="12" t="str">
        <f aca="false">TEXT(B334,"dddd")</f>
        <v>Thursday</v>
      </c>
      <c r="D334" s="20" t="n">
        <f aca="false">Wk48!M89</f>
        <v>0</v>
      </c>
      <c r="E334" s="20" t="n">
        <f aca="false">IFERROR(F334-D334,"")</f>
        <v>0</v>
      </c>
      <c r="F334" s="20" t="n">
        <f aca="false">Wk48!H89</f>
        <v>0</v>
      </c>
      <c r="G334" s="12" t="str">
        <f aca="false">IF(Wk48!L89="","",Wk48!L89)</f>
        <v/>
      </c>
      <c r="H334" s="20" t="n">
        <f aca="false">Wk48!R89</f>
        <v>0</v>
      </c>
      <c r="I334" s="20" t="str">
        <f aca="false">IF(OR(F334=0,H334=0),"",F334-H334)</f>
        <v/>
      </c>
      <c r="J334" s="36" t="str">
        <f aca="false">IFERROR(I334/H334,"")</f>
        <v/>
      </c>
      <c r="K334" s="37" t="n">
        <f aca="false">Wk48!D89</f>
        <v>0</v>
      </c>
      <c r="L334" s="37" t="n">
        <f aca="false">Wk48!E89</f>
        <v>0</v>
      </c>
      <c r="M334" s="20" t="n">
        <f aca="false">Wk48!K89</f>
        <v>0</v>
      </c>
    </row>
    <row r="335" customFormat="false" ht="15" hidden="false" customHeight="false" outlineLevel="0" collapsed="false">
      <c r="A335" s="12" t="s">
        <v>170</v>
      </c>
      <c r="B335" s="13" t="n">
        <f aca="false">Wk48!B111</f>
        <v>46360</v>
      </c>
      <c r="C335" s="12" t="str">
        <f aca="false">TEXT(B335,"dddd")</f>
        <v>Friday</v>
      </c>
      <c r="D335" s="20" t="n">
        <f aca="false">Wk48!M111</f>
        <v>0</v>
      </c>
      <c r="E335" s="20" t="n">
        <f aca="false">IFERROR(F335-D335,"")</f>
        <v>0</v>
      </c>
      <c r="F335" s="20" t="n">
        <f aca="false">Wk48!H111</f>
        <v>0</v>
      </c>
      <c r="G335" s="12" t="str">
        <f aca="false">IF(Wk48!L111="","",Wk48!L111)</f>
        <v/>
      </c>
      <c r="H335" s="20" t="n">
        <f aca="false">Wk48!R111</f>
        <v>0</v>
      </c>
      <c r="I335" s="20" t="str">
        <f aca="false">IF(OR(F335=0,H335=0),"",F335-H335)</f>
        <v/>
      </c>
      <c r="J335" s="36" t="str">
        <f aca="false">IFERROR(I335/H335,"")</f>
        <v/>
      </c>
      <c r="K335" s="37" t="n">
        <f aca="false">Wk48!D111</f>
        <v>0</v>
      </c>
      <c r="L335" s="37" t="n">
        <f aca="false">Wk48!E111</f>
        <v>0</v>
      </c>
      <c r="M335" s="20" t="n">
        <f aca="false">Wk48!K111</f>
        <v>0</v>
      </c>
    </row>
    <row r="336" customFormat="false" ht="15" hidden="false" customHeight="false" outlineLevel="0" collapsed="false">
      <c r="A336" s="12" t="s">
        <v>170</v>
      </c>
      <c r="B336" s="13" t="n">
        <f aca="false">Wk48!B133</f>
        <v>46361</v>
      </c>
      <c r="C336" s="12" t="str">
        <f aca="false">TEXT(B336,"dddd")</f>
        <v>Saturday</v>
      </c>
      <c r="D336" s="20" t="n">
        <f aca="false">Wk48!M133</f>
        <v>0</v>
      </c>
      <c r="E336" s="20" t="n">
        <f aca="false">IFERROR(F336-D336,"")</f>
        <v>0</v>
      </c>
      <c r="F336" s="20" t="n">
        <f aca="false">Wk48!H133</f>
        <v>0</v>
      </c>
      <c r="G336" s="12" t="str">
        <f aca="false">IF(Wk48!L133="","",Wk48!L133)</f>
        <v/>
      </c>
      <c r="H336" s="20" t="n">
        <f aca="false">Wk48!R133</f>
        <v>0</v>
      </c>
      <c r="I336" s="20" t="str">
        <f aca="false">IF(OR(F336=0,H336=0),"",F336-H336)</f>
        <v/>
      </c>
      <c r="J336" s="36" t="str">
        <f aca="false">IFERROR(I336/H336,"")</f>
        <v/>
      </c>
      <c r="K336" s="37" t="n">
        <f aca="false">Wk48!D133</f>
        <v>0</v>
      </c>
      <c r="L336" s="37" t="n">
        <f aca="false">Wk48!E133</f>
        <v>0</v>
      </c>
      <c r="M336" s="20" t="n">
        <f aca="false">Wk48!K133</f>
        <v>0</v>
      </c>
    </row>
    <row r="337" customFormat="false" ht="15" hidden="false" customHeight="false" outlineLevel="0" collapsed="false">
      <c r="A337" s="12" t="s">
        <v>170</v>
      </c>
      <c r="B337" s="13" t="n">
        <f aca="false">Wk48!B155</f>
        <v>46362</v>
      </c>
      <c r="C337" s="12" t="str">
        <f aca="false">TEXT(B337,"dddd")</f>
        <v>Sunday</v>
      </c>
      <c r="D337" s="20" t="n">
        <f aca="false">Wk48!M155</f>
        <v>0</v>
      </c>
      <c r="E337" s="20" t="n">
        <f aca="false">IFERROR(F337-D337,"")</f>
        <v>0</v>
      </c>
      <c r="F337" s="20" t="n">
        <f aca="false">Wk48!H155</f>
        <v>0</v>
      </c>
      <c r="G337" s="12" t="str">
        <f aca="false">IF(Wk48!L155="","",Wk48!L155)</f>
        <v/>
      </c>
      <c r="H337" s="20" t="n">
        <f aca="false">Wk48!R155</f>
        <v>0</v>
      </c>
      <c r="I337" s="20" t="str">
        <f aca="false">IF(OR(F337=0,H337=0),"",F337-H337)</f>
        <v/>
      </c>
      <c r="J337" s="36" t="str">
        <f aca="false">IFERROR(I337/H337,"")</f>
        <v/>
      </c>
      <c r="K337" s="37" t="n">
        <f aca="false">Wk48!D155</f>
        <v>0</v>
      </c>
      <c r="L337" s="37" t="n">
        <f aca="false">Wk48!E155</f>
        <v>0</v>
      </c>
      <c r="M337" s="20" t="n">
        <f aca="false">Wk48!K155</f>
        <v>0</v>
      </c>
    </row>
    <row r="338" customFormat="false" ht="15" hidden="false" customHeight="false" outlineLevel="0" collapsed="false">
      <c r="A338" s="12" t="s">
        <v>171</v>
      </c>
      <c r="B338" s="13" t="n">
        <f aca="false">Wk49!B23</f>
        <v>46363</v>
      </c>
      <c r="C338" s="12" t="str">
        <f aca="false">TEXT(B338,"dddd")</f>
        <v>Monday</v>
      </c>
      <c r="D338" s="20" t="n">
        <f aca="false">Wk49!M23</f>
        <v>0</v>
      </c>
      <c r="E338" s="20" t="n">
        <f aca="false">IFERROR(F338-D338,"")</f>
        <v>0</v>
      </c>
      <c r="F338" s="20" t="n">
        <f aca="false">Wk49!H23</f>
        <v>0</v>
      </c>
      <c r="G338" s="12" t="str">
        <f aca="false">IF(Wk49!L23="","",Wk49!L23)</f>
        <v/>
      </c>
      <c r="H338" s="20" t="n">
        <f aca="false">Wk49!R23</f>
        <v>0</v>
      </c>
      <c r="I338" s="20" t="str">
        <f aca="false">IF(OR(F338=0,H338=0),"",F338-H338)</f>
        <v/>
      </c>
      <c r="J338" s="36" t="str">
        <f aca="false">IFERROR(I338/H338,"")</f>
        <v/>
      </c>
      <c r="K338" s="37" t="n">
        <f aca="false">Wk49!D23</f>
        <v>0</v>
      </c>
      <c r="L338" s="37" t="n">
        <f aca="false">Wk49!E23</f>
        <v>0</v>
      </c>
      <c r="M338" s="20" t="n">
        <f aca="false">Wk49!K23</f>
        <v>0</v>
      </c>
    </row>
    <row r="339" customFormat="false" ht="15" hidden="false" customHeight="false" outlineLevel="0" collapsed="false">
      <c r="A339" s="12" t="s">
        <v>171</v>
      </c>
      <c r="B339" s="13" t="n">
        <f aca="false">Wk49!B45</f>
        <v>46364</v>
      </c>
      <c r="C339" s="12" t="str">
        <f aca="false">TEXT(B339,"dddd")</f>
        <v>Tuesday</v>
      </c>
      <c r="D339" s="20" t="n">
        <f aca="false">Wk49!M45</f>
        <v>0</v>
      </c>
      <c r="E339" s="20" t="n">
        <f aca="false">IFERROR(F339-D339,"")</f>
        <v>0</v>
      </c>
      <c r="F339" s="20" t="n">
        <f aca="false">Wk49!H45</f>
        <v>0</v>
      </c>
      <c r="G339" s="12" t="str">
        <f aca="false">IF(Wk49!L45="","",Wk49!L45)</f>
        <v/>
      </c>
      <c r="H339" s="20" t="n">
        <f aca="false">Wk49!R45</f>
        <v>0</v>
      </c>
      <c r="I339" s="20" t="str">
        <f aca="false">IF(OR(F339=0,H339=0),"",F339-H339)</f>
        <v/>
      </c>
      <c r="J339" s="36" t="str">
        <f aca="false">IFERROR(I339/H339,"")</f>
        <v/>
      </c>
      <c r="K339" s="37" t="n">
        <f aca="false">Wk49!D45</f>
        <v>0</v>
      </c>
      <c r="L339" s="37" t="n">
        <f aca="false">Wk49!E45</f>
        <v>0</v>
      </c>
      <c r="M339" s="20" t="n">
        <f aca="false">Wk49!K45</f>
        <v>0</v>
      </c>
    </row>
    <row r="340" customFormat="false" ht="15" hidden="false" customHeight="false" outlineLevel="0" collapsed="false">
      <c r="A340" s="12" t="s">
        <v>171</v>
      </c>
      <c r="B340" s="13" t="n">
        <f aca="false">Wk49!B67</f>
        <v>46365</v>
      </c>
      <c r="C340" s="12" t="str">
        <f aca="false">TEXT(B340,"dddd")</f>
        <v>Wednesday</v>
      </c>
      <c r="D340" s="20" t="n">
        <f aca="false">Wk49!M67</f>
        <v>0</v>
      </c>
      <c r="E340" s="20" t="n">
        <f aca="false">IFERROR(F340-D340,"")</f>
        <v>0</v>
      </c>
      <c r="F340" s="20" t="n">
        <f aca="false">Wk49!H67</f>
        <v>0</v>
      </c>
      <c r="G340" s="12" t="str">
        <f aca="false">IF(Wk49!L67="","",Wk49!L67)</f>
        <v/>
      </c>
      <c r="H340" s="20" t="n">
        <f aca="false">Wk49!R67</f>
        <v>0</v>
      </c>
      <c r="I340" s="20" t="str">
        <f aca="false">IF(OR(F340=0,H340=0),"",F340-H340)</f>
        <v/>
      </c>
      <c r="J340" s="36" t="str">
        <f aca="false">IFERROR(I340/H340,"")</f>
        <v/>
      </c>
      <c r="K340" s="37" t="n">
        <f aca="false">Wk49!D67</f>
        <v>0</v>
      </c>
      <c r="L340" s="37" t="n">
        <f aca="false">Wk49!E67</f>
        <v>0</v>
      </c>
      <c r="M340" s="20" t="n">
        <f aca="false">Wk49!K67</f>
        <v>0</v>
      </c>
    </row>
    <row r="341" customFormat="false" ht="15" hidden="false" customHeight="false" outlineLevel="0" collapsed="false">
      <c r="A341" s="12" t="s">
        <v>171</v>
      </c>
      <c r="B341" s="13" t="n">
        <f aca="false">Wk49!B89</f>
        <v>46366</v>
      </c>
      <c r="C341" s="12" t="str">
        <f aca="false">TEXT(B341,"dddd")</f>
        <v>Thursday</v>
      </c>
      <c r="D341" s="20" t="n">
        <f aca="false">Wk49!M89</f>
        <v>0</v>
      </c>
      <c r="E341" s="20" t="n">
        <f aca="false">IFERROR(F341-D341,"")</f>
        <v>0</v>
      </c>
      <c r="F341" s="20" t="n">
        <f aca="false">Wk49!H89</f>
        <v>0</v>
      </c>
      <c r="G341" s="12" t="str">
        <f aca="false">IF(Wk49!L89="","",Wk49!L89)</f>
        <v/>
      </c>
      <c r="H341" s="20" t="n">
        <f aca="false">Wk49!R89</f>
        <v>0</v>
      </c>
      <c r="I341" s="20" t="str">
        <f aca="false">IF(OR(F341=0,H341=0),"",F341-H341)</f>
        <v/>
      </c>
      <c r="J341" s="36" t="str">
        <f aca="false">IFERROR(I341/H341,"")</f>
        <v/>
      </c>
      <c r="K341" s="37" t="n">
        <f aca="false">Wk49!D89</f>
        <v>0</v>
      </c>
      <c r="L341" s="37" t="n">
        <f aca="false">Wk49!E89</f>
        <v>0</v>
      </c>
      <c r="M341" s="20" t="n">
        <f aca="false">Wk49!K89</f>
        <v>0</v>
      </c>
    </row>
    <row r="342" customFormat="false" ht="15" hidden="false" customHeight="false" outlineLevel="0" collapsed="false">
      <c r="A342" s="12" t="s">
        <v>171</v>
      </c>
      <c r="B342" s="13" t="n">
        <f aca="false">Wk49!B111</f>
        <v>46367</v>
      </c>
      <c r="C342" s="12" t="str">
        <f aca="false">TEXT(B342,"dddd")</f>
        <v>Friday</v>
      </c>
      <c r="D342" s="20" t="n">
        <f aca="false">Wk49!M111</f>
        <v>0</v>
      </c>
      <c r="E342" s="20" t="n">
        <f aca="false">IFERROR(F342-D342,"")</f>
        <v>0</v>
      </c>
      <c r="F342" s="20" t="n">
        <f aca="false">Wk49!H111</f>
        <v>0</v>
      </c>
      <c r="G342" s="12" t="str">
        <f aca="false">IF(Wk49!L111="","",Wk49!L111)</f>
        <v/>
      </c>
      <c r="H342" s="20" t="n">
        <f aca="false">Wk49!R111</f>
        <v>0</v>
      </c>
      <c r="I342" s="20" t="str">
        <f aca="false">IF(OR(F342=0,H342=0),"",F342-H342)</f>
        <v/>
      </c>
      <c r="J342" s="36" t="str">
        <f aca="false">IFERROR(I342/H342,"")</f>
        <v/>
      </c>
      <c r="K342" s="37" t="n">
        <f aca="false">Wk49!D111</f>
        <v>0</v>
      </c>
      <c r="L342" s="37" t="n">
        <f aca="false">Wk49!E111</f>
        <v>0</v>
      </c>
      <c r="M342" s="20" t="n">
        <f aca="false">Wk49!K111</f>
        <v>0</v>
      </c>
    </row>
    <row r="343" customFormat="false" ht="15" hidden="false" customHeight="false" outlineLevel="0" collapsed="false">
      <c r="A343" s="12" t="s">
        <v>171</v>
      </c>
      <c r="B343" s="13" t="n">
        <f aca="false">Wk49!B133</f>
        <v>46368</v>
      </c>
      <c r="C343" s="12" t="str">
        <f aca="false">TEXT(B343,"dddd")</f>
        <v>Saturday</v>
      </c>
      <c r="D343" s="20" t="n">
        <f aca="false">Wk49!M133</f>
        <v>0</v>
      </c>
      <c r="E343" s="20" t="n">
        <f aca="false">IFERROR(F343-D343,"")</f>
        <v>0</v>
      </c>
      <c r="F343" s="20" t="n">
        <f aca="false">Wk49!H133</f>
        <v>0</v>
      </c>
      <c r="G343" s="12" t="str">
        <f aca="false">IF(Wk49!L133="","",Wk49!L133)</f>
        <v/>
      </c>
      <c r="H343" s="20" t="n">
        <f aca="false">Wk49!R133</f>
        <v>0</v>
      </c>
      <c r="I343" s="20" t="str">
        <f aca="false">IF(OR(F343=0,H343=0),"",F343-H343)</f>
        <v/>
      </c>
      <c r="J343" s="36" t="str">
        <f aca="false">IFERROR(I343/H343,"")</f>
        <v/>
      </c>
      <c r="K343" s="37" t="n">
        <f aca="false">Wk49!D133</f>
        <v>0</v>
      </c>
      <c r="L343" s="37" t="n">
        <f aca="false">Wk49!E133</f>
        <v>0</v>
      </c>
      <c r="M343" s="20" t="n">
        <f aca="false">Wk49!K133</f>
        <v>0</v>
      </c>
    </row>
    <row r="344" customFormat="false" ht="15" hidden="false" customHeight="false" outlineLevel="0" collapsed="false">
      <c r="A344" s="12" t="s">
        <v>171</v>
      </c>
      <c r="B344" s="13" t="n">
        <f aca="false">Wk49!B155</f>
        <v>46369</v>
      </c>
      <c r="C344" s="12" t="str">
        <f aca="false">TEXT(B344,"dddd")</f>
        <v>Sunday</v>
      </c>
      <c r="D344" s="20" t="n">
        <f aca="false">Wk49!M155</f>
        <v>0</v>
      </c>
      <c r="E344" s="20" t="n">
        <f aca="false">IFERROR(F344-D344,"")</f>
        <v>0</v>
      </c>
      <c r="F344" s="20" t="n">
        <f aca="false">Wk49!H155</f>
        <v>0</v>
      </c>
      <c r="G344" s="12" t="str">
        <f aca="false">IF(Wk49!L155="","",Wk49!L155)</f>
        <v/>
      </c>
      <c r="H344" s="20" t="n">
        <f aca="false">Wk49!R155</f>
        <v>0</v>
      </c>
      <c r="I344" s="20" t="str">
        <f aca="false">IF(OR(F344=0,H344=0),"",F344-H344)</f>
        <v/>
      </c>
      <c r="J344" s="36" t="str">
        <f aca="false">IFERROR(I344/H344,"")</f>
        <v/>
      </c>
      <c r="K344" s="37" t="n">
        <f aca="false">Wk49!D155</f>
        <v>0</v>
      </c>
      <c r="L344" s="37" t="n">
        <f aca="false">Wk49!E155</f>
        <v>0</v>
      </c>
      <c r="M344" s="20" t="n">
        <f aca="false">Wk49!K155</f>
        <v>0</v>
      </c>
    </row>
    <row r="345" customFormat="false" ht="15" hidden="false" customHeight="false" outlineLevel="0" collapsed="false">
      <c r="A345" s="12" t="s">
        <v>172</v>
      </c>
      <c r="B345" s="13" t="n">
        <f aca="false">Wk50!B23</f>
        <v>46370</v>
      </c>
      <c r="C345" s="12" t="str">
        <f aca="false">TEXT(B345,"dddd")</f>
        <v>Monday</v>
      </c>
      <c r="D345" s="20" t="n">
        <f aca="false">Wk50!M23</f>
        <v>0</v>
      </c>
      <c r="E345" s="20" t="n">
        <f aca="false">IFERROR(F345-D345,"")</f>
        <v>0</v>
      </c>
      <c r="F345" s="20" t="n">
        <f aca="false">Wk50!H23</f>
        <v>0</v>
      </c>
      <c r="G345" s="12" t="str">
        <f aca="false">IF(Wk50!L23="","",Wk50!L23)</f>
        <v/>
      </c>
      <c r="H345" s="20" t="n">
        <f aca="false">Wk50!R23</f>
        <v>0</v>
      </c>
      <c r="I345" s="20" t="str">
        <f aca="false">IF(OR(F345=0,H345=0),"",F345-H345)</f>
        <v/>
      </c>
      <c r="J345" s="36" t="str">
        <f aca="false">IFERROR(I345/H345,"")</f>
        <v/>
      </c>
      <c r="K345" s="37" t="n">
        <f aca="false">Wk50!D23</f>
        <v>0</v>
      </c>
      <c r="L345" s="37" t="n">
        <f aca="false">Wk50!E23</f>
        <v>0</v>
      </c>
      <c r="M345" s="20" t="n">
        <f aca="false">Wk50!K23</f>
        <v>0</v>
      </c>
    </row>
    <row r="346" customFormat="false" ht="15" hidden="false" customHeight="false" outlineLevel="0" collapsed="false">
      <c r="A346" s="12" t="s">
        <v>172</v>
      </c>
      <c r="B346" s="13" t="n">
        <f aca="false">Wk50!B45</f>
        <v>46371</v>
      </c>
      <c r="C346" s="12" t="str">
        <f aca="false">TEXT(B346,"dddd")</f>
        <v>Tuesday</v>
      </c>
      <c r="D346" s="20" t="n">
        <f aca="false">Wk50!M45</f>
        <v>0</v>
      </c>
      <c r="E346" s="20" t="n">
        <f aca="false">IFERROR(F346-D346,"")</f>
        <v>0</v>
      </c>
      <c r="F346" s="20" t="n">
        <f aca="false">Wk50!H45</f>
        <v>0</v>
      </c>
      <c r="G346" s="12" t="str">
        <f aca="false">IF(Wk50!L45="","",Wk50!L45)</f>
        <v/>
      </c>
      <c r="H346" s="20" t="n">
        <f aca="false">Wk50!R45</f>
        <v>0</v>
      </c>
      <c r="I346" s="20" t="str">
        <f aca="false">IF(OR(F346=0,H346=0),"",F346-H346)</f>
        <v/>
      </c>
      <c r="J346" s="36" t="str">
        <f aca="false">IFERROR(I346/H346,"")</f>
        <v/>
      </c>
      <c r="K346" s="37" t="n">
        <f aca="false">Wk50!D45</f>
        <v>0</v>
      </c>
      <c r="L346" s="37" t="n">
        <f aca="false">Wk50!E45</f>
        <v>0</v>
      </c>
      <c r="M346" s="20" t="n">
        <f aca="false">Wk50!K45</f>
        <v>0</v>
      </c>
    </row>
    <row r="347" customFormat="false" ht="15" hidden="false" customHeight="false" outlineLevel="0" collapsed="false">
      <c r="A347" s="12" t="s">
        <v>172</v>
      </c>
      <c r="B347" s="13" t="n">
        <f aca="false">Wk50!B67</f>
        <v>46372</v>
      </c>
      <c r="C347" s="12" t="str">
        <f aca="false">TEXT(B347,"dddd")</f>
        <v>Wednesday</v>
      </c>
      <c r="D347" s="20" t="n">
        <f aca="false">Wk50!M67</f>
        <v>0</v>
      </c>
      <c r="E347" s="20" t="n">
        <f aca="false">IFERROR(F347-D347,"")</f>
        <v>0</v>
      </c>
      <c r="F347" s="20" t="n">
        <f aca="false">Wk50!H67</f>
        <v>0</v>
      </c>
      <c r="G347" s="12" t="str">
        <f aca="false">IF(Wk50!L67="","",Wk50!L67)</f>
        <v/>
      </c>
      <c r="H347" s="20" t="n">
        <f aca="false">Wk50!R67</f>
        <v>0</v>
      </c>
      <c r="I347" s="20" t="str">
        <f aca="false">IF(OR(F347=0,H347=0),"",F347-H347)</f>
        <v/>
      </c>
      <c r="J347" s="36" t="str">
        <f aca="false">IFERROR(I347/H347,"")</f>
        <v/>
      </c>
      <c r="K347" s="37" t="n">
        <f aca="false">Wk50!D67</f>
        <v>0</v>
      </c>
      <c r="L347" s="37" t="n">
        <f aca="false">Wk50!E67</f>
        <v>0</v>
      </c>
      <c r="M347" s="20" t="n">
        <f aca="false">Wk50!K67</f>
        <v>0</v>
      </c>
    </row>
    <row r="348" customFormat="false" ht="15" hidden="false" customHeight="false" outlineLevel="0" collapsed="false">
      <c r="A348" s="12" t="s">
        <v>172</v>
      </c>
      <c r="B348" s="13" t="n">
        <f aca="false">Wk50!B89</f>
        <v>46373</v>
      </c>
      <c r="C348" s="12" t="str">
        <f aca="false">TEXT(B348,"dddd")</f>
        <v>Thursday</v>
      </c>
      <c r="D348" s="20" t="n">
        <f aca="false">Wk50!M89</f>
        <v>0</v>
      </c>
      <c r="E348" s="20" t="n">
        <f aca="false">IFERROR(F348-D348,"")</f>
        <v>0</v>
      </c>
      <c r="F348" s="20" t="n">
        <f aca="false">Wk50!H89</f>
        <v>0</v>
      </c>
      <c r="G348" s="12" t="str">
        <f aca="false">IF(Wk50!L89="","",Wk50!L89)</f>
        <v/>
      </c>
      <c r="H348" s="20" t="n">
        <f aca="false">Wk50!R89</f>
        <v>0</v>
      </c>
      <c r="I348" s="20" t="str">
        <f aca="false">IF(OR(F348=0,H348=0),"",F348-H348)</f>
        <v/>
      </c>
      <c r="J348" s="36" t="str">
        <f aca="false">IFERROR(I348/H348,"")</f>
        <v/>
      </c>
      <c r="K348" s="37" t="n">
        <f aca="false">Wk50!D89</f>
        <v>0</v>
      </c>
      <c r="L348" s="37" t="n">
        <f aca="false">Wk50!E89</f>
        <v>0</v>
      </c>
      <c r="M348" s="20" t="n">
        <f aca="false">Wk50!K89</f>
        <v>0</v>
      </c>
    </row>
    <row r="349" customFormat="false" ht="15" hidden="false" customHeight="false" outlineLevel="0" collapsed="false">
      <c r="A349" s="12" t="s">
        <v>172</v>
      </c>
      <c r="B349" s="13" t="n">
        <f aca="false">Wk50!B111</f>
        <v>46374</v>
      </c>
      <c r="C349" s="12" t="str">
        <f aca="false">TEXT(B349,"dddd")</f>
        <v>Friday</v>
      </c>
      <c r="D349" s="20" t="n">
        <f aca="false">Wk50!M111</f>
        <v>0</v>
      </c>
      <c r="E349" s="20" t="n">
        <f aca="false">IFERROR(F349-D349,"")</f>
        <v>0</v>
      </c>
      <c r="F349" s="20" t="n">
        <f aca="false">Wk50!H111</f>
        <v>0</v>
      </c>
      <c r="G349" s="12" t="str">
        <f aca="false">IF(Wk50!L111="","",Wk50!L111)</f>
        <v/>
      </c>
      <c r="H349" s="20" t="n">
        <f aca="false">Wk50!R111</f>
        <v>0</v>
      </c>
      <c r="I349" s="20" t="str">
        <f aca="false">IF(OR(F349=0,H349=0),"",F349-H349)</f>
        <v/>
      </c>
      <c r="J349" s="36" t="str">
        <f aca="false">IFERROR(I349/H349,"")</f>
        <v/>
      </c>
      <c r="K349" s="37" t="n">
        <f aca="false">Wk50!D111</f>
        <v>0</v>
      </c>
      <c r="L349" s="37" t="n">
        <f aca="false">Wk50!E111</f>
        <v>0</v>
      </c>
      <c r="M349" s="20" t="n">
        <f aca="false">Wk50!K111</f>
        <v>0</v>
      </c>
    </row>
    <row r="350" customFormat="false" ht="15" hidden="false" customHeight="false" outlineLevel="0" collapsed="false">
      <c r="A350" s="12" t="s">
        <v>172</v>
      </c>
      <c r="B350" s="13" t="n">
        <f aca="false">Wk50!B133</f>
        <v>46375</v>
      </c>
      <c r="C350" s="12" t="str">
        <f aca="false">TEXT(B350,"dddd")</f>
        <v>Saturday</v>
      </c>
      <c r="D350" s="20" t="n">
        <f aca="false">Wk50!M133</f>
        <v>0</v>
      </c>
      <c r="E350" s="20" t="n">
        <f aca="false">IFERROR(F350-D350,"")</f>
        <v>0</v>
      </c>
      <c r="F350" s="20" t="n">
        <f aca="false">Wk50!H133</f>
        <v>0</v>
      </c>
      <c r="G350" s="12" t="str">
        <f aca="false">IF(Wk50!L133="","",Wk50!L133)</f>
        <v/>
      </c>
      <c r="H350" s="20" t="n">
        <f aca="false">Wk50!R133</f>
        <v>0</v>
      </c>
      <c r="I350" s="20" t="str">
        <f aca="false">IF(OR(F350=0,H350=0),"",F350-H350)</f>
        <v/>
      </c>
      <c r="J350" s="36" t="str">
        <f aca="false">IFERROR(I350/H350,"")</f>
        <v/>
      </c>
      <c r="K350" s="37" t="n">
        <f aca="false">Wk50!D133</f>
        <v>0</v>
      </c>
      <c r="L350" s="37" t="n">
        <f aca="false">Wk50!E133</f>
        <v>0</v>
      </c>
      <c r="M350" s="20" t="n">
        <f aca="false">Wk50!K133</f>
        <v>0</v>
      </c>
    </row>
    <row r="351" customFormat="false" ht="15" hidden="false" customHeight="false" outlineLevel="0" collapsed="false">
      <c r="A351" s="12" t="s">
        <v>172</v>
      </c>
      <c r="B351" s="13" t="n">
        <f aca="false">Wk50!B155</f>
        <v>46376</v>
      </c>
      <c r="C351" s="12" t="str">
        <f aca="false">TEXT(B351,"dddd")</f>
        <v>Sunday</v>
      </c>
      <c r="D351" s="20" t="n">
        <f aca="false">Wk50!M155</f>
        <v>0</v>
      </c>
      <c r="E351" s="20" t="n">
        <f aca="false">IFERROR(F351-D351,"")</f>
        <v>0</v>
      </c>
      <c r="F351" s="20" t="n">
        <f aca="false">Wk50!H155</f>
        <v>0</v>
      </c>
      <c r="G351" s="12" t="str">
        <f aca="false">IF(Wk50!L155="","",Wk50!L155)</f>
        <v/>
      </c>
      <c r="H351" s="20" t="n">
        <f aca="false">Wk50!R155</f>
        <v>0</v>
      </c>
      <c r="I351" s="20" t="str">
        <f aca="false">IF(OR(F351=0,H351=0),"",F351-H351)</f>
        <v/>
      </c>
      <c r="J351" s="36" t="str">
        <f aca="false">IFERROR(I351/H351,"")</f>
        <v/>
      </c>
      <c r="K351" s="37" t="n">
        <f aca="false">Wk50!D155</f>
        <v>0</v>
      </c>
      <c r="L351" s="37" t="n">
        <f aca="false">Wk50!E155</f>
        <v>0</v>
      </c>
      <c r="M351" s="20" t="n">
        <f aca="false">Wk50!K155</f>
        <v>0</v>
      </c>
    </row>
    <row r="352" customFormat="false" ht="15" hidden="false" customHeight="false" outlineLevel="0" collapsed="false">
      <c r="A352" s="12" t="s">
        <v>173</v>
      </c>
      <c r="B352" s="13" t="n">
        <f aca="false">Wk51!B23</f>
        <v>46377</v>
      </c>
      <c r="C352" s="12" t="str">
        <f aca="false">TEXT(B352,"dddd")</f>
        <v>Monday</v>
      </c>
      <c r="D352" s="20" t="n">
        <f aca="false">Wk51!M23</f>
        <v>0</v>
      </c>
      <c r="E352" s="20" t="n">
        <f aca="false">IFERROR(F352-D352,"")</f>
        <v>0</v>
      </c>
      <c r="F352" s="20" t="n">
        <f aca="false">Wk51!H23</f>
        <v>0</v>
      </c>
      <c r="G352" s="12" t="str">
        <f aca="false">IF(Wk51!L23="","",Wk51!L23)</f>
        <v/>
      </c>
      <c r="H352" s="20" t="n">
        <f aca="false">Wk51!R23</f>
        <v>0</v>
      </c>
      <c r="I352" s="20" t="str">
        <f aca="false">IF(OR(F352=0,H352=0),"",F352-H352)</f>
        <v/>
      </c>
      <c r="J352" s="36" t="str">
        <f aca="false">IFERROR(I352/H352,"")</f>
        <v/>
      </c>
      <c r="K352" s="37" t="n">
        <f aca="false">Wk51!D23</f>
        <v>0</v>
      </c>
      <c r="L352" s="37" t="n">
        <f aca="false">Wk51!E23</f>
        <v>0</v>
      </c>
      <c r="M352" s="20" t="n">
        <f aca="false">Wk51!K23</f>
        <v>0</v>
      </c>
    </row>
    <row r="353" customFormat="false" ht="15" hidden="false" customHeight="false" outlineLevel="0" collapsed="false">
      <c r="A353" s="12" t="s">
        <v>173</v>
      </c>
      <c r="B353" s="13" t="n">
        <f aca="false">Wk51!B45</f>
        <v>46378</v>
      </c>
      <c r="C353" s="12" t="str">
        <f aca="false">TEXT(B353,"dddd")</f>
        <v>Tuesday</v>
      </c>
      <c r="D353" s="20" t="n">
        <f aca="false">Wk51!M45</f>
        <v>0</v>
      </c>
      <c r="E353" s="20" t="n">
        <f aca="false">IFERROR(F353-D353,"")</f>
        <v>0</v>
      </c>
      <c r="F353" s="20" t="n">
        <f aca="false">Wk51!H45</f>
        <v>0</v>
      </c>
      <c r="G353" s="12" t="str">
        <f aca="false">IF(Wk51!L45="","",Wk51!L45)</f>
        <v/>
      </c>
      <c r="H353" s="20" t="n">
        <f aca="false">Wk51!R45</f>
        <v>0</v>
      </c>
      <c r="I353" s="20" t="str">
        <f aca="false">IF(OR(F353=0,H353=0),"",F353-H353)</f>
        <v/>
      </c>
      <c r="J353" s="36" t="str">
        <f aca="false">IFERROR(I353/H353,"")</f>
        <v/>
      </c>
      <c r="K353" s="37" t="n">
        <f aca="false">Wk51!D45</f>
        <v>0</v>
      </c>
      <c r="L353" s="37" t="n">
        <f aca="false">Wk51!E45</f>
        <v>0</v>
      </c>
      <c r="M353" s="20" t="n">
        <f aca="false">Wk51!K45</f>
        <v>0</v>
      </c>
    </row>
    <row r="354" customFormat="false" ht="15" hidden="false" customHeight="false" outlineLevel="0" collapsed="false">
      <c r="A354" s="12" t="s">
        <v>173</v>
      </c>
      <c r="B354" s="13" t="n">
        <f aca="false">Wk51!B67</f>
        <v>46379</v>
      </c>
      <c r="C354" s="12" t="str">
        <f aca="false">TEXT(B354,"dddd")</f>
        <v>Wednesday</v>
      </c>
      <c r="D354" s="20" t="n">
        <f aca="false">Wk51!M67</f>
        <v>0</v>
      </c>
      <c r="E354" s="20" t="n">
        <f aca="false">IFERROR(F354-D354,"")</f>
        <v>0</v>
      </c>
      <c r="F354" s="20" t="n">
        <f aca="false">Wk51!H67</f>
        <v>0</v>
      </c>
      <c r="G354" s="12" t="str">
        <f aca="false">IF(Wk51!L67="","",Wk51!L67)</f>
        <v/>
      </c>
      <c r="H354" s="20" t="n">
        <f aca="false">Wk51!R67</f>
        <v>0</v>
      </c>
      <c r="I354" s="20" t="str">
        <f aca="false">IF(OR(F354=0,H354=0),"",F354-H354)</f>
        <v/>
      </c>
      <c r="J354" s="36" t="str">
        <f aca="false">IFERROR(I354/H354,"")</f>
        <v/>
      </c>
      <c r="K354" s="37" t="n">
        <f aca="false">Wk51!D67</f>
        <v>0</v>
      </c>
      <c r="L354" s="37" t="n">
        <f aca="false">Wk51!E67</f>
        <v>0</v>
      </c>
      <c r="M354" s="20" t="n">
        <f aca="false">Wk51!K67</f>
        <v>0</v>
      </c>
    </row>
    <row r="355" customFormat="false" ht="15" hidden="false" customHeight="false" outlineLevel="0" collapsed="false">
      <c r="A355" s="12" t="s">
        <v>173</v>
      </c>
      <c r="B355" s="13" t="n">
        <f aca="false">Wk51!B89</f>
        <v>46380</v>
      </c>
      <c r="C355" s="12" t="str">
        <f aca="false">TEXT(B355,"dddd")</f>
        <v>Thursday</v>
      </c>
      <c r="D355" s="20" t="n">
        <f aca="false">Wk51!M89</f>
        <v>0</v>
      </c>
      <c r="E355" s="20" t="n">
        <f aca="false">IFERROR(F355-D355,"")</f>
        <v>0</v>
      </c>
      <c r="F355" s="20" t="n">
        <f aca="false">Wk51!H89</f>
        <v>0</v>
      </c>
      <c r="G355" s="12" t="str">
        <f aca="false">IF(Wk51!L89="","",Wk51!L89)</f>
        <v/>
      </c>
      <c r="H355" s="20" t="n">
        <f aca="false">Wk51!R89</f>
        <v>0</v>
      </c>
      <c r="I355" s="20" t="str">
        <f aca="false">IF(OR(F355=0,H355=0),"",F355-H355)</f>
        <v/>
      </c>
      <c r="J355" s="36" t="str">
        <f aca="false">IFERROR(I355/H355,"")</f>
        <v/>
      </c>
      <c r="K355" s="37" t="n">
        <f aca="false">Wk51!D89</f>
        <v>0</v>
      </c>
      <c r="L355" s="37" t="n">
        <f aca="false">Wk51!E89</f>
        <v>0</v>
      </c>
      <c r="M355" s="20" t="n">
        <f aca="false">Wk51!K89</f>
        <v>0</v>
      </c>
    </row>
    <row r="356" customFormat="false" ht="15" hidden="false" customHeight="false" outlineLevel="0" collapsed="false">
      <c r="A356" s="12" t="s">
        <v>173</v>
      </c>
      <c r="B356" s="13" t="n">
        <f aca="false">Wk51!B111</f>
        <v>46381</v>
      </c>
      <c r="C356" s="12" t="str">
        <f aca="false">TEXT(B356,"dddd")</f>
        <v>Friday</v>
      </c>
      <c r="D356" s="20" t="n">
        <f aca="false">Wk51!M111</f>
        <v>0</v>
      </c>
      <c r="E356" s="20" t="n">
        <f aca="false">IFERROR(F356-D356,"")</f>
        <v>0</v>
      </c>
      <c r="F356" s="20" t="n">
        <f aca="false">Wk51!H111</f>
        <v>0</v>
      </c>
      <c r="G356" s="12" t="str">
        <f aca="false">IF(Wk51!L111="","",Wk51!L111)</f>
        <v/>
      </c>
      <c r="H356" s="20" t="n">
        <f aca="false">Wk51!R111</f>
        <v>0</v>
      </c>
      <c r="I356" s="20" t="str">
        <f aca="false">IF(OR(F356=0,H356=0),"",F356-H356)</f>
        <v/>
      </c>
      <c r="J356" s="36" t="str">
        <f aca="false">IFERROR(I356/H356,"")</f>
        <v/>
      </c>
      <c r="K356" s="37" t="n">
        <f aca="false">Wk51!D111</f>
        <v>0</v>
      </c>
      <c r="L356" s="37" t="n">
        <f aca="false">Wk51!E111</f>
        <v>0</v>
      </c>
      <c r="M356" s="20" t="n">
        <f aca="false">Wk51!K111</f>
        <v>0</v>
      </c>
    </row>
    <row r="357" customFormat="false" ht="15" hidden="false" customHeight="false" outlineLevel="0" collapsed="false">
      <c r="A357" s="12" t="s">
        <v>173</v>
      </c>
      <c r="B357" s="13" t="n">
        <f aca="false">Wk51!B133</f>
        <v>46382</v>
      </c>
      <c r="C357" s="12" t="str">
        <f aca="false">TEXT(B357,"dddd")</f>
        <v>Saturday</v>
      </c>
      <c r="D357" s="20" t="n">
        <f aca="false">Wk51!M133</f>
        <v>0</v>
      </c>
      <c r="E357" s="20" t="n">
        <f aca="false">IFERROR(F357-D357,"")</f>
        <v>0</v>
      </c>
      <c r="F357" s="20" t="n">
        <f aca="false">Wk51!H133</f>
        <v>0</v>
      </c>
      <c r="G357" s="12" t="str">
        <f aca="false">IF(Wk51!L133="","",Wk51!L133)</f>
        <v/>
      </c>
      <c r="H357" s="20" t="n">
        <f aca="false">Wk51!R133</f>
        <v>0</v>
      </c>
      <c r="I357" s="20" t="str">
        <f aca="false">IF(OR(F357=0,H357=0),"",F357-H357)</f>
        <v/>
      </c>
      <c r="J357" s="36" t="str">
        <f aca="false">IFERROR(I357/H357,"")</f>
        <v/>
      </c>
      <c r="K357" s="37" t="n">
        <f aca="false">Wk51!D133</f>
        <v>0</v>
      </c>
      <c r="L357" s="37" t="n">
        <f aca="false">Wk51!E133</f>
        <v>0</v>
      </c>
      <c r="M357" s="20" t="n">
        <f aca="false">Wk51!K133</f>
        <v>0</v>
      </c>
    </row>
    <row r="358" customFormat="false" ht="15" hidden="false" customHeight="false" outlineLevel="0" collapsed="false">
      <c r="A358" s="12" t="s">
        <v>173</v>
      </c>
      <c r="B358" s="13" t="n">
        <f aca="false">Wk51!B155</f>
        <v>46383</v>
      </c>
      <c r="C358" s="12" t="str">
        <f aca="false">TEXT(B358,"dddd")</f>
        <v>Sunday</v>
      </c>
      <c r="D358" s="20" t="n">
        <f aca="false">Wk51!M155</f>
        <v>0</v>
      </c>
      <c r="E358" s="20" t="n">
        <f aca="false">IFERROR(F358-D358,"")</f>
        <v>0</v>
      </c>
      <c r="F358" s="20" t="n">
        <f aca="false">Wk51!H155</f>
        <v>0</v>
      </c>
      <c r="G358" s="12" t="str">
        <f aca="false">IF(Wk51!L155="","",Wk51!L155)</f>
        <v/>
      </c>
      <c r="H358" s="20" t="n">
        <f aca="false">Wk51!R155</f>
        <v>0</v>
      </c>
      <c r="I358" s="20" t="str">
        <f aca="false">IF(OR(F358=0,H358=0),"",F358-H358)</f>
        <v/>
      </c>
      <c r="J358" s="36" t="str">
        <f aca="false">IFERROR(I358/H358,"")</f>
        <v/>
      </c>
      <c r="K358" s="37" t="n">
        <f aca="false">Wk51!D155</f>
        <v>0</v>
      </c>
      <c r="L358" s="37" t="n">
        <f aca="false">Wk51!E155</f>
        <v>0</v>
      </c>
      <c r="M358" s="20" t="n">
        <f aca="false">Wk51!K155</f>
        <v>0</v>
      </c>
    </row>
    <row r="359" customFormat="false" ht="15" hidden="false" customHeight="false" outlineLevel="0" collapsed="false">
      <c r="A359" s="12" t="s">
        <v>174</v>
      </c>
      <c r="B359" s="13" t="n">
        <f aca="false">Wk52!B23</f>
        <v>46384</v>
      </c>
      <c r="C359" s="12" t="str">
        <f aca="false">TEXT(B359,"dddd")</f>
        <v>Monday</v>
      </c>
      <c r="D359" s="20" t="n">
        <f aca="false">Wk52!M23</f>
        <v>0</v>
      </c>
      <c r="E359" s="20" t="n">
        <f aca="false">IFERROR(F359-D359,"")</f>
        <v>0</v>
      </c>
      <c r="F359" s="20" t="n">
        <f aca="false">Wk52!H23</f>
        <v>0</v>
      </c>
      <c r="G359" s="12" t="str">
        <f aca="false">IF(Wk52!L23="","",Wk52!L23)</f>
        <v/>
      </c>
      <c r="H359" s="20" t="n">
        <f aca="false">Wk52!R23</f>
        <v>0</v>
      </c>
      <c r="I359" s="20" t="str">
        <f aca="false">IF(OR(F359=0,H359=0),"",F359-H359)</f>
        <v/>
      </c>
      <c r="J359" s="36" t="str">
        <f aca="false">IFERROR(I359/H359,"")</f>
        <v/>
      </c>
      <c r="K359" s="37" t="n">
        <f aca="false">Wk52!D23</f>
        <v>0</v>
      </c>
      <c r="L359" s="37" t="n">
        <f aca="false">Wk52!E23</f>
        <v>0</v>
      </c>
      <c r="M359" s="20" t="n">
        <f aca="false">Wk52!K23</f>
        <v>0</v>
      </c>
    </row>
    <row r="360" customFormat="false" ht="15" hidden="false" customHeight="false" outlineLevel="0" collapsed="false">
      <c r="A360" s="12" t="s">
        <v>174</v>
      </c>
      <c r="B360" s="13" t="n">
        <f aca="false">Wk52!B45</f>
        <v>46385</v>
      </c>
      <c r="C360" s="12" t="str">
        <f aca="false">TEXT(B360,"dddd")</f>
        <v>Tuesday</v>
      </c>
      <c r="D360" s="20" t="n">
        <f aca="false">Wk52!M45</f>
        <v>0</v>
      </c>
      <c r="E360" s="20" t="n">
        <f aca="false">IFERROR(F360-D360,"")</f>
        <v>0</v>
      </c>
      <c r="F360" s="20" t="n">
        <f aca="false">Wk52!H45</f>
        <v>0</v>
      </c>
      <c r="G360" s="12" t="str">
        <f aca="false">IF(Wk52!L45="","",Wk52!L45)</f>
        <v/>
      </c>
      <c r="H360" s="20" t="n">
        <f aca="false">Wk52!R45</f>
        <v>0</v>
      </c>
      <c r="I360" s="20" t="str">
        <f aca="false">IF(OR(F360=0,H360=0),"",F360-H360)</f>
        <v/>
      </c>
      <c r="J360" s="36" t="str">
        <f aca="false">IFERROR(I360/H360,"")</f>
        <v/>
      </c>
      <c r="K360" s="37" t="n">
        <f aca="false">Wk52!D45</f>
        <v>0</v>
      </c>
      <c r="L360" s="37" t="n">
        <f aca="false">Wk52!E45</f>
        <v>0</v>
      </c>
      <c r="M360" s="20" t="n">
        <f aca="false">Wk52!K45</f>
        <v>0</v>
      </c>
    </row>
    <row r="361" customFormat="false" ht="15" hidden="false" customHeight="false" outlineLevel="0" collapsed="false">
      <c r="A361" s="12" t="s">
        <v>174</v>
      </c>
      <c r="B361" s="13" t="n">
        <f aca="false">Wk52!B67</f>
        <v>46386</v>
      </c>
      <c r="C361" s="12" t="str">
        <f aca="false">TEXT(B361,"dddd")</f>
        <v>Wednesday</v>
      </c>
      <c r="D361" s="20" t="n">
        <f aca="false">Wk52!M67</f>
        <v>0</v>
      </c>
      <c r="E361" s="20" t="n">
        <f aca="false">IFERROR(F361-D361,"")</f>
        <v>0</v>
      </c>
      <c r="F361" s="20" t="n">
        <f aca="false">Wk52!H67</f>
        <v>0</v>
      </c>
      <c r="G361" s="12" t="str">
        <f aca="false">IF(Wk52!L67="","",Wk52!L67)</f>
        <v/>
      </c>
      <c r="H361" s="20" t="n">
        <f aca="false">Wk52!R67</f>
        <v>0</v>
      </c>
      <c r="I361" s="20" t="str">
        <f aca="false">IF(OR(F361=0,H361=0),"",F361-H361)</f>
        <v/>
      </c>
      <c r="J361" s="36" t="str">
        <f aca="false">IFERROR(I361/H361,"")</f>
        <v/>
      </c>
      <c r="K361" s="37" t="n">
        <f aca="false">Wk52!D67</f>
        <v>0</v>
      </c>
      <c r="L361" s="37" t="n">
        <f aca="false">Wk52!E67</f>
        <v>0</v>
      </c>
      <c r="M361" s="20" t="n">
        <f aca="false">Wk52!K67</f>
        <v>0</v>
      </c>
    </row>
    <row r="362" customFormat="false" ht="15" hidden="false" customHeight="false" outlineLevel="0" collapsed="false">
      <c r="A362" s="12" t="s">
        <v>174</v>
      </c>
      <c r="B362" s="13" t="n">
        <f aca="false">Wk52!B89</f>
        <v>46387</v>
      </c>
      <c r="C362" s="12" t="str">
        <f aca="false">TEXT(B362,"dddd")</f>
        <v>Thursday</v>
      </c>
      <c r="D362" s="20" t="n">
        <f aca="false">Wk52!M89</f>
        <v>0</v>
      </c>
      <c r="E362" s="20" t="n">
        <f aca="false">IFERROR(F362-D362,"")</f>
        <v>0</v>
      </c>
      <c r="F362" s="20" t="n">
        <f aca="false">Wk52!H89</f>
        <v>0</v>
      </c>
      <c r="G362" s="12" t="str">
        <f aca="false">IF(Wk52!L89="","",Wk52!L89)</f>
        <v/>
      </c>
      <c r="H362" s="20" t="n">
        <f aca="false">Wk52!R89</f>
        <v>0</v>
      </c>
      <c r="I362" s="20" t="str">
        <f aca="false">IF(OR(F362=0,H362=0),"",F362-H362)</f>
        <v/>
      </c>
      <c r="J362" s="36" t="str">
        <f aca="false">IFERROR(I362/H362,"")</f>
        <v/>
      </c>
      <c r="K362" s="37" t="n">
        <f aca="false">Wk52!D89</f>
        <v>0</v>
      </c>
      <c r="L362" s="37" t="n">
        <f aca="false">Wk52!E89</f>
        <v>0</v>
      </c>
      <c r="M362" s="20" t="n">
        <f aca="false">Wk52!K89</f>
        <v>0</v>
      </c>
    </row>
    <row r="363" customFormat="false" ht="15" hidden="false" customHeight="false" outlineLevel="0" collapsed="false">
      <c r="A363" s="12" t="s">
        <v>174</v>
      </c>
      <c r="B363" s="13" t="n">
        <f aca="false">Wk52!B111</f>
        <v>46388</v>
      </c>
      <c r="C363" s="12" t="str">
        <f aca="false">TEXT(B363,"dddd")</f>
        <v>Friday</v>
      </c>
      <c r="D363" s="20" t="n">
        <f aca="false">Wk52!M111</f>
        <v>0</v>
      </c>
      <c r="E363" s="20" t="n">
        <f aca="false">IFERROR(F363-D363,"")</f>
        <v>0</v>
      </c>
      <c r="F363" s="20" t="n">
        <f aca="false">Wk52!H111</f>
        <v>0</v>
      </c>
      <c r="G363" s="12" t="str">
        <f aca="false">IF(Wk52!L111="","",Wk52!L111)</f>
        <v/>
      </c>
      <c r="H363" s="20" t="n">
        <f aca="false">Wk52!R111</f>
        <v>0</v>
      </c>
      <c r="I363" s="20" t="str">
        <f aca="false">IF(OR(F363=0,H363=0),"",F363-H363)</f>
        <v/>
      </c>
      <c r="J363" s="36" t="str">
        <f aca="false">IFERROR(I363/H363,"")</f>
        <v/>
      </c>
      <c r="K363" s="37" t="n">
        <f aca="false">Wk52!D111</f>
        <v>0</v>
      </c>
      <c r="L363" s="37" t="n">
        <f aca="false">Wk52!E111</f>
        <v>0</v>
      </c>
      <c r="M363" s="20" t="n">
        <f aca="false">Wk52!K111</f>
        <v>0</v>
      </c>
    </row>
    <row r="364" customFormat="false" ht="15" hidden="false" customHeight="false" outlineLevel="0" collapsed="false">
      <c r="A364" s="12" t="s">
        <v>174</v>
      </c>
      <c r="B364" s="13" t="n">
        <f aca="false">Wk52!B133</f>
        <v>46389</v>
      </c>
      <c r="C364" s="12" t="str">
        <f aca="false">TEXT(B364,"dddd")</f>
        <v>Saturday</v>
      </c>
      <c r="D364" s="20" t="n">
        <f aca="false">Wk52!M133</f>
        <v>0</v>
      </c>
      <c r="E364" s="20" t="n">
        <f aca="false">IFERROR(F364-D364,"")</f>
        <v>0</v>
      </c>
      <c r="F364" s="20" t="n">
        <f aca="false">Wk52!H133</f>
        <v>0</v>
      </c>
      <c r="G364" s="12" t="str">
        <f aca="false">IF(Wk52!L133="","",Wk52!L133)</f>
        <v/>
      </c>
      <c r="H364" s="20" t="n">
        <f aca="false">Wk52!R133</f>
        <v>0</v>
      </c>
      <c r="I364" s="20" t="str">
        <f aca="false">IF(OR(F364=0,H364=0),"",F364-H364)</f>
        <v/>
      </c>
      <c r="J364" s="36" t="str">
        <f aca="false">IFERROR(I364/H364,"")</f>
        <v/>
      </c>
      <c r="K364" s="37" t="n">
        <f aca="false">Wk52!D133</f>
        <v>0</v>
      </c>
      <c r="L364" s="37" t="n">
        <f aca="false">Wk52!E133</f>
        <v>0</v>
      </c>
      <c r="M364" s="20" t="n">
        <f aca="false">Wk52!K133</f>
        <v>0</v>
      </c>
    </row>
    <row r="365" customFormat="false" ht="15" hidden="false" customHeight="false" outlineLevel="0" collapsed="false">
      <c r="A365" s="12" t="s">
        <v>174</v>
      </c>
      <c r="B365" s="13" t="n">
        <f aca="false">Wk52!B155</f>
        <v>46390</v>
      </c>
      <c r="C365" s="12" t="str">
        <f aca="false">TEXT(B365,"dddd")</f>
        <v>Sunday</v>
      </c>
      <c r="D365" s="20" t="n">
        <f aca="false">Wk52!M155</f>
        <v>0</v>
      </c>
      <c r="E365" s="20" t="n">
        <f aca="false">IFERROR(F365-D365,"")</f>
        <v>0</v>
      </c>
      <c r="F365" s="20" t="n">
        <f aca="false">Wk52!H155</f>
        <v>0</v>
      </c>
      <c r="G365" s="12" t="str">
        <f aca="false">IF(Wk52!L155="","",Wk52!L155)</f>
        <v/>
      </c>
      <c r="H365" s="20" t="n">
        <f aca="false">Wk52!R155</f>
        <v>0</v>
      </c>
      <c r="I365" s="20" t="str">
        <f aca="false">IF(OR(F365=0,H365=0),"",F365-H365)</f>
        <v/>
      </c>
      <c r="J365" s="36" t="str">
        <f aca="false">IFERROR(I365/H365,"")</f>
        <v/>
      </c>
      <c r="K365" s="37" t="n">
        <f aca="false">Wk52!D155</f>
        <v>0</v>
      </c>
      <c r="L365" s="37" t="n">
        <f aca="false">Wk52!E155</f>
        <v>0</v>
      </c>
      <c r="M365" s="20" t="n">
        <f aca="false">Wk52!K155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5D4A"/>
    <pageSetUpPr fitToPage="false"/>
  </sheetPr>
  <dimension ref="A1:S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8" min="16" style="0" width="12"/>
    <col collapsed="false" customWidth="true" hidden="false" outlineLevel="0" max="19" min="19" style="0" width="10"/>
  </cols>
  <sheetData>
    <row r="1" customFormat="false" ht="27.75" hidden="false" customHeight="true" outlineLevel="0" collapsed="false">
      <c r="A1" s="35" t="s">
        <v>115</v>
      </c>
      <c r="B1" s="35" t="s">
        <v>175</v>
      </c>
      <c r="C1" s="35" t="s">
        <v>121</v>
      </c>
      <c r="D1" s="35" t="s">
        <v>71</v>
      </c>
      <c r="E1" s="35" t="s">
        <v>75</v>
      </c>
      <c r="F1" s="35" t="s">
        <v>176</v>
      </c>
      <c r="G1" s="35" t="s">
        <v>79</v>
      </c>
      <c r="H1" s="35" t="s">
        <v>116</v>
      </c>
      <c r="I1" s="35" t="s">
        <v>122</v>
      </c>
      <c r="J1" s="35" t="s">
        <v>76</v>
      </c>
      <c r="K1" s="35" t="s">
        <v>82</v>
      </c>
      <c r="L1" s="35" t="s">
        <v>177</v>
      </c>
      <c r="M1" s="35" t="s">
        <v>178</v>
      </c>
      <c r="N1" s="35" t="s">
        <v>179</v>
      </c>
      <c r="O1" s="35" t="s">
        <v>180</v>
      </c>
      <c r="P1" s="35" t="s">
        <v>80</v>
      </c>
      <c r="Q1" s="35" t="s">
        <v>181</v>
      </c>
      <c r="R1" s="35" t="s">
        <v>118</v>
      </c>
      <c r="S1" s="35" t="s">
        <v>120</v>
      </c>
    </row>
    <row r="2" customFormat="false" ht="15" hidden="false" customHeight="false" outlineLevel="0" collapsed="false">
      <c r="A2" s="12" t="n">
        <v>1</v>
      </c>
      <c r="B2" s="13" t="n">
        <f aca="false">Wk1!B2</f>
        <v>46027</v>
      </c>
      <c r="C2" s="37" t="n">
        <f aca="false">Wk1!D156</f>
        <v>0</v>
      </c>
      <c r="D2" s="37" t="n">
        <f aca="false">Wk1!E156</f>
        <v>0</v>
      </c>
      <c r="E2" s="36" t="str">
        <f aca="false">IFERROR(D2/C2,"")</f>
        <v/>
      </c>
      <c r="F2" s="20" t="n">
        <f aca="false">Wk1!H156</f>
        <v>0</v>
      </c>
      <c r="G2" s="20" t="n">
        <f aca="false">Wk1!M156</f>
        <v>0</v>
      </c>
      <c r="H2" s="20" t="n">
        <f aca="false">IFERROR(F2-G2,"")</f>
        <v>0</v>
      </c>
      <c r="I2" s="20" t="n">
        <f aca="false">Wk1!K156</f>
        <v>0</v>
      </c>
      <c r="J2" s="20" t="str">
        <f aca="false">IFERROR(F2/D2,"")</f>
        <v/>
      </c>
      <c r="K2" s="20" t="n">
        <f aca="false">Wk1!P156</f>
        <v>0</v>
      </c>
      <c r="L2" s="20" t="n">
        <f aca="false">IFERROR(F2-K2,"")</f>
        <v>0</v>
      </c>
      <c r="M2" s="20" t="str">
        <f aca="false">IF(F2=0,"",Setup!$C$7+Setup!$C$8)</f>
        <v/>
      </c>
      <c r="N2" s="20" t="n">
        <f aca="false">IFERROR(F2*Setup!$C$9,"")</f>
        <v>0</v>
      </c>
      <c r="O2" s="20" t="str">
        <f aca="false">IF(F2=0,"",L2-M2-N2)</f>
        <v/>
      </c>
      <c r="P2" s="20"/>
      <c r="Q2" s="36"/>
      <c r="R2" s="20" t="n">
        <f aca="false">Wk1!R156</f>
        <v>0</v>
      </c>
      <c r="S2" s="36" t="str">
        <f aca="false">IFERROR(F2/R2-1,"")</f>
        <v/>
      </c>
    </row>
    <row r="3" customFormat="false" ht="15" hidden="false" customHeight="false" outlineLevel="0" collapsed="false">
      <c r="A3" s="12" t="n">
        <v>2</v>
      </c>
      <c r="B3" s="13" t="n">
        <f aca="false">Wk2!B2</f>
        <v>46034</v>
      </c>
      <c r="C3" s="37" t="n">
        <f aca="false">Wk2!D156</f>
        <v>0</v>
      </c>
      <c r="D3" s="37" t="n">
        <f aca="false">Wk2!E156</f>
        <v>0</v>
      </c>
      <c r="E3" s="36" t="str">
        <f aca="false">IFERROR(D3/C3,"")</f>
        <v/>
      </c>
      <c r="F3" s="20" t="n">
        <f aca="false">Wk2!H156</f>
        <v>0</v>
      </c>
      <c r="G3" s="20" t="n">
        <f aca="false">Wk2!M156</f>
        <v>0</v>
      </c>
      <c r="H3" s="20" t="n">
        <f aca="false">IFERROR(F3-G3,"")</f>
        <v>0</v>
      </c>
      <c r="I3" s="20" t="n">
        <f aca="false">Wk2!K156</f>
        <v>0</v>
      </c>
      <c r="J3" s="20" t="str">
        <f aca="false">IFERROR(F3/D3,"")</f>
        <v/>
      </c>
      <c r="K3" s="20" t="n">
        <f aca="false">Wk2!P156</f>
        <v>0</v>
      </c>
      <c r="L3" s="20" t="n">
        <f aca="false">IFERROR(F3-K3,"")</f>
        <v>0</v>
      </c>
      <c r="M3" s="20" t="str">
        <f aca="false">IF(F3=0,"",Setup!$C$7+Setup!$C$8)</f>
        <v/>
      </c>
      <c r="N3" s="20" t="n">
        <f aca="false">IFERROR(F3*Setup!$C$9,"")</f>
        <v>0</v>
      </c>
      <c r="O3" s="20" t="str">
        <f aca="false">IF(F3=0,"",L3-M3-N3)</f>
        <v/>
      </c>
      <c r="P3" s="20" t="str">
        <f aca="false">IF(OR(F3=0,F2=0),"",F3-F2)</f>
        <v/>
      </c>
      <c r="Q3" s="36" t="str">
        <f aca="false">IFERROR(P3/F2,"")</f>
        <v/>
      </c>
      <c r="R3" s="20" t="n">
        <f aca="false">Wk2!R156</f>
        <v>0</v>
      </c>
      <c r="S3" s="36" t="str">
        <f aca="false">IFERROR(F3/R3-1,"")</f>
        <v/>
      </c>
    </row>
    <row r="4" customFormat="false" ht="15" hidden="false" customHeight="false" outlineLevel="0" collapsed="false">
      <c r="A4" s="12" t="n">
        <v>3</v>
      </c>
      <c r="B4" s="13" t="n">
        <f aca="false">Wk3!B2</f>
        <v>46041</v>
      </c>
      <c r="C4" s="37" t="n">
        <f aca="false">Wk3!D156</f>
        <v>0</v>
      </c>
      <c r="D4" s="37" t="n">
        <f aca="false">Wk3!E156</f>
        <v>0</v>
      </c>
      <c r="E4" s="36" t="str">
        <f aca="false">IFERROR(D4/C4,"")</f>
        <v/>
      </c>
      <c r="F4" s="20" t="n">
        <f aca="false">Wk3!H156</f>
        <v>0</v>
      </c>
      <c r="G4" s="20" t="n">
        <f aca="false">Wk3!M156</f>
        <v>0</v>
      </c>
      <c r="H4" s="20" t="n">
        <f aca="false">IFERROR(F4-G4,"")</f>
        <v>0</v>
      </c>
      <c r="I4" s="20" t="n">
        <f aca="false">Wk3!K156</f>
        <v>0</v>
      </c>
      <c r="J4" s="20" t="str">
        <f aca="false">IFERROR(F4/D4,"")</f>
        <v/>
      </c>
      <c r="K4" s="20" t="n">
        <f aca="false">Wk3!P156</f>
        <v>0</v>
      </c>
      <c r="L4" s="20" t="n">
        <f aca="false">IFERROR(F4-K4,"")</f>
        <v>0</v>
      </c>
      <c r="M4" s="20" t="str">
        <f aca="false">IF(F4=0,"",Setup!$C$7+Setup!$C$8)</f>
        <v/>
      </c>
      <c r="N4" s="20" t="n">
        <f aca="false">IFERROR(F4*Setup!$C$9,"")</f>
        <v>0</v>
      </c>
      <c r="O4" s="20" t="str">
        <f aca="false">IF(F4=0,"",L4-M4-N4)</f>
        <v/>
      </c>
      <c r="P4" s="20" t="str">
        <f aca="false">IF(OR(F4=0,F3=0),"",F4-F3)</f>
        <v/>
      </c>
      <c r="Q4" s="36" t="str">
        <f aca="false">IFERROR(P4/F3,"")</f>
        <v/>
      </c>
      <c r="R4" s="20" t="n">
        <f aca="false">Wk3!R156</f>
        <v>0</v>
      </c>
      <c r="S4" s="36" t="str">
        <f aca="false">IFERROR(F4/R4-1,"")</f>
        <v/>
      </c>
    </row>
    <row r="5" customFormat="false" ht="15" hidden="false" customHeight="false" outlineLevel="0" collapsed="false">
      <c r="A5" s="12" t="n">
        <v>4</v>
      </c>
      <c r="B5" s="13" t="n">
        <f aca="false">Wk4!B2</f>
        <v>46048</v>
      </c>
      <c r="C5" s="37" t="n">
        <f aca="false">Wk4!D156</f>
        <v>0</v>
      </c>
      <c r="D5" s="37" t="n">
        <f aca="false">Wk4!E156</f>
        <v>0</v>
      </c>
      <c r="E5" s="36" t="str">
        <f aca="false">IFERROR(D5/C5,"")</f>
        <v/>
      </c>
      <c r="F5" s="20" t="n">
        <f aca="false">Wk4!H156</f>
        <v>0</v>
      </c>
      <c r="G5" s="20" t="n">
        <f aca="false">Wk4!M156</f>
        <v>0</v>
      </c>
      <c r="H5" s="20" t="n">
        <f aca="false">IFERROR(F5-G5,"")</f>
        <v>0</v>
      </c>
      <c r="I5" s="20" t="n">
        <f aca="false">Wk4!K156</f>
        <v>0</v>
      </c>
      <c r="J5" s="20" t="str">
        <f aca="false">IFERROR(F5/D5,"")</f>
        <v/>
      </c>
      <c r="K5" s="20" t="n">
        <f aca="false">Wk4!P156</f>
        <v>0</v>
      </c>
      <c r="L5" s="20" t="n">
        <f aca="false">IFERROR(F5-K5,"")</f>
        <v>0</v>
      </c>
      <c r="M5" s="20" t="str">
        <f aca="false">IF(F5=0,"",Setup!$C$7+Setup!$C$8)</f>
        <v/>
      </c>
      <c r="N5" s="20" t="n">
        <f aca="false">IFERROR(F5*Setup!$C$9,"")</f>
        <v>0</v>
      </c>
      <c r="O5" s="20" t="str">
        <f aca="false">IF(F5=0,"",L5-M5-N5)</f>
        <v/>
      </c>
      <c r="P5" s="20" t="str">
        <f aca="false">IF(OR(F5=0,F4=0),"",F5-F4)</f>
        <v/>
      </c>
      <c r="Q5" s="36" t="str">
        <f aca="false">IFERROR(P5/F4,"")</f>
        <v/>
      </c>
      <c r="R5" s="20" t="n">
        <f aca="false">Wk4!R156</f>
        <v>0</v>
      </c>
      <c r="S5" s="36" t="str">
        <f aca="false">IFERROR(F5/R5-1,"")</f>
        <v/>
      </c>
    </row>
    <row r="6" customFormat="false" ht="15" hidden="false" customHeight="false" outlineLevel="0" collapsed="false">
      <c r="A6" s="12" t="n">
        <v>5</v>
      </c>
      <c r="B6" s="13" t="n">
        <f aca="false">Wk5!B2</f>
        <v>46055</v>
      </c>
      <c r="C6" s="37" t="n">
        <f aca="false">Wk5!D156</f>
        <v>0</v>
      </c>
      <c r="D6" s="37" t="n">
        <f aca="false">Wk5!E156</f>
        <v>0</v>
      </c>
      <c r="E6" s="36" t="str">
        <f aca="false">IFERROR(D6/C6,"")</f>
        <v/>
      </c>
      <c r="F6" s="20" t="n">
        <f aca="false">Wk5!H156</f>
        <v>0</v>
      </c>
      <c r="G6" s="20" t="n">
        <f aca="false">Wk5!M156</f>
        <v>0</v>
      </c>
      <c r="H6" s="20" t="n">
        <f aca="false">IFERROR(F6-G6,"")</f>
        <v>0</v>
      </c>
      <c r="I6" s="20" t="n">
        <f aca="false">Wk5!K156</f>
        <v>0</v>
      </c>
      <c r="J6" s="20" t="str">
        <f aca="false">IFERROR(F6/D6,"")</f>
        <v/>
      </c>
      <c r="K6" s="20" t="n">
        <f aca="false">Wk5!P156</f>
        <v>0</v>
      </c>
      <c r="L6" s="20" t="n">
        <f aca="false">IFERROR(F6-K6,"")</f>
        <v>0</v>
      </c>
      <c r="M6" s="20" t="str">
        <f aca="false">IF(F6=0,"",Setup!$C$7+Setup!$C$8)</f>
        <v/>
      </c>
      <c r="N6" s="20" t="n">
        <f aca="false">IFERROR(F6*Setup!$C$9,"")</f>
        <v>0</v>
      </c>
      <c r="O6" s="20" t="str">
        <f aca="false">IF(F6=0,"",L6-M6-N6)</f>
        <v/>
      </c>
      <c r="P6" s="20" t="str">
        <f aca="false">IF(OR(F6=0,F5=0),"",F6-F5)</f>
        <v/>
      </c>
      <c r="Q6" s="36" t="str">
        <f aca="false">IFERROR(P6/F5,"")</f>
        <v/>
      </c>
      <c r="R6" s="20" t="n">
        <f aca="false">Wk5!R156</f>
        <v>0</v>
      </c>
      <c r="S6" s="36" t="str">
        <f aca="false">IFERROR(F6/R6-1,"")</f>
        <v/>
      </c>
    </row>
    <row r="7" customFormat="false" ht="15" hidden="false" customHeight="false" outlineLevel="0" collapsed="false">
      <c r="A7" s="12" t="n">
        <v>6</v>
      </c>
      <c r="B7" s="13" t="n">
        <f aca="false">Wk6!B2</f>
        <v>46062</v>
      </c>
      <c r="C7" s="37" t="n">
        <f aca="false">Wk6!D156</f>
        <v>0</v>
      </c>
      <c r="D7" s="37" t="n">
        <f aca="false">Wk6!E156</f>
        <v>0</v>
      </c>
      <c r="E7" s="36" t="str">
        <f aca="false">IFERROR(D7/C7,"")</f>
        <v/>
      </c>
      <c r="F7" s="20" t="n">
        <f aca="false">Wk6!H156</f>
        <v>0</v>
      </c>
      <c r="G7" s="20" t="n">
        <f aca="false">Wk6!M156</f>
        <v>0</v>
      </c>
      <c r="H7" s="20" t="n">
        <f aca="false">IFERROR(F7-G7,"")</f>
        <v>0</v>
      </c>
      <c r="I7" s="20" t="n">
        <f aca="false">Wk6!K156</f>
        <v>0</v>
      </c>
      <c r="J7" s="20" t="str">
        <f aca="false">IFERROR(F7/D7,"")</f>
        <v/>
      </c>
      <c r="K7" s="20" t="n">
        <f aca="false">Wk6!P156</f>
        <v>0</v>
      </c>
      <c r="L7" s="20" t="n">
        <f aca="false">IFERROR(F7-K7,"")</f>
        <v>0</v>
      </c>
      <c r="M7" s="20" t="str">
        <f aca="false">IF(F7=0,"",Setup!$C$7+Setup!$C$8)</f>
        <v/>
      </c>
      <c r="N7" s="20" t="n">
        <f aca="false">IFERROR(F7*Setup!$C$9,"")</f>
        <v>0</v>
      </c>
      <c r="O7" s="20" t="str">
        <f aca="false">IF(F7=0,"",L7-M7-N7)</f>
        <v/>
      </c>
      <c r="P7" s="20" t="str">
        <f aca="false">IF(OR(F7=0,F6=0),"",F7-F6)</f>
        <v/>
      </c>
      <c r="Q7" s="36" t="str">
        <f aca="false">IFERROR(P7/F6,"")</f>
        <v/>
      </c>
      <c r="R7" s="20" t="n">
        <f aca="false">Wk6!R156</f>
        <v>0</v>
      </c>
      <c r="S7" s="36" t="str">
        <f aca="false">IFERROR(F7/R7-1,"")</f>
        <v/>
      </c>
    </row>
    <row r="8" customFormat="false" ht="15" hidden="false" customHeight="false" outlineLevel="0" collapsed="false">
      <c r="A8" s="12" t="n">
        <v>7</v>
      </c>
      <c r="B8" s="13" t="n">
        <f aca="false">Wk7!B2</f>
        <v>46069</v>
      </c>
      <c r="C8" s="37" t="n">
        <f aca="false">Wk7!D156</f>
        <v>0</v>
      </c>
      <c r="D8" s="37" t="n">
        <f aca="false">Wk7!E156</f>
        <v>0</v>
      </c>
      <c r="E8" s="36" t="str">
        <f aca="false">IFERROR(D8/C8,"")</f>
        <v/>
      </c>
      <c r="F8" s="20" t="n">
        <f aca="false">Wk7!H156</f>
        <v>0</v>
      </c>
      <c r="G8" s="20" t="n">
        <f aca="false">Wk7!M156</f>
        <v>0</v>
      </c>
      <c r="H8" s="20" t="n">
        <f aca="false">IFERROR(F8-G8,"")</f>
        <v>0</v>
      </c>
      <c r="I8" s="20" t="n">
        <f aca="false">Wk7!K156</f>
        <v>0</v>
      </c>
      <c r="J8" s="20" t="str">
        <f aca="false">IFERROR(F8/D8,"")</f>
        <v/>
      </c>
      <c r="K8" s="20" t="n">
        <f aca="false">Wk7!P156</f>
        <v>0</v>
      </c>
      <c r="L8" s="20" t="n">
        <f aca="false">IFERROR(F8-K8,"")</f>
        <v>0</v>
      </c>
      <c r="M8" s="20" t="str">
        <f aca="false">IF(F8=0,"",Setup!$C$7+Setup!$C$8)</f>
        <v/>
      </c>
      <c r="N8" s="20" t="n">
        <f aca="false">IFERROR(F8*Setup!$C$9,"")</f>
        <v>0</v>
      </c>
      <c r="O8" s="20" t="str">
        <f aca="false">IF(F8=0,"",L8-M8-N8)</f>
        <v/>
      </c>
      <c r="P8" s="20" t="str">
        <f aca="false">IF(OR(F8=0,F7=0),"",F8-F7)</f>
        <v/>
      </c>
      <c r="Q8" s="36" t="str">
        <f aca="false">IFERROR(P8/F7,"")</f>
        <v/>
      </c>
      <c r="R8" s="20" t="n">
        <f aca="false">Wk7!R156</f>
        <v>0</v>
      </c>
      <c r="S8" s="36" t="str">
        <f aca="false">IFERROR(F8/R8-1,"")</f>
        <v/>
      </c>
    </row>
    <row r="9" customFormat="false" ht="15" hidden="false" customHeight="false" outlineLevel="0" collapsed="false">
      <c r="A9" s="12" t="n">
        <v>8</v>
      </c>
      <c r="B9" s="13" t="n">
        <f aca="false">Wk8!B2</f>
        <v>46076</v>
      </c>
      <c r="C9" s="37" t="n">
        <f aca="false">Wk8!D156</f>
        <v>0</v>
      </c>
      <c r="D9" s="37" t="n">
        <f aca="false">Wk8!E156</f>
        <v>0</v>
      </c>
      <c r="E9" s="36" t="str">
        <f aca="false">IFERROR(D9/C9,"")</f>
        <v/>
      </c>
      <c r="F9" s="20" t="n">
        <f aca="false">Wk8!H156</f>
        <v>0</v>
      </c>
      <c r="G9" s="20" t="n">
        <f aca="false">Wk8!M156</f>
        <v>0</v>
      </c>
      <c r="H9" s="20" t="n">
        <f aca="false">IFERROR(F9-G9,"")</f>
        <v>0</v>
      </c>
      <c r="I9" s="20" t="n">
        <f aca="false">Wk8!K156</f>
        <v>0</v>
      </c>
      <c r="J9" s="20" t="str">
        <f aca="false">IFERROR(F9/D9,"")</f>
        <v/>
      </c>
      <c r="K9" s="20" t="n">
        <f aca="false">Wk8!P156</f>
        <v>0</v>
      </c>
      <c r="L9" s="20" t="n">
        <f aca="false">IFERROR(F9-K9,"")</f>
        <v>0</v>
      </c>
      <c r="M9" s="20" t="str">
        <f aca="false">IF(F9=0,"",Setup!$C$7+Setup!$C$8)</f>
        <v/>
      </c>
      <c r="N9" s="20" t="n">
        <f aca="false">IFERROR(F9*Setup!$C$9,"")</f>
        <v>0</v>
      </c>
      <c r="O9" s="20" t="str">
        <f aca="false">IF(F9=0,"",L9-M9-N9)</f>
        <v/>
      </c>
      <c r="P9" s="20" t="str">
        <f aca="false">IF(OR(F9=0,F8=0),"",F9-F8)</f>
        <v/>
      </c>
      <c r="Q9" s="36" t="str">
        <f aca="false">IFERROR(P9/F8,"")</f>
        <v/>
      </c>
      <c r="R9" s="20" t="n">
        <f aca="false">Wk8!R156</f>
        <v>0</v>
      </c>
      <c r="S9" s="36" t="str">
        <f aca="false">IFERROR(F9/R9-1,"")</f>
        <v/>
      </c>
    </row>
    <row r="10" customFormat="false" ht="15" hidden="false" customHeight="false" outlineLevel="0" collapsed="false">
      <c r="A10" s="12" t="n">
        <v>9</v>
      </c>
      <c r="B10" s="13" t="n">
        <f aca="false">Wk9!B2</f>
        <v>46083</v>
      </c>
      <c r="C10" s="37" t="n">
        <f aca="false">Wk9!D156</f>
        <v>0</v>
      </c>
      <c r="D10" s="37" t="n">
        <f aca="false">Wk9!E156</f>
        <v>0</v>
      </c>
      <c r="E10" s="36" t="str">
        <f aca="false">IFERROR(D10/C10,"")</f>
        <v/>
      </c>
      <c r="F10" s="20" t="n">
        <f aca="false">Wk9!H156</f>
        <v>0</v>
      </c>
      <c r="G10" s="20" t="n">
        <f aca="false">Wk9!M156</f>
        <v>0</v>
      </c>
      <c r="H10" s="20" t="n">
        <f aca="false">IFERROR(F10-G10,"")</f>
        <v>0</v>
      </c>
      <c r="I10" s="20" t="n">
        <f aca="false">Wk9!K156</f>
        <v>0</v>
      </c>
      <c r="J10" s="20" t="str">
        <f aca="false">IFERROR(F10/D10,"")</f>
        <v/>
      </c>
      <c r="K10" s="20" t="n">
        <f aca="false">Wk9!P156</f>
        <v>0</v>
      </c>
      <c r="L10" s="20" t="n">
        <f aca="false">IFERROR(F10-K10,"")</f>
        <v>0</v>
      </c>
      <c r="M10" s="20" t="str">
        <f aca="false">IF(F10=0,"",Setup!$C$7+Setup!$C$8)</f>
        <v/>
      </c>
      <c r="N10" s="20" t="n">
        <f aca="false">IFERROR(F10*Setup!$C$9,"")</f>
        <v>0</v>
      </c>
      <c r="O10" s="20" t="str">
        <f aca="false">IF(F10=0,"",L10-M10-N10)</f>
        <v/>
      </c>
      <c r="P10" s="20" t="str">
        <f aca="false">IF(OR(F10=0,F9=0),"",F10-F9)</f>
        <v/>
      </c>
      <c r="Q10" s="36" t="str">
        <f aca="false">IFERROR(P10/F9,"")</f>
        <v/>
      </c>
      <c r="R10" s="20" t="n">
        <f aca="false">Wk9!R156</f>
        <v>0</v>
      </c>
      <c r="S10" s="36" t="str">
        <f aca="false">IFERROR(F10/R10-1,"")</f>
        <v/>
      </c>
    </row>
    <row r="11" customFormat="false" ht="15" hidden="false" customHeight="false" outlineLevel="0" collapsed="false">
      <c r="A11" s="12" t="n">
        <v>10</v>
      </c>
      <c r="B11" s="13" t="n">
        <f aca="false">Wk10!B2</f>
        <v>46090</v>
      </c>
      <c r="C11" s="37" t="n">
        <f aca="false">Wk10!D156</f>
        <v>0</v>
      </c>
      <c r="D11" s="37" t="n">
        <f aca="false">Wk10!E156</f>
        <v>0</v>
      </c>
      <c r="E11" s="36" t="str">
        <f aca="false">IFERROR(D11/C11,"")</f>
        <v/>
      </c>
      <c r="F11" s="20" t="n">
        <f aca="false">Wk10!H156</f>
        <v>0</v>
      </c>
      <c r="G11" s="20" t="n">
        <f aca="false">Wk10!M156</f>
        <v>0</v>
      </c>
      <c r="H11" s="20" t="n">
        <f aca="false">IFERROR(F11-G11,"")</f>
        <v>0</v>
      </c>
      <c r="I11" s="20" t="n">
        <f aca="false">Wk10!K156</f>
        <v>0</v>
      </c>
      <c r="J11" s="20" t="str">
        <f aca="false">IFERROR(F11/D11,"")</f>
        <v/>
      </c>
      <c r="K11" s="20" t="n">
        <f aca="false">Wk10!P156</f>
        <v>0</v>
      </c>
      <c r="L11" s="20" t="n">
        <f aca="false">IFERROR(F11-K11,"")</f>
        <v>0</v>
      </c>
      <c r="M11" s="20" t="str">
        <f aca="false">IF(F11=0,"",Setup!$C$7+Setup!$C$8)</f>
        <v/>
      </c>
      <c r="N11" s="20" t="n">
        <f aca="false">IFERROR(F11*Setup!$C$9,"")</f>
        <v>0</v>
      </c>
      <c r="O11" s="20" t="str">
        <f aca="false">IF(F11=0,"",L11-M11-N11)</f>
        <v/>
      </c>
      <c r="P11" s="20" t="str">
        <f aca="false">IF(OR(F11=0,F10=0),"",F11-F10)</f>
        <v/>
      </c>
      <c r="Q11" s="36" t="str">
        <f aca="false">IFERROR(P11/F10,"")</f>
        <v/>
      </c>
      <c r="R11" s="20" t="n">
        <f aca="false">Wk10!R156</f>
        <v>0</v>
      </c>
      <c r="S11" s="36" t="str">
        <f aca="false">IFERROR(F11/R11-1,"")</f>
        <v/>
      </c>
    </row>
    <row r="12" customFormat="false" ht="15" hidden="false" customHeight="false" outlineLevel="0" collapsed="false">
      <c r="A12" s="12" t="n">
        <v>11</v>
      </c>
      <c r="B12" s="13" t="n">
        <f aca="false">Wk11!B2</f>
        <v>46097</v>
      </c>
      <c r="C12" s="37" t="n">
        <f aca="false">Wk11!D156</f>
        <v>0</v>
      </c>
      <c r="D12" s="37" t="n">
        <f aca="false">Wk11!E156</f>
        <v>0</v>
      </c>
      <c r="E12" s="36" t="str">
        <f aca="false">IFERROR(D12/C12,"")</f>
        <v/>
      </c>
      <c r="F12" s="20" t="n">
        <f aca="false">Wk11!H156</f>
        <v>0</v>
      </c>
      <c r="G12" s="20" t="n">
        <f aca="false">Wk11!M156</f>
        <v>0</v>
      </c>
      <c r="H12" s="20" t="n">
        <f aca="false">IFERROR(F12-G12,"")</f>
        <v>0</v>
      </c>
      <c r="I12" s="20" t="n">
        <f aca="false">Wk11!K156</f>
        <v>0</v>
      </c>
      <c r="J12" s="20" t="str">
        <f aca="false">IFERROR(F12/D12,"")</f>
        <v/>
      </c>
      <c r="K12" s="20" t="n">
        <f aca="false">Wk11!P156</f>
        <v>0</v>
      </c>
      <c r="L12" s="20" t="n">
        <f aca="false">IFERROR(F12-K12,"")</f>
        <v>0</v>
      </c>
      <c r="M12" s="20" t="str">
        <f aca="false">IF(F12=0,"",Setup!$C$7+Setup!$C$8)</f>
        <v/>
      </c>
      <c r="N12" s="20" t="n">
        <f aca="false">IFERROR(F12*Setup!$C$9,"")</f>
        <v>0</v>
      </c>
      <c r="O12" s="20" t="str">
        <f aca="false">IF(F12=0,"",L12-M12-N12)</f>
        <v/>
      </c>
      <c r="P12" s="20" t="str">
        <f aca="false">IF(OR(F12=0,F11=0),"",F12-F11)</f>
        <v/>
      </c>
      <c r="Q12" s="36" t="str">
        <f aca="false">IFERROR(P12/F11,"")</f>
        <v/>
      </c>
      <c r="R12" s="20" t="n">
        <f aca="false">Wk11!R156</f>
        <v>0</v>
      </c>
      <c r="S12" s="36" t="str">
        <f aca="false">IFERROR(F12/R12-1,"")</f>
        <v/>
      </c>
    </row>
    <row r="13" customFormat="false" ht="15" hidden="false" customHeight="false" outlineLevel="0" collapsed="false">
      <c r="A13" s="12" t="n">
        <v>12</v>
      </c>
      <c r="B13" s="13" t="n">
        <f aca="false">Wk12!B2</f>
        <v>46104</v>
      </c>
      <c r="C13" s="37" t="n">
        <f aca="false">Wk12!D156</f>
        <v>0</v>
      </c>
      <c r="D13" s="37" t="n">
        <f aca="false">Wk12!E156</f>
        <v>0</v>
      </c>
      <c r="E13" s="36" t="str">
        <f aca="false">IFERROR(D13/C13,"")</f>
        <v/>
      </c>
      <c r="F13" s="20" t="n">
        <f aca="false">Wk12!H156</f>
        <v>0</v>
      </c>
      <c r="G13" s="20" t="n">
        <f aca="false">Wk12!M156</f>
        <v>0</v>
      </c>
      <c r="H13" s="20" t="n">
        <f aca="false">IFERROR(F13-G13,"")</f>
        <v>0</v>
      </c>
      <c r="I13" s="20" t="n">
        <f aca="false">Wk12!K156</f>
        <v>0</v>
      </c>
      <c r="J13" s="20" t="str">
        <f aca="false">IFERROR(F13/D13,"")</f>
        <v/>
      </c>
      <c r="K13" s="20" t="n">
        <f aca="false">Wk12!P156</f>
        <v>0</v>
      </c>
      <c r="L13" s="20" t="n">
        <f aca="false">IFERROR(F13-K13,"")</f>
        <v>0</v>
      </c>
      <c r="M13" s="20" t="str">
        <f aca="false">IF(F13=0,"",Setup!$C$7+Setup!$C$8)</f>
        <v/>
      </c>
      <c r="N13" s="20" t="n">
        <f aca="false">IFERROR(F13*Setup!$C$9,"")</f>
        <v>0</v>
      </c>
      <c r="O13" s="20" t="str">
        <f aca="false">IF(F13=0,"",L13-M13-N13)</f>
        <v/>
      </c>
      <c r="P13" s="20" t="str">
        <f aca="false">IF(OR(F13=0,F12=0),"",F13-F12)</f>
        <v/>
      </c>
      <c r="Q13" s="36" t="str">
        <f aca="false">IFERROR(P13/F12,"")</f>
        <v/>
      </c>
      <c r="R13" s="20" t="n">
        <f aca="false">Wk12!R156</f>
        <v>0</v>
      </c>
      <c r="S13" s="36" t="str">
        <f aca="false">IFERROR(F13/R13-1,"")</f>
        <v/>
      </c>
    </row>
    <row r="14" customFormat="false" ht="15" hidden="false" customHeight="false" outlineLevel="0" collapsed="false">
      <c r="A14" s="12" t="n">
        <v>13</v>
      </c>
      <c r="B14" s="13" t="n">
        <f aca="false">Wk13!B2</f>
        <v>46111</v>
      </c>
      <c r="C14" s="37" t="n">
        <f aca="false">Wk13!D156</f>
        <v>0</v>
      </c>
      <c r="D14" s="37" t="n">
        <f aca="false">Wk13!E156</f>
        <v>0</v>
      </c>
      <c r="E14" s="36" t="str">
        <f aca="false">IFERROR(D14/C14,"")</f>
        <v/>
      </c>
      <c r="F14" s="20" t="n">
        <f aca="false">Wk13!H156</f>
        <v>0</v>
      </c>
      <c r="G14" s="20" t="n">
        <f aca="false">Wk13!M156</f>
        <v>0</v>
      </c>
      <c r="H14" s="20" t="n">
        <f aca="false">IFERROR(F14-G14,"")</f>
        <v>0</v>
      </c>
      <c r="I14" s="20" t="n">
        <f aca="false">Wk13!K156</f>
        <v>0</v>
      </c>
      <c r="J14" s="20" t="str">
        <f aca="false">IFERROR(F14/D14,"")</f>
        <v/>
      </c>
      <c r="K14" s="20" t="n">
        <f aca="false">Wk13!P156</f>
        <v>0</v>
      </c>
      <c r="L14" s="20" t="n">
        <f aca="false">IFERROR(F14-K14,"")</f>
        <v>0</v>
      </c>
      <c r="M14" s="20" t="str">
        <f aca="false">IF(F14=0,"",Setup!$C$7+Setup!$C$8)</f>
        <v/>
      </c>
      <c r="N14" s="20" t="n">
        <f aca="false">IFERROR(F14*Setup!$C$9,"")</f>
        <v>0</v>
      </c>
      <c r="O14" s="20" t="str">
        <f aca="false">IF(F14=0,"",L14-M14-N14)</f>
        <v/>
      </c>
      <c r="P14" s="20" t="str">
        <f aca="false">IF(OR(F14=0,F13=0),"",F14-F13)</f>
        <v/>
      </c>
      <c r="Q14" s="36" t="str">
        <f aca="false">IFERROR(P14/F13,"")</f>
        <v/>
      </c>
      <c r="R14" s="20" t="n">
        <f aca="false">Wk13!R156</f>
        <v>0</v>
      </c>
      <c r="S14" s="36" t="str">
        <f aca="false">IFERROR(F14/R14-1,"")</f>
        <v/>
      </c>
    </row>
    <row r="15" customFormat="false" ht="15" hidden="false" customHeight="false" outlineLevel="0" collapsed="false">
      <c r="A15" s="12" t="n">
        <v>14</v>
      </c>
      <c r="B15" s="13" t="n">
        <f aca="false">Wk14!B2</f>
        <v>46118</v>
      </c>
      <c r="C15" s="37" t="n">
        <f aca="false">Wk14!D156</f>
        <v>0</v>
      </c>
      <c r="D15" s="37" t="n">
        <f aca="false">Wk14!E156</f>
        <v>0</v>
      </c>
      <c r="E15" s="36" t="str">
        <f aca="false">IFERROR(D15/C15,"")</f>
        <v/>
      </c>
      <c r="F15" s="20" t="n">
        <f aca="false">Wk14!H156</f>
        <v>0</v>
      </c>
      <c r="G15" s="20" t="n">
        <f aca="false">Wk14!M156</f>
        <v>0</v>
      </c>
      <c r="H15" s="20" t="n">
        <f aca="false">IFERROR(F15-G15,"")</f>
        <v>0</v>
      </c>
      <c r="I15" s="20" t="n">
        <f aca="false">Wk14!K156</f>
        <v>0</v>
      </c>
      <c r="J15" s="20" t="str">
        <f aca="false">IFERROR(F15/D15,"")</f>
        <v/>
      </c>
      <c r="K15" s="20" t="n">
        <f aca="false">Wk14!P156</f>
        <v>0</v>
      </c>
      <c r="L15" s="20" t="n">
        <f aca="false">IFERROR(F15-K15,"")</f>
        <v>0</v>
      </c>
      <c r="M15" s="20" t="str">
        <f aca="false">IF(F15=0,"",Setup!$C$7+Setup!$C$8)</f>
        <v/>
      </c>
      <c r="N15" s="20" t="n">
        <f aca="false">IFERROR(F15*Setup!$C$9,"")</f>
        <v>0</v>
      </c>
      <c r="O15" s="20" t="str">
        <f aca="false">IF(F15=0,"",L15-M15-N15)</f>
        <v/>
      </c>
      <c r="P15" s="20" t="str">
        <f aca="false">IF(OR(F15=0,F14=0),"",F15-F14)</f>
        <v/>
      </c>
      <c r="Q15" s="36" t="str">
        <f aca="false">IFERROR(P15/F14,"")</f>
        <v/>
      </c>
      <c r="R15" s="20" t="n">
        <f aca="false">Wk14!R156</f>
        <v>0</v>
      </c>
      <c r="S15" s="36" t="str">
        <f aca="false">IFERROR(F15/R15-1,"")</f>
        <v/>
      </c>
    </row>
    <row r="16" customFormat="false" ht="15" hidden="false" customHeight="false" outlineLevel="0" collapsed="false">
      <c r="A16" s="12" t="n">
        <v>15</v>
      </c>
      <c r="B16" s="13" t="n">
        <f aca="false">Wk15!B2</f>
        <v>46125</v>
      </c>
      <c r="C16" s="37" t="n">
        <f aca="false">Wk15!D156</f>
        <v>0</v>
      </c>
      <c r="D16" s="37" t="n">
        <f aca="false">Wk15!E156</f>
        <v>0</v>
      </c>
      <c r="E16" s="36" t="str">
        <f aca="false">IFERROR(D16/C16,"")</f>
        <v/>
      </c>
      <c r="F16" s="20" t="n">
        <f aca="false">Wk15!H156</f>
        <v>0</v>
      </c>
      <c r="G16" s="20" t="n">
        <f aca="false">Wk15!M156</f>
        <v>0</v>
      </c>
      <c r="H16" s="20" t="n">
        <f aca="false">IFERROR(F16-G16,"")</f>
        <v>0</v>
      </c>
      <c r="I16" s="20" t="n">
        <f aca="false">Wk15!K156</f>
        <v>0</v>
      </c>
      <c r="J16" s="20" t="str">
        <f aca="false">IFERROR(F16/D16,"")</f>
        <v/>
      </c>
      <c r="K16" s="20" t="n">
        <f aca="false">Wk15!P156</f>
        <v>0</v>
      </c>
      <c r="L16" s="20" t="n">
        <f aca="false">IFERROR(F16-K16,"")</f>
        <v>0</v>
      </c>
      <c r="M16" s="20" t="str">
        <f aca="false">IF(F16=0,"",Setup!$C$7+Setup!$C$8)</f>
        <v/>
      </c>
      <c r="N16" s="20" t="n">
        <f aca="false">IFERROR(F16*Setup!$C$9,"")</f>
        <v>0</v>
      </c>
      <c r="O16" s="20" t="str">
        <f aca="false">IF(F16=0,"",L16-M16-N16)</f>
        <v/>
      </c>
      <c r="P16" s="20" t="str">
        <f aca="false">IF(OR(F16=0,F15=0),"",F16-F15)</f>
        <v/>
      </c>
      <c r="Q16" s="36" t="str">
        <f aca="false">IFERROR(P16/F15,"")</f>
        <v/>
      </c>
      <c r="R16" s="20" t="n">
        <f aca="false">Wk15!R156</f>
        <v>0</v>
      </c>
      <c r="S16" s="36" t="str">
        <f aca="false">IFERROR(F16/R16-1,"")</f>
        <v/>
      </c>
    </row>
    <row r="17" customFormat="false" ht="15" hidden="false" customHeight="false" outlineLevel="0" collapsed="false">
      <c r="A17" s="12" t="n">
        <v>16</v>
      </c>
      <c r="B17" s="13" t="n">
        <f aca="false">Wk16!B2</f>
        <v>46132</v>
      </c>
      <c r="C17" s="37" t="n">
        <f aca="false">Wk16!D156</f>
        <v>0</v>
      </c>
      <c r="D17" s="37" t="n">
        <f aca="false">Wk16!E156</f>
        <v>0</v>
      </c>
      <c r="E17" s="36" t="str">
        <f aca="false">IFERROR(D17/C17,"")</f>
        <v/>
      </c>
      <c r="F17" s="20" t="n">
        <f aca="false">Wk16!H156</f>
        <v>0</v>
      </c>
      <c r="G17" s="20" t="n">
        <f aca="false">Wk16!M156</f>
        <v>0</v>
      </c>
      <c r="H17" s="20" t="n">
        <f aca="false">IFERROR(F17-G17,"")</f>
        <v>0</v>
      </c>
      <c r="I17" s="20" t="n">
        <f aca="false">Wk16!K156</f>
        <v>0</v>
      </c>
      <c r="J17" s="20" t="str">
        <f aca="false">IFERROR(F17/D17,"")</f>
        <v/>
      </c>
      <c r="K17" s="20" t="n">
        <f aca="false">Wk16!P156</f>
        <v>0</v>
      </c>
      <c r="L17" s="20" t="n">
        <f aca="false">IFERROR(F17-K17,"")</f>
        <v>0</v>
      </c>
      <c r="M17" s="20" t="str">
        <f aca="false">IF(F17=0,"",Setup!$C$7+Setup!$C$8)</f>
        <v/>
      </c>
      <c r="N17" s="20" t="n">
        <f aca="false">IFERROR(F17*Setup!$C$9,"")</f>
        <v>0</v>
      </c>
      <c r="O17" s="20" t="str">
        <f aca="false">IF(F17=0,"",L17-M17-N17)</f>
        <v/>
      </c>
      <c r="P17" s="20" t="str">
        <f aca="false">IF(OR(F17=0,F16=0),"",F17-F16)</f>
        <v/>
      </c>
      <c r="Q17" s="36" t="str">
        <f aca="false">IFERROR(P17/F16,"")</f>
        <v/>
      </c>
      <c r="R17" s="20" t="n">
        <f aca="false">Wk16!R156</f>
        <v>0</v>
      </c>
      <c r="S17" s="36" t="str">
        <f aca="false">IFERROR(F17/R17-1,"")</f>
        <v/>
      </c>
    </row>
    <row r="18" customFormat="false" ht="15" hidden="false" customHeight="false" outlineLevel="0" collapsed="false">
      <c r="A18" s="12" t="n">
        <v>17</v>
      </c>
      <c r="B18" s="13" t="n">
        <f aca="false">Wk17!B2</f>
        <v>46139</v>
      </c>
      <c r="C18" s="37" t="n">
        <f aca="false">Wk17!D156</f>
        <v>0</v>
      </c>
      <c r="D18" s="37" t="n">
        <f aca="false">Wk17!E156</f>
        <v>0</v>
      </c>
      <c r="E18" s="36" t="str">
        <f aca="false">IFERROR(D18/C18,"")</f>
        <v/>
      </c>
      <c r="F18" s="20" t="n">
        <f aca="false">Wk17!H156</f>
        <v>0</v>
      </c>
      <c r="G18" s="20" t="n">
        <f aca="false">Wk17!M156</f>
        <v>0</v>
      </c>
      <c r="H18" s="20" t="n">
        <f aca="false">IFERROR(F18-G18,"")</f>
        <v>0</v>
      </c>
      <c r="I18" s="20" t="n">
        <f aca="false">Wk17!K156</f>
        <v>0</v>
      </c>
      <c r="J18" s="20" t="str">
        <f aca="false">IFERROR(F18/D18,"")</f>
        <v/>
      </c>
      <c r="K18" s="20" t="n">
        <f aca="false">Wk17!P156</f>
        <v>0</v>
      </c>
      <c r="L18" s="20" t="n">
        <f aca="false">IFERROR(F18-K18,"")</f>
        <v>0</v>
      </c>
      <c r="M18" s="20" t="str">
        <f aca="false">IF(F18=0,"",Setup!$C$7+Setup!$C$8)</f>
        <v/>
      </c>
      <c r="N18" s="20" t="n">
        <f aca="false">IFERROR(F18*Setup!$C$9,"")</f>
        <v>0</v>
      </c>
      <c r="O18" s="20" t="str">
        <f aca="false">IF(F18=0,"",L18-M18-N18)</f>
        <v/>
      </c>
      <c r="P18" s="20" t="str">
        <f aca="false">IF(OR(F18=0,F17=0),"",F18-F17)</f>
        <v/>
      </c>
      <c r="Q18" s="36" t="str">
        <f aca="false">IFERROR(P18/F17,"")</f>
        <v/>
      </c>
      <c r="R18" s="20" t="n">
        <f aca="false">Wk17!R156</f>
        <v>0</v>
      </c>
      <c r="S18" s="36" t="str">
        <f aca="false">IFERROR(F18/R18-1,"")</f>
        <v/>
      </c>
    </row>
    <row r="19" customFormat="false" ht="15" hidden="false" customHeight="false" outlineLevel="0" collapsed="false">
      <c r="A19" s="12" t="n">
        <v>18</v>
      </c>
      <c r="B19" s="13" t="n">
        <f aca="false">Wk18!B2</f>
        <v>46146</v>
      </c>
      <c r="C19" s="37" t="n">
        <f aca="false">Wk18!D156</f>
        <v>0</v>
      </c>
      <c r="D19" s="37" t="n">
        <f aca="false">Wk18!E156</f>
        <v>0</v>
      </c>
      <c r="E19" s="36" t="str">
        <f aca="false">IFERROR(D19/C19,"")</f>
        <v/>
      </c>
      <c r="F19" s="20" t="n">
        <f aca="false">Wk18!H156</f>
        <v>0</v>
      </c>
      <c r="G19" s="20" t="n">
        <f aca="false">Wk18!M156</f>
        <v>0</v>
      </c>
      <c r="H19" s="20" t="n">
        <f aca="false">IFERROR(F19-G19,"")</f>
        <v>0</v>
      </c>
      <c r="I19" s="20" t="n">
        <f aca="false">Wk18!K156</f>
        <v>0</v>
      </c>
      <c r="J19" s="20" t="str">
        <f aca="false">IFERROR(F19/D19,"")</f>
        <v/>
      </c>
      <c r="K19" s="20" t="n">
        <f aca="false">Wk18!P156</f>
        <v>0</v>
      </c>
      <c r="L19" s="20" t="n">
        <f aca="false">IFERROR(F19-K19,"")</f>
        <v>0</v>
      </c>
      <c r="M19" s="20" t="str">
        <f aca="false">IF(F19=0,"",Setup!$C$7+Setup!$C$8)</f>
        <v/>
      </c>
      <c r="N19" s="20" t="n">
        <f aca="false">IFERROR(F19*Setup!$C$9,"")</f>
        <v>0</v>
      </c>
      <c r="O19" s="20" t="str">
        <f aca="false">IF(F19=0,"",L19-M19-N19)</f>
        <v/>
      </c>
      <c r="P19" s="20" t="str">
        <f aca="false">IF(OR(F19=0,F18=0),"",F19-F18)</f>
        <v/>
      </c>
      <c r="Q19" s="36" t="str">
        <f aca="false">IFERROR(P19/F18,"")</f>
        <v/>
      </c>
      <c r="R19" s="20" t="n">
        <f aca="false">Wk18!R156</f>
        <v>0</v>
      </c>
      <c r="S19" s="36" t="str">
        <f aca="false">IFERROR(F19/R19-1,"")</f>
        <v/>
      </c>
    </row>
    <row r="20" customFormat="false" ht="15" hidden="false" customHeight="false" outlineLevel="0" collapsed="false">
      <c r="A20" s="12" t="n">
        <v>19</v>
      </c>
      <c r="B20" s="13" t="n">
        <f aca="false">Wk19!B2</f>
        <v>46153</v>
      </c>
      <c r="C20" s="37" t="n">
        <f aca="false">Wk19!D156</f>
        <v>0</v>
      </c>
      <c r="D20" s="37" t="n">
        <f aca="false">Wk19!E156</f>
        <v>0</v>
      </c>
      <c r="E20" s="36" t="str">
        <f aca="false">IFERROR(D20/C20,"")</f>
        <v/>
      </c>
      <c r="F20" s="20" t="n">
        <f aca="false">Wk19!H156</f>
        <v>0</v>
      </c>
      <c r="G20" s="20" t="n">
        <f aca="false">Wk19!M156</f>
        <v>0</v>
      </c>
      <c r="H20" s="20" t="n">
        <f aca="false">IFERROR(F20-G20,"")</f>
        <v>0</v>
      </c>
      <c r="I20" s="20" t="n">
        <f aca="false">Wk19!K156</f>
        <v>0</v>
      </c>
      <c r="J20" s="20" t="str">
        <f aca="false">IFERROR(F20/D20,"")</f>
        <v/>
      </c>
      <c r="K20" s="20" t="n">
        <f aca="false">Wk19!P156</f>
        <v>0</v>
      </c>
      <c r="L20" s="20" t="n">
        <f aca="false">IFERROR(F20-K20,"")</f>
        <v>0</v>
      </c>
      <c r="M20" s="20" t="str">
        <f aca="false">IF(F20=0,"",Setup!$C$7+Setup!$C$8)</f>
        <v/>
      </c>
      <c r="N20" s="20" t="n">
        <f aca="false">IFERROR(F20*Setup!$C$9,"")</f>
        <v>0</v>
      </c>
      <c r="O20" s="20" t="str">
        <f aca="false">IF(F20=0,"",L20-M20-N20)</f>
        <v/>
      </c>
      <c r="P20" s="20" t="str">
        <f aca="false">IF(OR(F20=0,F19=0),"",F20-F19)</f>
        <v/>
      </c>
      <c r="Q20" s="36" t="str">
        <f aca="false">IFERROR(P20/F19,"")</f>
        <v/>
      </c>
      <c r="R20" s="20" t="n">
        <f aca="false">Wk19!R156</f>
        <v>0</v>
      </c>
      <c r="S20" s="36" t="str">
        <f aca="false">IFERROR(F20/R20-1,"")</f>
        <v/>
      </c>
    </row>
    <row r="21" customFormat="false" ht="15" hidden="false" customHeight="false" outlineLevel="0" collapsed="false">
      <c r="A21" s="12" t="n">
        <v>20</v>
      </c>
      <c r="B21" s="13" t="n">
        <f aca="false">Wk20!B2</f>
        <v>46160</v>
      </c>
      <c r="C21" s="37" t="n">
        <f aca="false">Wk20!D156</f>
        <v>0</v>
      </c>
      <c r="D21" s="37" t="n">
        <f aca="false">Wk20!E156</f>
        <v>0</v>
      </c>
      <c r="E21" s="36" t="str">
        <f aca="false">IFERROR(D21/C21,"")</f>
        <v/>
      </c>
      <c r="F21" s="20" t="n">
        <f aca="false">Wk20!H156</f>
        <v>0</v>
      </c>
      <c r="G21" s="20" t="n">
        <f aca="false">Wk20!M156</f>
        <v>0</v>
      </c>
      <c r="H21" s="20" t="n">
        <f aca="false">IFERROR(F21-G21,"")</f>
        <v>0</v>
      </c>
      <c r="I21" s="20" t="n">
        <f aca="false">Wk20!K156</f>
        <v>0</v>
      </c>
      <c r="J21" s="20" t="str">
        <f aca="false">IFERROR(F21/D21,"")</f>
        <v/>
      </c>
      <c r="K21" s="20" t="n">
        <f aca="false">Wk20!P156</f>
        <v>0</v>
      </c>
      <c r="L21" s="20" t="n">
        <f aca="false">IFERROR(F21-K21,"")</f>
        <v>0</v>
      </c>
      <c r="M21" s="20" t="str">
        <f aca="false">IF(F21=0,"",Setup!$C$7+Setup!$C$8)</f>
        <v/>
      </c>
      <c r="N21" s="20" t="n">
        <f aca="false">IFERROR(F21*Setup!$C$9,"")</f>
        <v>0</v>
      </c>
      <c r="O21" s="20" t="str">
        <f aca="false">IF(F21=0,"",L21-M21-N21)</f>
        <v/>
      </c>
      <c r="P21" s="20" t="str">
        <f aca="false">IF(OR(F21=0,F20=0),"",F21-F20)</f>
        <v/>
      </c>
      <c r="Q21" s="36" t="str">
        <f aca="false">IFERROR(P21/F20,"")</f>
        <v/>
      </c>
      <c r="R21" s="20" t="n">
        <f aca="false">Wk20!R156</f>
        <v>0</v>
      </c>
      <c r="S21" s="36" t="str">
        <f aca="false">IFERROR(F21/R21-1,"")</f>
        <v/>
      </c>
    </row>
    <row r="22" customFormat="false" ht="15" hidden="false" customHeight="false" outlineLevel="0" collapsed="false">
      <c r="A22" s="12" t="n">
        <v>21</v>
      </c>
      <c r="B22" s="13" t="n">
        <f aca="false">Wk21!B2</f>
        <v>46167</v>
      </c>
      <c r="C22" s="37" t="n">
        <f aca="false">Wk21!D156</f>
        <v>0</v>
      </c>
      <c r="D22" s="37" t="n">
        <f aca="false">Wk21!E156</f>
        <v>0</v>
      </c>
      <c r="E22" s="36" t="str">
        <f aca="false">IFERROR(D22/C22,"")</f>
        <v/>
      </c>
      <c r="F22" s="20" t="n">
        <f aca="false">Wk21!H156</f>
        <v>0</v>
      </c>
      <c r="G22" s="20" t="n">
        <f aca="false">Wk21!M156</f>
        <v>0</v>
      </c>
      <c r="H22" s="20" t="n">
        <f aca="false">IFERROR(F22-G22,"")</f>
        <v>0</v>
      </c>
      <c r="I22" s="20" t="n">
        <f aca="false">Wk21!K156</f>
        <v>0</v>
      </c>
      <c r="J22" s="20" t="str">
        <f aca="false">IFERROR(F22/D22,"")</f>
        <v/>
      </c>
      <c r="K22" s="20" t="n">
        <f aca="false">Wk21!P156</f>
        <v>0</v>
      </c>
      <c r="L22" s="20" t="n">
        <f aca="false">IFERROR(F22-K22,"")</f>
        <v>0</v>
      </c>
      <c r="M22" s="20" t="str">
        <f aca="false">IF(F22=0,"",Setup!$C$7+Setup!$C$8)</f>
        <v/>
      </c>
      <c r="N22" s="20" t="n">
        <f aca="false">IFERROR(F22*Setup!$C$9,"")</f>
        <v>0</v>
      </c>
      <c r="O22" s="20" t="str">
        <f aca="false">IF(F22=0,"",L22-M22-N22)</f>
        <v/>
      </c>
      <c r="P22" s="20" t="str">
        <f aca="false">IF(OR(F22=0,F21=0),"",F22-F21)</f>
        <v/>
      </c>
      <c r="Q22" s="36" t="str">
        <f aca="false">IFERROR(P22/F21,"")</f>
        <v/>
      </c>
      <c r="R22" s="20" t="n">
        <f aca="false">Wk21!R156</f>
        <v>0</v>
      </c>
      <c r="S22" s="36" t="str">
        <f aca="false">IFERROR(F22/R22-1,"")</f>
        <v/>
      </c>
    </row>
    <row r="23" customFormat="false" ht="15" hidden="false" customHeight="false" outlineLevel="0" collapsed="false">
      <c r="A23" s="12" t="n">
        <v>22</v>
      </c>
      <c r="B23" s="13" t="n">
        <f aca="false">Wk22!B2</f>
        <v>46174</v>
      </c>
      <c r="C23" s="37" t="n">
        <f aca="false">Wk22!D156</f>
        <v>0</v>
      </c>
      <c r="D23" s="37" t="n">
        <f aca="false">Wk22!E156</f>
        <v>0</v>
      </c>
      <c r="E23" s="36" t="str">
        <f aca="false">IFERROR(D23/C23,"")</f>
        <v/>
      </c>
      <c r="F23" s="20" t="n">
        <f aca="false">Wk22!H156</f>
        <v>0</v>
      </c>
      <c r="G23" s="20" t="n">
        <f aca="false">Wk22!M156</f>
        <v>0</v>
      </c>
      <c r="H23" s="20" t="n">
        <f aca="false">IFERROR(F23-G23,"")</f>
        <v>0</v>
      </c>
      <c r="I23" s="20" t="n">
        <f aca="false">Wk22!K156</f>
        <v>0</v>
      </c>
      <c r="J23" s="20" t="str">
        <f aca="false">IFERROR(F23/D23,"")</f>
        <v/>
      </c>
      <c r="K23" s="20" t="n">
        <f aca="false">Wk22!P156</f>
        <v>0</v>
      </c>
      <c r="L23" s="20" t="n">
        <f aca="false">IFERROR(F23-K23,"")</f>
        <v>0</v>
      </c>
      <c r="M23" s="20" t="str">
        <f aca="false">IF(F23=0,"",Setup!$C$7+Setup!$C$8)</f>
        <v/>
      </c>
      <c r="N23" s="20" t="n">
        <f aca="false">IFERROR(F23*Setup!$C$9,"")</f>
        <v>0</v>
      </c>
      <c r="O23" s="20" t="str">
        <f aca="false">IF(F23=0,"",L23-M23-N23)</f>
        <v/>
      </c>
      <c r="P23" s="20" t="str">
        <f aca="false">IF(OR(F23=0,F22=0),"",F23-F22)</f>
        <v/>
      </c>
      <c r="Q23" s="36" t="str">
        <f aca="false">IFERROR(P23/F22,"")</f>
        <v/>
      </c>
      <c r="R23" s="20" t="n">
        <f aca="false">Wk22!R156</f>
        <v>0</v>
      </c>
      <c r="S23" s="36" t="str">
        <f aca="false">IFERROR(F23/R23-1,"")</f>
        <v/>
      </c>
    </row>
    <row r="24" customFormat="false" ht="15" hidden="false" customHeight="false" outlineLevel="0" collapsed="false">
      <c r="A24" s="12" t="n">
        <v>23</v>
      </c>
      <c r="B24" s="13" t="n">
        <f aca="false">Wk23!B2</f>
        <v>46181</v>
      </c>
      <c r="C24" s="37" t="n">
        <f aca="false">Wk23!D156</f>
        <v>0</v>
      </c>
      <c r="D24" s="37" t="n">
        <f aca="false">Wk23!E156</f>
        <v>0</v>
      </c>
      <c r="E24" s="36" t="str">
        <f aca="false">IFERROR(D24/C24,"")</f>
        <v/>
      </c>
      <c r="F24" s="20" t="n">
        <f aca="false">Wk23!H156</f>
        <v>0</v>
      </c>
      <c r="G24" s="20" t="n">
        <f aca="false">Wk23!M156</f>
        <v>0</v>
      </c>
      <c r="H24" s="20" t="n">
        <f aca="false">IFERROR(F24-G24,"")</f>
        <v>0</v>
      </c>
      <c r="I24" s="20" t="n">
        <f aca="false">Wk23!K156</f>
        <v>0</v>
      </c>
      <c r="J24" s="20" t="str">
        <f aca="false">IFERROR(F24/D24,"")</f>
        <v/>
      </c>
      <c r="K24" s="20" t="n">
        <f aca="false">Wk23!P156</f>
        <v>0</v>
      </c>
      <c r="L24" s="20" t="n">
        <f aca="false">IFERROR(F24-K24,"")</f>
        <v>0</v>
      </c>
      <c r="M24" s="20" t="str">
        <f aca="false">IF(F24=0,"",Setup!$C$7+Setup!$C$8)</f>
        <v/>
      </c>
      <c r="N24" s="20" t="n">
        <f aca="false">IFERROR(F24*Setup!$C$9,"")</f>
        <v>0</v>
      </c>
      <c r="O24" s="20" t="str">
        <f aca="false">IF(F24=0,"",L24-M24-N24)</f>
        <v/>
      </c>
      <c r="P24" s="20" t="str">
        <f aca="false">IF(OR(F24=0,F23=0),"",F24-F23)</f>
        <v/>
      </c>
      <c r="Q24" s="36" t="str">
        <f aca="false">IFERROR(P24/F23,"")</f>
        <v/>
      </c>
      <c r="R24" s="20" t="n">
        <f aca="false">Wk23!R156</f>
        <v>0</v>
      </c>
      <c r="S24" s="36" t="str">
        <f aca="false">IFERROR(F24/R24-1,"")</f>
        <v/>
      </c>
    </row>
    <row r="25" customFormat="false" ht="15" hidden="false" customHeight="false" outlineLevel="0" collapsed="false">
      <c r="A25" s="12" t="n">
        <v>24</v>
      </c>
      <c r="B25" s="13" t="n">
        <f aca="false">Wk24!B2</f>
        <v>46188</v>
      </c>
      <c r="C25" s="37" t="n">
        <f aca="false">Wk24!D156</f>
        <v>0</v>
      </c>
      <c r="D25" s="37" t="n">
        <f aca="false">Wk24!E156</f>
        <v>0</v>
      </c>
      <c r="E25" s="36" t="str">
        <f aca="false">IFERROR(D25/C25,"")</f>
        <v/>
      </c>
      <c r="F25" s="20" t="n">
        <f aca="false">Wk24!H156</f>
        <v>0</v>
      </c>
      <c r="G25" s="20" t="n">
        <f aca="false">Wk24!M156</f>
        <v>0</v>
      </c>
      <c r="H25" s="20" t="n">
        <f aca="false">IFERROR(F25-G25,"")</f>
        <v>0</v>
      </c>
      <c r="I25" s="20" t="n">
        <f aca="false">Wk24!K156</f>
        <v>0</v>
      </c>
      <c r="J25" s="20" t="str">
        <f aca="false">IFERROR(F25/D25,"")</f>
        <v/>
      </c>
      <c r="K25" s="20" t="n">
        <f aca="false">Wk24!P156</f>
        <v>0</v>
      </c>
      <c r="L25" s="20" t="n">
        <f aca="false">IFERROR(F25-K25,"")</f>
        <v>0</v>
      </c>
      <c r="M25" s="20" t="str">
        <f aca="false">IF(F25=0,"",Setup!$C$7+Setup!$C$8)</f>
        <v/>
      </c>
      <c r="N25" s="20" t="n">
        <f aca="false">IFERROR(F25*Setup!$C$9,"")</f>
        <v>0</v>
      </c>
      <c r="O25" s="20" t="str">
        <f aca="false">IF(F25=0,"",L25-M25-N25)</f>
        <v/>
      </c>
      <c r="P25" s="20" t="str">
        <f aca="false">IF(OR(F25=0,F24=0),"",F25-F24)</f>
        <v/>
      </c>
      <c r="Q25" s="36" t="str">
        <f aca="false">IFERROR(P25/F24,"")</f>
        <v/>
      </c>
      <c r="R25" s="20" t="n">
        <f aca="false">Wk24!R156</f>
        <v>0</v>
      </c>
      <c r="S25" s="36" t="str">
        <f aca="false">IFERROR(F25/R25-1,"")</f>
        <v/>
      </c>
    </row>
    <row r="26" customFormat="false" ht="15" hidden="false" customHeight="false" outlineLevel="0" collapsed="false">
      <c r="A26" s="12" t="n">
        <v>25</v>
      </c>
      <c r="B26" s="13" t="n">
        <f aca="false">Wk25!B2</f>
        <v>46195</v>
      </c>
      <c r="C26" s="37" t="n">
        <f aca="false">Wk25!D156</f>
        <v>0</v>
      </c>
      <c r="D26" s="37" t="n">
        <f aca="false">Wk25!E156</f>
        <v>0</v>
      </c>
      <c r="E26" s="36" t="str">
        <f aca="false">IFERROR(D26/C26,"")</f>
        <v/>
      </c>
      <c r="F26" s="20" t="n">
        <f aca="false">Wk25!H156</f>
        <v>0</v>
      </c>
      <c r="G26" s="20" t="n">
        <f aca="false">Wk25!M156</f>
        <v>0</v>
      </c>
      <c r="H26" s="20" t="n">
        <f aca="false">IFERROR(F26-G26,"")</f>
        <v>0</v>
      </c>
      <c r="I26" s="20" t="n">
        <f aca="false">Wk25!K156</f>
        <v>0</v>
      </c>
      <c r="J26" s="20" t="str">
        <f aca="false">IFERROR(F26/D26,"")</f>
        <v/>
      </c>
      <c r="K26" s="20" t="n">
        <f aca="false">Wk25!P156</f>
        <v>0</v>
      </c>
      <c r="L26" s="20" t="n">
        <f aca="false">IFERROR(F26-K26,"")</f>
        <v>0</v>
      </c>
      <c r="M26" s="20" t="str">
        <f aca="false">IF(F26=0,"",Setup!$C$7+Setup!$C$8)</f>
        <v/>
      </c>
      <c r="N26" s="20" t="n">
        <f aca="false">IFERROR(F26*Setup!$C$9,"")</f>
        <v>0</v>
      </c>
      <c r="O26" s="20" t="str">
        <f aca="false">IF(F26=0,"",L26-M26-N26)</f>
        <v/>
      </c>
      <c r="P26" s="20" t="str">
        <f aca="false">IF(OR(F26=0,F25=0),"",F26-F25)</f>
        <v/>
      </c>
      <c r="Q26" s="36" t="str">
        <f aca="false">IFERROR(P26/F25,"")</f>
        <v/>
      </c>
      <c r="R26" s="20" t="n">
        <f aca="false">Wk25!R156</f>
        <v>0</v>
      </c>
      <c r="S26" s="36" t="str">
        <f aca="false">IFERROR(F26/R26-1,"")</f>
        <v/>
      </c>
    </row>
    <row r="27" customFormat="false" ht="15" hidden="false" customHeight="false" outlineLevel="0" collapsed="false">
      <c r="A27" s="12" t="n">
        <v>26</v>
      </c>
      <c r="B27" s="13" t="n">
        <f aca="false">Wk26!B2</f>
        <v>46202</v>
      </c>
      <c r="C27" s="37" t="n">
        <f aca="false">Wk26!D156</f>
        <v>0</v>
      </c>
      <c r="D27" s="37" t="n">
        <f aca="false">Wk26!E156</f>
        <v>0</v>
      </c>
      <c r="E27" s="36" t="str">
        <f aca="false">IFERROR(D27/C27,"")</f>
        <v/>
      </c>
      <c r="F27" s="20" t="n">
        <f aca="false">Wk26!H156</f>
        <v>0</v>
      </c>
      <c r="G27" s="20" t="n">
        <f aca="false">Wk26!M156</f>
        <v>0</v>
      </c>
      <c r="H27" s="20" t="n">
        <f aca="false">IFERROR(F27-G27,"")</f>
        <v>0</v>
      </c>
      <c r="I27" s="20" t="n">
        <f aca="false">Wk26!K156</f>
        <v>0</v>
      </c>
      <c r="J27" s="20" t="str">
        <f aca="false">IFERROR(F27/D27,"")</f>
        <v/>
      </c>
      <c r="K27" s="20" t="n">
        <f aca="false">Wk26!P156</f>
        <v>0</v>
      </c>
      <c r="L27" s="20" t="n">
        <f aca="false">IFERROR(F27-K27,"")</f>
        <v>0</v>
      </c>
      <c r="M27" s="20" t="str">
        <f aca="false">IF(F27=0,"",Setup!$C$7+Setup!$C$8)</f>
        <v/>
      </c>
      <c r="N27" s="20" t="n">
        <f aca="false">IFERROR(F27*Setup!$C$9,"")</f>
        <v>0</v>
      </c>
      <c r="O27" s="20" t="str">
        <f aca="false">IF(F27=0,"",L27-M27-N27)</f>
        <v/>
      </c>
      <c r="P27" s="20" t="str">
        <f aca="false">IF(OR(F27=0,F26=0),"",F27-F26)</f>
        <v/>
      </c>
      <c r="Q27" s="36" t="str">
        <f aca="false">IFERROR(P27/F26,"")</f>
        <v/>
      </c>
      <c r="R27" s="20" t="n">
        <f aca="false">Wk26!R156</f>
        <v>0</v>
      </c>
      <c r="S27" s="36" t="str">
        <f aca="false">IFERROR(F27/R27-1,"")</f>
        <v/>
      </c>
    </row>
    <row r="28" customFormat="false" ht="15" hidden="false" customHeight="false" outlineLevel="0" collapsed="false">
      <c r="A28" s="12" t="n">
        <v>27</v>
      </c>
      <c r="B28" s="13" t="n">
        <f aca="false">Wk27!B2</f>
        <v>46209</v>
      </c>
      <c r="C28" s="37" t="n">
        <f aca="false">Wk27!D156</f>
        <v>0</v>
      </c>
      <c r="D28" s="37" t="n">
        <f aca="false">Wk27!E156</f>
        <v>0</v>
      </c>
      <c r="E28" s="36" t="str">
        <f aca="false">IFERROR(D28/C28,"")</f>
        <v/>
      </c>
      <c r="F28" s="20" t="n">
        <f aca="false">Wk27!H156</f>
        <v>0</v>
      </c>
      <c r="G28" s="20" t="n">
        <f aca="false">Wk27!M156</f>
        <v>0</v>
      </c>
      <c r="H28" s="20" t="n">
        <f aca="false">IFERROR(F28-G28,"")</f>
        <v>0</v>
      </c>
      <c r="I28" s="20" t="n">
        <f aca="false">Wk27!K156</f>
        <v>0</v>
      </c>
      <c r="J28" s="20" t="str">
        <f aca="false">IFERROR(F28/D28,"")</f>
        <v/>
      </c>
      <c r="K28" s="20" t="n">
        <f aca="false">Wk27!P156</f>
        <v>0</v>
      </c>
      <c r="L28" s="20" t="n">
        <f aca="false">IFERROR(F28-K28,"")</f>
        <v>0</v>
      </c>
      <c r="M28" s="20" t="str">
        <f aca="false">IF(F28=0,"",Setup!$C$7+Setup!$C$8)</f>
        <v/>
      </c>
      <c r="N28" s="20" t="n">
        <f aca="false">IFERROR(F28*Setup!$C$9,"")</f>
        <v>0</v>
      </c>
      <c r="O28" s="20" t="str">
        <f aca="false">IF(F28=0,"",L28-M28-N28)</f>
        <v/>
      </c>
      <c r="P28" s="20" t="str">
        <f aca="false">IF(OR(F28=0,F27=0),"",F28-F27)</f>
        <v/>
      </c>
      <c r="Q28" s="36" t="str">
        <f aca="false">IFERROR(P28/F27,"")</f>
        <v/>
      </c>
      <c r="R28" s="20" t="n">
        <f aca="false">Wk27!R156</f>
        <v>0</v>
      </c>
      <c r="S28" s="36" t="str">
        <f aca="false">IFERROR(F28/R28-1,"")</f>
        <v/>
      </c>
    </row>
    <row r="29" customFormat="false" ht="15" hidden="false" customHeight="false" outlineLevel="0" collapsed="false">
      <c r="A29" s="12" t="n">
        <v>28</v>
      </c>
      <c r="B29" s="13" t="n">
        <f aca="false">Wk28!B2</f>
        <v>46216</v>
      </c>
      <c r="C29" s="37" t="n">
        <f aca="false">Wk28!D156</f>
        <v>0</v>
      </c>
      <c r="D29" s="37" t="n">
        <f aca="false">Wk28!E156</f>
        <v>0</v>
      </c>
      <c r="E29" s="36" t="str">
        <f aca="false">IFERROR(D29/C29,"")</f>
        <v/>
      </c>
      <c r="F29" s="20" t="n">
        <f aca="false">Wk28!H156</f>
        <v>0</v>
      </c>
      <c r="G29" s="20" t="n">
        <f aca="false">Wk28!M156</f>
        <v>0</v>
      </c>
      <c r="H29" s="20" t="n">
        <f aca="false">IFERROR(F29-G29,"")</f>
        <v>0</v>
      </c>
      <c r="I29" s="20" t="n">
        <f aca="false">Wk28!K156</f>
        <v>0</v>
      </c>
      <c r="J29" s="20" t="str">
        <f aca="false">IFERROR(F29/D29,"")</f>
        <v/>
      </c>
      <c r="K29" s="20" t="n">
        <f aca="false">Wk28!P156</f>
        <v>0</v>
      </c>
      <c r="L29" s="20" t="n">
        <f aca="false">IFERROR(F29-K29,"")</f>
        <v>0</v>
      </c>
      <c r="M29" s="20" t="str">
        <f aca="false">IF(F29=0,"",Setup!$C$7+Setup!$C$8)</f>
        <v/>
      </c>
      <c r="N29" s="20" t="n">
        <f aca="false">IFERROR(F29*Setup!$C$9,"")</f>
        <v>0</v>
      </c>
      <c r="O29" s="20" t="str">
        <f aca="false">IF(F29=0,"",L29-M29-N29)</f>
        <v/>
      </c>
      <c r="P29" s="20" t="str">
        <f aca="false">IF(OR(F29=0,F28=0),"",F29-F28)</f>
        <v/>
      </c>
      <c r="Q29" s="36" t="str">
        <f aca="false">IFERROR(P29/F28,"")</f>
        <v/>
      </c>
      <c r="R29" s="20" t="n">
        <f aca="false">Wk28!R156</f>
        <v>0</v>
      </c>
      <c r="S29" s="36" t="str">
        <f aca="false">IFERROR(F29/R29-1,"")</f>
        <v/>
      </c>
    </row>
    <row r="30" customFormat="false" ht="15" hidden="false" customHeight="false" outlineLevel="0" collapsed="false">
      <c r="A30" s="12" t="n">
        <v>29</v>
      </c>
      <c r="B30" s="13" t="n">
        <f aca="false">Wk29!B2</f>
        <v>46223</v>
      </c>
      <c r="C30" s="37" t="n">
        <f aca="false">Wk29!D156</f>
        <v>0</v>
      </c>
      <c r="D30" s="37" t="n">
        <f aca="false">Wk29!E156</f>
        <v>0</v>
      </c>
      <c r="E30" s="36" t="str">
        <f aca="false">IFERROR(D30/C30,"")</f>
        <v/>
      </c>
      <c r="F30" s="20" t="n">
        <f aca="false">Wk29!H156</f>
        <v>0</v>
      </c>
      <c r="G30" s="20" t="n">
        <f aca="false">Wk29!M156</f>
        <v>0</v>
      </c>
      <c r="H30" s="20" t="n">
        <f aca="false">IFERROR(F30-G30,"")</f>
        <v>0</v>
      </c>
      <c r="I30" s="20" t="n">
        <f aca="false">Wk29!K156</f>
        <v>0</v>
      </c>
      <c r="J30" s="20" t="str">
        <f aca="false">IFERROR(F30/D30,"")</f>
        <v/>
      </c>
      <c r="K30" s="20" t="n">
        <f aca="false">Wk29!P156</f>
        <v>0</v>
      </c>
      <c r="L30" s="20" t="n">
        <f aca="false">IFERROR(F30-K30,"")</f>
        <v>0</v>
      </c>
      <c r="M30" s="20" t="str">
        <f aca="false">IF(F30=0,"",Setup!$C$7+Setup!$C$8)</f>
        <v/>
      </c>
      <c r="N30" s="20" t="n">
        <f aca="false">IFERROR(F30*Setup!$C$9,"")</f>
        <v>0</v>
      </c>
      <c r="O30" s="20" t="str">
        <f aca="false">IF(F30=0,"",L30-M30-N30)</f>
        <v/>
      </c>
      <c r="P30" s="20" t="str">
        <f aca="false">IF(OR(F30=0,F29=0),"",F30-F29)</f>
        <v/>
      </c>
      <c r="Q30" s="36" t="str">
        <f aca="false">IFERROR(P30/F29,"")</f>
        <v/>
      </c>
      <c r="R30" s="20" t="n">
        <f aca="false">Wk29!R156</f>
        <v>0</v>
      </c>
      <c r="S30" s="36" t="str">
        <f aca="false">IFERROR(F30/R30-1,"")</f>
        <v/>
      </c>
    </row>
    <row r="31" customFormat="false" ht="15" hidden="false" customHeight="false" outlineLevel="0" collapsed="false">
      <c r="A31" s="12" t="n">
        <v>30</v>
      </c>
      <c r="B31" s="13" t="n">
        <f aca="false">Wk30!B2</f>
        <v>46230</v>
      </c>
      <c r="C31" s="37" t="n">
        <f aca="false">Wk30!D156</f>
        <v>0</v>
      </c>
      <c r="D31" s="37" t="n">
        <f aca="false">Wk30!E156</f>
        <v>0</v>
      </c>
      <c r="E31" s="36" t="str">
        <f aca="false">IFERROR(D31/C31,"")</f>
        <v/>
      </c>
      <c r="F31" s="20" t="n">
        <f aca="false">Wk30!H156</f>
        <v>0</v>
      </c>
      <c r="G31" s="20" t="n">
        <f aca="false">Wk30!M156</f>
        <v>0</v>
      </c>
      <c r="H31" s="20" t="n">
        <f aca="false">IFERROR(F31-G31,"")</f>
        <v>0</v>
      </c>
      <c r="I31" s="20" t="n">
        <f aca="false">Wk30!K156</f>
        <v>0</v>
      </c>
      <c r="J31" s="20" t="str">
        <f aca="false">IFERROR(F31/D31,"")</f>
        <v/>
      </c>
      <c r="K31" s="20" t="n">
        <f aca="false">Wk30!P156</f>
        <v>0</v>
      </c>
      <c r="L31" s="20" t="n">
        <f aca="false">IFERROR(F31-K31,"")</f>
        <v>0</v>
      </c>
      <c r="M31" s="20" t="str">
        <f aca="false">IF(F31=0,"",Setup!$C$7+Setup!$C$8)</f>
        <v/>
      </c>
      <c r="N31" s="20" t="n">
        <f aca="false">IFERROR(F31*Setup!$C$9,"")</f>
        <v>0</v>
      </c>
      <c r="O31" s="20" t="str">
        <f aca="false">IF(F31=0,"",L31-M31-N31)</f>
        <v/>
      </c>
      <c r="P31" s="20" t="str">
        <f aca="false">IF(OR(F31=0,F30=0),"",F31-F30)</f>
        <v/>
      </c>
      <c r="Q31" s="36" t="str">
        <f aca="false">IFERROR(P31/F30,"")</f>
        <v/>
      </c>
      <c r="R31" s="20" t="n">
        <f aca="false">Wk30!R156</f>
        <v>0</v>
      </c>
      <c r="S31" s="36" t="str">
        <f aca="false">IFERROR(F31/R31-1,"")</f>
        <v/>
      </c>
    </row>
    <row r="32" customFormat="false" ht="15" hidden="false" customHeight="false" outlineLevel="0" collapsed="false">
      <c r="A32" s="12" t="n">
        <v>31</v>
      </c>
      <c r="B32" s="13" t="n">
        <f aca="false">Wk31!B2</f>
        <v>46237</v>
      </c>
      <c r="C32" s="37" t="n">
        <f aca="false">Wk31!D156</f>
        <v>0</v>
      </c>
      <c r="D32" s="37" t="n">
        <f aca="false">Wk31!E156</f>
        <v>0</v>
      </c>
      <c r="E32" s="36" t="str">
        <f aca="false">IFERROR(D32/C32,"")</f>
        <v/>
      </c>
      <c r="F32" s="20" t="n">
        <f aca="false">Wk31!H156</f>
        <v>0</v>
      </c>
      <c r="G32" s="20" t="n">
        <f aca="false">Wk31!M156</f>
        <v>0</v>
      </c>
      <c r="H32" s="20" t="n">
        <f aca="false">IFERROR(F32-G32,"")</f>
        <v>0</v>
      </c>
      <c r="I32" s="20" t="n">
        <f aca="false">Wk31!K156</f>
        <v>0</v>
      </c>
      <c r="J32" s="20" t="str">
        <f aca="false">IFERROR(F32/D32,"")</f>
        <v/>
      </c>
      <c r="K32" s="20" t="n">
        <f aca="false">Wk31!P156</f>
        <v>0</v>
      </c>
      <c r="L32" s="20" t="n">
        <f aca="false">IFERROR(F32-K32,"")</f>
        <v>0</v>
      </c>
      <c r="M32" s="20" t="str">
        <f aca="false">IF(F32=0,"",Setup!$C$7+Setup!$C$8)</f>
        <v/>
      </c>
      <c r="N32" s="20" t="n">
        <f aca="false">IFERROR(F32*Setup!$C$9,"")</f>
        <v>0</v>
      </c>
      <c r="O32" s="20" t="str">
        <f aca="false">IF(F32=0,"",L32-M32-N32)</f>
        <v/>
      </c>
      <c r="P32" s="20" t="str">
        <f aca="false">IF(OR(F32=0,F31=0),"",F32-F31)</f>
        <v/>
      </c>
      <c r="Q32" s="36" t="str">
        <f aca="false">IFERROR(P32/F31,"")</f>
        <v/>
      </c>
      <c r="R32" s="20" t="n">
        <f aca="false">Wk31!R156</f>
        <v>0</v>
      </c>
      <c r="S32" s="36" t="str">
        <f aca="false">IFERROR(F32/R32-1,"")</f>
        <v/>
      </c>
    </row>
    <row r="33" customFormat="false" ht="15" hidden="false" customHeight="false" outlineLevel="0" collapsed="false">
      <c r="A33" s="12" t="n">
        <v>32</v>
      </c>
      <c r="B33" s="13" t="n">
        <f aca="false">Wk32!B2</f>
        <v>46244</v>
      </c>
      <c r="C33" s="37" t="n">
        <f aca="false">Wk32!D156</f>
        <v>0</v>
      </c>
      <c r="D33" s="37" t="n">
        <f aca="false">Wk32!E156</f>
        <v>0</v>
      </c>
      <c r="E33" s="36" t="str">
        <f aca="false">IFERROR(D33/C33,"")</f>
        <v/>
      </c>
      <c r="F33" s="20" t="n">
        <f aca="false">Wk32!H156</f>
        <v>0</v>
      </c>
      <c r="G33" s="20" t="n">
        <f aca="false">Wk32!M156</f>
        <v>0</v>
      </c>
      <c r="H33" s="20" t="n">
        <f aca="false">IFERROR(F33-G33,"")</f>
        <v>0</v>
      </c>
      <c r="I33" s="20" t="n">
        <f aca="false">Wk32!K156</f>
        <v>0</v>
      </c>
      <c r="J33" s="20" t="str">
        <f aca="false">IFERROR(F33/D33,"")</f>
        <v/>
      </c>
      <c r="K33" s="20" t="n">
        <f aca="false">Wk32!P156</f>
        <v>0</v>
      </c>
      <c r="L33" s="20" t="n">
        <f aca="false">IFERROR(F33-K33,"")</f>
        <v>0</v>
      </c>
      <c r="M33" s="20" t="str">
        <f aca="false">IF(F33=0,"",Setup!$C$7+Setup!$C$8)</f>
        <v/>
      </c>
      <c r="N33" s="20" t="n">
        <f aca="false">IFERROR(F33*Setup!$C$9,"")</f>
        <v>0</v>
      </c>
      <c r="O33" s="20" t="str">
        <f aca="false">IF(F33=0,"",L33-M33-N33)</f>
        <v/>
      </c>
      <c r="P33" s="20" t="str">
        <f aca="false">IF(OR(F33=0,F32=0),"",F33-F32)</f>
        <v/>
      </c>
      <c r="Q33" s="36" t="str">
        <f aca="false">IFERROR(P33/F32,"")</f>
        <v/>
      </c>
      <c r="R33" s="20" t="n">
        <f aca="false">Wk32!R156</f>
        <v>0</v>
      </c>
      <c r="S33" s="36" t="str">
        <f aca="false">IFERROR(F33/R33-1,"")</f>
        <v/>
      </c>
    </row>
    <row r="34" customFormat="false" ht="15" hidden="false" customHeight="false" outlineLevel="0" collapsed="false">
      <c r="A34" s="12" t="n">
        <v>33</v>
      </c>
      <c r="B34" s="13" t="n">
        <f aca="false">Wk33!B2</f>
        <v>46251</v>
      </c>
      <c r="C34" s="37" t="n">
        <f aca="false">Wk33!D156</f>
        <v>0</v>
      </c>
      <c r="D34" s="37" t="n">
        <f aca="false">Wk33!E156</f>
        <v>0</v>
      </c>
      <c r="E34" s="36" t="str">
        <f aca="false">IFERROR(D34/C34,"")</f>
        <v/>
      </c>
      <c r="F34" s="20" t="n">
        <f aca="false">Wk33!H156</f>
        <v>0</v>
      </c>
      <c r="G34" s="20" t="n">
        <f aca="false">Wk33!M156</f>
        <v>0</v>
      </c>
      <c r="H34" s="20" t="n">
        <f aca="false">IFERROR(F34-G34,"")</f>
        <v>0</v>
      </c>
      <c r="I34" s="20" t="n">
        <f aca="false">Wk33!K156</f>
        <v>0</v>
      </c>
      <c r="J34" s="20" t="str">
        <f aca="false">IFERROR(F34/D34,"")</f>
        <v/>
      </c>
      <c r="K34" s="20" t="n">
        <f aca="false">Wk33!P156</f>
        <v>0</v>
      </c>
      <c r="L34" s="20" t="n">
        <f aca="false">IFERROR(F34-K34,"")</f>
        <v>0</v>
      </c>
      <c r="M34" s="20" t="str">
        <f aca="false">IF(F34=0,"",Setup!$C$7+Setup!$C$8)</f>
        <v/>
      </c>
      <c r="N34" s="20" t="n">
        <f aca="false">IFERROR(F34*Setup!$C$9,"")</f>
        <v>0</v>
      </c>
      <c r="O34" s="20" t="str">
        <f aca="false">IF(F34=0,"",L34-M34-N34)</f>
        <v/>
      </c>
      <c r="P34" s="20" t="str">
        <f aca="false">IF(OR(F34=0,F33=0),"",F34-F33)</f>
        <v/>
      </c>
      <c r="Q34" s="36" t="str">
        <f aca="false">IFERROR(P34/F33,"")</f>
        <v/>
      </c>
      <c r="R34" s="20" t="n">
        <f aca="false">Wk33!R156</f>
        <v>0</v>
      </c>
      <c r="S34" s="36" t="str">
        <f aca="false">IFERROR(F34/R34-1,"")</f>
        <v/>
      </c>
    </row>
    <row r="35" customFormat="false" ht="15" hidden="false" customHeight="false" outlineLevel="0" collapsed="false">
      <c r="A35" s="12" t="n">
        <v>34</v>
      </c>
      <c r="B35" s="13" t="n">
        <f aca="false">Wk34!B2</f>
        <v>46258</v>
      </c>
      <c r="C35" s="37" t="n">
        <f aca="false">Wk34!D156</f>
        <v>0</v>
      </c>
      <c r="D35" s="37" t="n">
        <f aca="false">Wk34!E156</f>
        <v>0</v>
      </c>
      <c r="E35" s="36" t="str">
        <f aca="false">IFERROR(D35/C35,"")</f>
        <v/>
      </c>
      <c r="F35" s="20" t="n">
        <f aca="false">Wk34!H156</f>
        <v>0</v>
      </c>
      <c r="G35" s="20" t="n">
        <f aca="false">Wk34!M156</f>
        <v>0</v>
      </c>
      <c r="H35" s="20" t="n">
        <f aca="false">IFERROR(F35-G35,"")</f>
        <v>0</v>
      </c>
      <c r="I35" s="20" t="n">
        <f aca="false">Wk34!K156</f>
        <v>0</v>
      </c>
      <c r="J35" s="20" t="str">
        <f aca="false">IFERROR(F35/D35,"")</f>
        <v/>
      </c>
      <c r="K35" s="20" t="n">
        <f aca="false">Wk34!P156</f>
        <v>0</v>
      </c>
      <c r="L35" s="20" t="n">
        <f aca="false">IFERROR(F35-K35,"")</f>
        <v>0</v>
      </c>
      <c r="M35" s="20" t="str">
        <f aca="false">IF(F35=0,"",Setup!$C$7+Setup!$C$8)</f>
        <v/>
      </c>
      <c r="N35" s="20" t="n">
        <f aca="false">IFERROR(F35*Setup!$C$9,"")</f>
        <v>0</v>
      </c>
      <c r="O35" s="20" t="str">
        <f aca="false">IF(F35=0,"",L35-M35-N35)</f>
        <v/>
      </c>
      <c r="P35" s="20" t="str">
        <f aca="false">IF(OR(F35=0,F34=0),"",F35-F34)</f>
        <v/>
      </c>
      <c r="Q35" s="36" t="str">
        <f aca="false">IFERROR(P35/F34,"")</f>
        <v/>
      </c>
      <c r="R35" s="20" t="n">
        <f aca="false">Wk34!R156</f>
        <v>0</v>
      </c>
      <c r="S35" s="36" t="str">
        <f aca="false">IFERROR(F35/R35-1,"")</f>
        <v/>
      </c>
    </row>
    <row r="36" customFormat="false" ht="15" hidden="false" customHeight="false" outlineLevel="0" collapsed="false">
      <c r="A36" s="12" t="n">
        <v>35</v>
      </c>
      <c r="B36" s="13" t="n">
        <f aca="false">Wk35!B2</f>
        <v>46265</v>
      </c>
      <c r="C36" s="37" t="n">
        <f aca="false">Wk35!D156</f>
        <v>0</v>
      </c>
      <c r="D36" s="37" t="n">
        <f aca="false">Wk35!E156</f>
        <v>0</v>
      </c>
      <c r="E36" s="36" t="str">
        <f aca="false">IFERROR(D36/C36,"")</f>
        <v/>
      </c>
      <c r="F36" s="20" t="n">
        <f aca="false">Wk35!H156</f>
        <v>0</v>
      </c>
      <c r="G36" s="20" t="n">
        <f aca="false">Wk35!M156</f>
        <v>0</v>
      </c>
      <c r="H36" s="20" t="n">
        <f aca="false">IFERROR(F36-G36,"")</f>
        <v>0</v>
      </c>
      <c r="I36" s="20" t="n">
        <f aca="false">Wk35!K156</f>
        <v>0</v>
      </c>
      <c r="J36" s="20" t="str">
        <f aca="false">IFERROR(F36/D36,"")</f>
        <v/>
      </c>
      <c r="K36" s="20" t="n">
        <f aca="false">Wk35!P156</f>
        <v>0</v>
      </c>
      <c r="L36" s="20" t="n">
        <f aca="false">IFERROR(F36-K36,"")</f>
        <v>0</v>
      </c>
      <c r="M36" s="20" t="str">
        <f aca="false">IF(F36=0,"",Setup!$C$7+Setup!$C$8)</f>
        <v/>
      </c>
      <c r="N36" s="20" t="n">
        <f aca="false">IFERROR(F36*Setup!$C$9,"")</f>
        <v>0</v>
      </c>
      <c r="O36" s="20" t="str">
        <f aca="false">IF(F36=0,"",L36-M36-N36)</f>
        <v/>
      </c>
      <c r="P36" s="20" t="str">
        <f aca="false">IF(OR(F36=0,F35=0),"",F36-F35)</f>
        <v/>
      </c>
      <c r="Q36" s="36" t="str">
        <f aca="false">IFERROR(P36/F35,"")</f>
        <v/>
      </c>
      <c r="R36" s="20" t="n">
        <f aca="false">Wk35!R156</f>
        <v>0</v>
      </c>
      <c r="S36" s="36" t="str">
        <f aca="false">IFERROR(F36/R36-1,"")</f>
        <v/>
      </c>
    </row>
    <row r="37" customFormat="false" ht="15" hidden="false" customHeight="false" outlineLevel="0" collapsed="false">
      <c r="A37" s="12" t="n">
        <v>36</v>
      </c>
      <c r="B37" s="13" t="n">
        <f aca="false">Wk36!B2</f>
        <v>46272</v>
      </c>
      <c r="C37" s="37" t="n">
        <f aca="false">Wk36!D156</f>
        <v>0</v>
      </c>
      <c r="D37" s="37" t="n">
        <f aca="false">Wk36!E156</f>
        <v>0</v>
      </c>
      <c r="E37" s="36" t="str">
        <f aca="false">IFERROR(D37/C37,"")</f>
        <v/>
      </c>
      <c r="F37" s="20" t="n">
        <f aca="false">Wk36!H156</f>
        <v>0</v>
      </c>
      <c r="G37" s="20" t="n">
        <f aca="false">Wk36!M156</f>
        <v>0</v>
      </c>
      <c r="H37" s="20" t="n">
        <f aca="false">IFERROR(F37-G37,"")</f>
        <v>0</v>
      </c>
      <c r="I37" s="20" t="n">
        <f aca="false">Wk36!K156</f>
        <v>0</v>
      </c>
      <c r="J37" s="20" t="str">
        <f aca="false">IFERROR(F37/D37,"")</f>
        <v/>
      </c>
      <c r="K37" s="20" t="n">
        <f aca="false">Wk36!P156</f>
        <v>0</v>
      </c>
      <c r="L37" s="20" t="n">
        <f aca="false">IFERROR(F37-K37,"")</f>
        <v>0</v>
      </c>
      <c r="M37" s="20" t="str">
        <f aca="false">IF(F37=0,"",Setup!$C$7+Setup!$C$8)</f>
        <v/>
      </c>
      <c r="N37" s="20" t="n">
        <f aca="false">IFERROR(F37*Setup!$C$9,"")</f>
        <v>0</v>
      </c>
      <c r="O37" s="20" t="str">
        <f aca="false">IF(F37=0,"",L37-M37-N37)</f>
        <v/>
      </c>
      <c r="P37" s="20" t="str">
        <f aca="false">IF(OR(F37=0,F36=0),"",F37-F36)</f>
        <v/>
      </c>
      <c r="Q37" s="36" t="str">
        <f aca="false">IFERROR(P37/F36,"")</f>
        <v/>
      </c>
      <c r="R37" s="20" t="n">
        <f aca="false">Wk36!R156</f>
        <v>0</v>
      </c>
      <c r="S37" s="36" t="str">
        <f aca="false">IFERROR(F37/R37-1,"")</f>
        <v/>
      </c>
    </row>
    <row r="38" customFormat="false" ht="15" hidden="false" customHeight="false" outlineLevel="0" collapsed="false">
      <c r="A38" s="12" t="n">
        <v>37</v>
      </c>
      <c r="B38" s="13" t="n">
        <f aca="false">Wk37!B2</f>
        <v>46279</v>
      </c>
      <c r="C38" s="37" t="n">
        <f aca="false">Wk37!D156</f>
        <v>0</v>
      </c>
      <c r="D38" s="37" t="n">
        <f aca="false">Wk37!E156</f>
        <v>0</v>
      </c>
      <c r="E38" s="36" t="str">
        <f aca="false">IFERROR(D38/C38,"")</f>
        <v/>
      </c>
      <c r="F38" s="20" t="n">
        <f aca="false">Wk37!H156</f>
        <v>0</v>
      </c>
      <c r="G38" s="20" t="n">
        <f aca="false">Wk37!M156</f>
        <v>0</v>
      </c>
      <c r="H38" s="20" t="n">
        <f aca="false">IFERROR(F38-G38,"")</f>
        <v>0</v>
      </c>
      <c r="I38" s="20" t="n">
        <f aca="false">Wk37!K156</f>
        <v>0</v>
      </c>
      <c r="J38" s="20" t="str">
        <f aca="false">IFERROR(F38/D38,"")</f>
        <v/>
      </c>
      <c r="K38" s="20" t="n">
        <f aca="false">Wk37!P156</f>
        <v>0</v>
      </c>
      <c r="L38" s="20" t="n">
        <f aca="false">IFERROR(F38-K38,"")</f>
        <v>0</v>
      </c>
      <c r="M38" s="20" t="str">
        <f aca="false">IF(F38=0,"",Setup!$C$7+Setup!$C$8)</f>
        <v/>
      </c>
      <c r="N38" s="20" t="n">
        <f aca="false">IFERROR(F38*Setup!$C$9,"")</f>
        <v>0</v>
      </c>
      <c r="O38" s="20" t="str">
        <f aca="false">IF(F38=0,"",L38-M38-N38)</f>
        <v/>
      </c>
      <c r="P38" s="20" t="str">
        <f aca="false">IF(OR(F38=0,F37=0),"",F38-F37)</f>
        <v/>
      </c>
      <c r="Q38" s="36" t="str">
        <f aca="false">IFERROR(P38/F37,"")</f>
        <v/>
      </c>
      <c r="R38" s="20" t="n">
        <f aca="false">Wk37!R156</f>
        <v>0</v>
      </c>
      <c r="S38" s="36" t="str">
        <f aca="false">IFERROR(F38/R38-1,"")</f>
        <v/>
      </c>
    </row>
    <row r="39" customFormat="false" ht="15" hidden="false" customHeight="false" outlineLevel="0" collapsed="false">
      <c r="A39" s="12" t="n">
        <v>38</v>
      </c>
      <c r="B39" s="13" t="n">
        <f aca="false">Wk38!B2</f>
        <v>46286</v>
      </c>
      <c r="C39" s="37" t="n">
        <f aca="false">Wk38!D156</f>
        <v>0</v>
      </c>
      <c r="D39" s="37" t="n">
        <f aca="false">Wk38!E156</f>
        <v>0</v>
      </c>
      <c r="E39" s="36" t="str">
        <f aca="false">IFERROR(D39/C39,"")</f>
        <v/>
      </c>
      <c r="F39" s="20" t="n">
        <f aca="false">Wk38!H156</f>
        <v>0</v>
      </c>
      <c r="G39" s="20" t="n">
        <f aca="false">Wk38!M156</f>
        <v>0</v>
      </c>
      <c r="H39" s="20" t="n">
        <f aca="false">IFERROR(F39-G39,"")</f>
        <v>0</v>
      </c>
      <c r="I39" s="20" t="n">
        <f aca="false">Wk38!K156</f>
        <v>0</v>
      </c>
      <c r="J39" s="20" t="str">
        <f aca="false">IFERROR(F39/D39,"")</f>
        <v/>
      </c>
      <c r="K39" s="20" t="n">
        <f aca="false">Wk38!P156</f>
        <v>0</v>
      </c>
      <c r="L39" s="20" t="n">
        <f aca="false">IFERROR(F39-K39,"")</f>
        <v>0</v>
      </c>
      <c r="M39" s="20" t="str">
        <f aca="false">IF(F39=0,"",Setup!$C$7+Setup!$C$8)</f>
        <v/>
      </c>
      <c r="N39" s="20" t="n">
        <f aca="false">IFERROR(F39*Setup!$C$9,"")</f>
        <v>0</v>
      </c>
      <c r="O39" s="20" t="str">
        <f aca="false">IF(F39=0,"",L39-M39-N39)</f>
        <v/>
      </c>
      <c r="P39" s="20" t="str">
        <f aca="false">IF(OR(F39=0,F38=0),"",F39-F38)</f>
        <v/>
      </c>
      <c r="Q39" s="36" t="str">
        <f aca="false">IFERROR(P39/F38,"")</f>
        <v/>
      </c>
      <c r="R39" s="20" t="n">
        <f aca="false">Wk38!R156</f>
        <v>0</v>
      </c>
      <c r="S39" s="36" t="str">
        <f aca="false">IFERROR(F39/R39-1,"")</f>
        <v/>
      </c>
    </row>
    <row r="40" customFormat="false" ht="15" hidden="false" customHeight="false" outlineLevel="0" collapsed="false">
      <c r="A40" s="12" t="n">
        <v>39</v>
      </c>
      <c r="B40" s="13" t="n">
        <f aca="false">Wk39!B2</f>
        <v>46293</v>
      </c>
      <c r="C40" s="37" t="n">
        <f aca="false">Wk39!D156</f>
        <v>0</v>
      </c>
      <c r="D40" s="37" t="n">
        <f aca="false">Wk39!E156</f>
        <v>0</v>
      </c>
      <c r="E40" s="36" t="str">
        <f aca="false">IFERROR(D40/C40,"")</f>
        <v/>
      </c>
      <c r="F40" s="20" t="n">
        <f aca="false">Wk39!H156</f>
        <v>0</v>
      </c>
      <c r="G40" s="20" t="n">
        <f aca="false">Wk39!M156</f>
        <v>0</v>
      </c>
      <c r="H40" s="20" t="n">
        <f aca="false">IFERROR(F40-G40,"")</f>
        <v>0</v>
      </c>
      <c r="I40" s="20" t="n">
        <f aca="false">Wk39!K156</f>
        <v>0</v>
      </c>
      <c r="J40" s="20" t="str">
        <f aca="false">IFERROR(F40/D40,"")</f>
        <v/>
      </c>
      <c r="K40" s="20" t="n">
        <f aca="false">Wk39!P156</f>
        <v>0</v>
      </c>
      <c r="L40" s="20" t="n">
        <f aca="false">IFERROR(F40-K40,"")</f>
        <v>0</v>
      </c>
      <c r="M40" s="20" t="str">
        <f aca="false">IF(F40=0,"",Setup!$C$7+Setup!$C$8)</f>
        <v/>
      </c>
      <c r="N40" s="20" t="n">
        <f aca="false">IFERROR(F40*Setup!$C$9,"")</f>
        <v>0</v>
      </c>
      <c r="O40" s="20" t="str">
        <f aca="false">IF(F40=0,"",L40-M40-N40)</f>
        <v/>
      </c>
      <c r="P40" s="20" t="str">
        <f aca="false">IF(OR(F40=0,F39=0),"",F40-F39)</f>
        <v/>
      </c>
      <c r="Q40" s="36" t="str">
        <f aca="false">IFERROR(P40/F39,"")</f>
        <v/>
      </c>
      <c r="R40" s="20" t="n">
        <f aca="false">Wk39!R156</f>
        <v>0</v>
      </c>
      <c r="S40" s="36" t="str">
        <f aca="false">IFERROR(F40/R40-1,"")</f>
        <v/>
      </c>
    </row>
    <row r="41" customFormat="false" ht="15" hidden="false" customHeight="false" outlineLevel="0" collapsed="false">
      <c r="A41" s="12" t="n">
        <v>40</v>
      </c>
      <c r="B41" s="13" t="n">
        <f aca="false">Wk40!B2</f>
        <v>46300</v>
      </c>
      <c r="C41" s="37" t="n">
        <f aca="false">Wk40!D156</f>
        <v>0</v>
      </c>
      <c r="D41" s="37" t="n">
        <f aca="false">Wk40!E156</f>
        <v>0</v>
      </c>
      <c r="E41" s="36" t="str">
        <f aca="false">IFERROR(D41/C41,"")</f>
        <v/>
      </c>
      <c r="F41" s="20" t="n">
        <f aca="false">Wk40!H156</f>
        <v>0</v>
      </c>
      <c r="G41" s="20" t="n">
        <f aca="false">Wk40!M156</f>
        <v>0</v>
      </c>
      <c r="H41" s="20" t="n">
        <f aca="false">IFERROR(F41-G41,"")</f>
        <v>0</v>
      </c>
      <c r="I41" s="20" t="n">
        <f aca="false">Wk40!K156</f>
        <v>0</v>
      </c>
      <c r="J41" s="20" t="str">
        <f aca="false">IFERROR(F41/D41,"")</f>
        <v/>
      </c>
      <c r="K41" s="20" t="n">
        <f aca="false">Wk40!P156</f>
        <v>0</v>
      </c>
      <c r="L41" s="20" t="n">
        <f aca="false">IFERROR(F41-K41,"")</f>
        <v>0</v>
      </c>
      <c r="M41" s="20" t="str">
        <f aca="false">IF(F41=0,"",Setup!$C$7+Setup!$C$8)</f>
        <v/>
      </c>
      <c r="N41" s="20" t="n">
        <f aca="false">IFERROR(F41*Setup!$C$9,"")</f>
        <v>0</v>
      </c>
      <c r="O41" s="20" t="str">
        <f aca="false">IF(F41=0,"",L41-M41-N41)</f>
        <v/>
      </c>
      <c r="P41" s="20" t="str">
        <f aca="false">IF(OR(F41=0,F40=0),"",F41-F40)</f>
        <v/>
      </c>
      <c r="Q41" s="36" t="str">
        <f aca="false">IFERROR(P41/F40,"")</f>
        <v/>
      </c>
      <c r="R41" s="20" t="n">
        <f aca="false">Wk40!R156</f>
        <v>0</v>
      </c>
      <c r="S41" s="36" t="str">
        <f aca="false">IFERROR(F41/R41-1,"")</f>
        <v/>
      </c>
    </row>
    <row r="42" customFormat="false" ht="15" hidden="false" customHeight="false" outlineLevel="0" collapsed="false">
      <c r="A42" s="12" t="n">
        <v>41</v>
      </c>
      <c r="B42" s="13" t="n">
        <f aca="false">Wk41!B2</f>
        <v>46307</v>
      </c>
      <c r="C42" s="37" t="n">
        <f aca="false">Wk41!D156</f>
        <v>0</v>
      </c>
      <c r="D42" s="37" t="n">
        <f aca="false">Wk41!E156</f>
        <v>0</v>
      </c>
      <c r="E42" s="36" t="str">
        <f aca="false">IFERROR(D42/C42,"")</f>
        <v/>
      </c>
      <c r="F42" s="20" t="n">
        <f aca="false">Wk41!H156</f>
        <v>0</v>
      </c>
      <c r="G42" s="20" t="n">
        <f aca="false">Wk41!M156</f>
        <v>0</v>
      </c>
      <c r="H42" s="20" t="n">
        <f aca="false">IFERROR(F42-G42,"")</f>
        <v>0</v>
      </c>
      <c r="I42" s="20" t="n">
        <f aca="false">Wk41!K156</f>
        <v>0</v>
      </c>
      <c r="J42" s="20" t="str">
        <f aca="false">IFERROR(F42/D42,"")</f>
        <v/>
      </c>
      <c r="K42" s="20" t="n">
        <f aca="false">Wk41!P156</f>
        <v>0</v>
      </c>
      <c r="L42" s="20" t="n">
        <f aca="false">IFERROR(F42-K42,"")</f>
        <v>0</v>
      </c>
      <c r="M42" s="20" t="str">
        <f aca="false">IF(F42=0,"",Setup!$C$7+Setup!$C$8)</f>
        <v/>
      </c>
      <c r="N42" s="20" t="n">
        <f aca="false">IFERROR(F42*Setup!$C$9,"")</f>
        <v>0</v>
      </c>
      <c r="O42" s="20" t="str">
        <f aca="false">IF(F42=0,"",L42-M42-N42)</f>
        <v/>
      </c>
      <c r="P42" s="20" t="str">
        <f aca="false">IF(OR(F42=0,F41=0),"",F42-F41)</f>
        <v/>
      </c>
      <c r="Q42" s="36" t="str">
        <f aca="false">IFERROR(P42/F41,"")</f>
        <v/>
      </c>
      <c r="R42" s="20" t="n">
        <f aca="false">Wk41!R156</f>
        <v>0</v>
      </c>
      <c r="S42" s="36" t="str">
        <f aca="false">IFERROR(F42/R42-1,"")</f>
        <v/>
      </c>
    </row>
    <row r="43" customFormat="false" ht="15" hidden="false" customHeight="false" outlineLevel="0" collapsed="false">
      <c r="A43" s="12" t="n">
        <v>42</v>
      </c>
      <c r="B43" s="13" t="n">
        <f aca="false">Wk42!B2</f>
        <v>46314</v>
      </c>
      <c r="C43" s="37" t="n">
        <f aca="false">Wk42!D156</f>
        <v>0</v>
      </c>
      <c r="D43" s="37" t="n">
        <f aca="false">Wk42!E156</f>
        <v>0</v>
      </c>
      <c r="E43" s="36" t="str">
        <f aca="false">IFERROR(D43/C43,"")</f>
        <v/>
      </c>
      <c r="F43" s="20" t="n">
        <f aca="false">Wk42!H156</f>
        <v>0</v>
      </c>
      <c r="G43" s="20" t="n">
        <f aca="false">Wk42!M156</f>
        <v>0</v>
      </c>
      <c r="H43" s="20" t="n">
        <f aca="false">IFERROR(F43-G43,"")</f>
        <v>0</v>
      </c>
      <c r="I43" s="20" t="n">
        <f aca="false">Wk42!K156</f>
        <v>0</v>
      </c>
      <c r="J43" s="20" t="str">
        <f aca="false">IFERROR(F43/D43,"")</f>
        <v/>
      </c>
      <c r="K43" s="20" t="n">
        <f aca="false">Wk42!P156</f>
        <v>0</v>
      </c>
      <c r="L43" s="20" t="n">
        <f aca="false">IFERROR(F43-K43,"")</f>
        <v>0</v>
      </c>
      <c r="M43" s="20" t="str">
        <f aca="false">IF(F43=0,"",Setup!$C$7+Setup!$C$8)</f>
        <v/>
      </c>
      <c r="N43" s="20" t="n">
        <f aca="false">IFERROR(F43*Setup!$C$9,"")</f>
        <v>0</v>
      </c>
      <c r="O43" s="20" t="str">
        <f aca="false">IF(F43=0,"",L43-M43-N43)</f>
        <v/>
      </c>
      <c r="P43" s="20" t="str">
        <f aca="false">IF(OR(F43=0,F42=0),"",F43-F42)</f>
        <v/>
      </c>
      <c r="Q43" s="36" t="str">
        <f aca="false">IFERROR(P43/F42,"")</f>
        <v/>
      </c>
      <c r="R43" s="20" t="n">
        <f aca="false">Wk42!R156</f>
        <v>0</v>
      </c>
      <c r="S43" s="36" t="str">
        <f aca="false">IFERROR(F43/R43-1,"")</f>
        <v/>
      </c>
    </row>
    <row r="44" customFormat="false" ht="15" hidden="false" customHeight="false" outlineLevel="0" collapsed="false">
      <c r="A44" s="12" t="n">
        <v>43</v>
      </c>
      <c r="B44" s="13" t="n">
        <f aca="false">Wk43!B2</f>
        <v>46321</v>
      </c>
      <c r="C44" s="37" t="n">
        <f aca="false">Wk43!D156</f>
        <v>0</v>
      </c>
      <c r="D44" s="37" t="n">
        <f aca="false">Wk43!E156</f>
        <v>0</v>
      </c>
      <c r="E44" s="36" t="str">
        <f aca="false">IFERROR(D44/C44,"")</f>
        <v/>
      </c>
      <c r="F44" s="20" t="n">
        <f aca="false">Wk43!H156</f>
        <v>0</v>
      </c>
      <c r="G44" s="20" t="n">
        <f aca="false">Wk43!M156</f>
        <v>0</v>
      </c>
      <c r="H44" s="20" t="n">
        <f aca="false">IFERROR(F44-G44,"")</f>
        <v>0</v>
      </c>
      <c r="I44" s="20" t="n">
        <f aca="false">Wk43!K156</f>
        <v>0</v>
      </c>
      <c r="J44" s="20" t="str">
        <f aca="false">IFERROR(F44/D44,"")</f>
        <v/>
      </c>
      <c r="K44" s="20" t="n">
        <f aca="false">Wk43!P156</f>
        <v>0</v>
      </c>
      <c r="L44" s="20" t="n">
        <f aca="false">IFERROR(F44-K44,"")</f>
        <v>0</v>
      </c>
      <c r="M44" s="20" t="str">
        <f aca="false">IF(F44=0,"",Setup!$C$7+Setup!$C$8)</f>
        <v/>
      </c>
      <c r="N44" s="20" t="n">
        <f aca="false">IFERROR(F44*Setup!$C$9,"")</f>
        <v>0</v>
      </c>
      <c r="O44" s="20" t="str">
        <f aca="false">IF(F44=0,"",L44-M44-N44)</f>
        <v/>
      </c>
      <c r="P44" s="20" t="str">
        <f aca="false">IF(OR(F44=0,F43=0),"",F44-F43)</f>
        <v/>
      </c>
      <c r="Q44" s="36" t="str">
        <f aca="false">IFERROR(P44/F43,"")</f>
        <v/>
      </c>
      <c r="R44" s="20" t="n">
        <f aca="false">Wk43!R156</f>
        <v>0</v>
      </c>
      <c r="S44" s="36" t="str">
        <f aca="false">IFERROR(F44/R44-1,"")</f>
        <v/>
      </c>
    </row>
    <row r="45" customFormat="false" ht="15" hidden="false" customHeight="false" outlineLevel="0" collapsed="false">
      <c r="A45" s="12" t="n">
        <v>44</v>
      </c>
      <c r="B45" s="13" t="n">
        <f aca="false">Wk44!B2</f>
        <v>46328</v>
      </c>
      <c r="C45" s="37" t="n">
        <f aca="false">Wk44!D156</f>
        <v>0</v>
      </c>
      <c r="D45" s="37" t="n">
        <f aca="false">Wk44!E156</f>
        <v>0</v>
      </c>
      <c r="E45" s="36" t="str">
        <f aca="false">IFERROR(D45/C45,"")</f>
        <v/>
      </c>
      <c r="F45" s="20" t="n">
        <f aca="false">Wk44!H156</f>
        <v>0</v>
      </c>
      <c r="G45" s="20" t="n">
        <f aca="false">Wk44!M156</f>
        <v>0</v>
      </c>
      <c r="H45" s="20" t="n">
        <f aca="false">IFERROR(F45-G45,"")</f>
        <v>0</v>
      </c>
      <c r="I45" s="20" t="n">
        <f aca="false">Wk44!K156</f>
        <v>0</v>
      </c>
      <c r="J45" s="20" t="str">
        <f aca="false">IFERROR(F45/D45,"")</f>
        <v/>
      </c>
      <c r="K45" s="20" t="n">
        <f aca="false">Wk44!P156</f>
        <v>0</v>
      </c>
      <c r="L45" s="20" t="n">
        <f aca="false">IFERROR(F45-K45,"")</f>
        <v>0</v>
      </c>
      <c r="M45" s="20" t="str">
        <f aca="false">IF(F45=0,"",Setup!$C$7+Setup!$C$8)</f>
        <v/>
      </c>
      <c r="N45" s="20" t="n">
        <f aca="false">IFERROR(F45*Setup!$C$9,"")</f>
        <v>0</v>
      </c>
      <c r="O45" s="20" t="str">
        <f aca="false">IF(F45=0,"",L45-M45-N45)</f>
        <v/>
      </c>
      <c r="P45" s="20" t="str">
        <f aca="false">IF(OR(F45=0,F44=0),"",F45-F44)</f>
        <v/>
      </c>
      <c r="Q45" s="36" t="str">
        <f aca="false">IFERROR(P45/F44,"")</f>
        <v/>
      </c>
      <c r="R45" s="20" t="n">
        <f aca="false">Wk44!R156</f>
        <v>0</v>
      </c>
      <c r="S45" s="36" t="str">
        <f aca="false">IFERROR(F45/R45-1,"")</f>
        <v/>
      </c>
    </row>
    <row r="46" customFormat="false" ht="15" hidden="false" customHeight="false" outlineLevel="0" collapsed="false">
      <c r="A46" s="12" t="n">
        <v>45</v>
      </c>
      <c r="B46" s="13" t="n">
        <f aca="false">Wk45!B2</f>
        <v>46335</v>
      </c>
      <c r="C46" s="37" t="n">
        <f aca="false">Wk45!D156</f>
        <v>0</v>
      </c>
      <c r="D46" s="37" t="n">
        <f aca="false">Wk45!E156</f>
        <v>0</v>
      </c>
      <c r="E46" s="36" t="str">
        <f aca="false">IFERROR(D46/C46,"")</f>
        <v/>
      </c>
      <c r="F46" s="20" t="n">
        <f aca="false">Wk45!H156</f>
        <v>0</v>
      </c>
      <c r="G46" s="20" t="n">
        <f aca="false">Wk45!M156</f>
        <v>0</v>
      </c>
      <c r="H46" s="20" t="n">
        <f aca="false">IFERROR(F46-G46,"")</f>
        <v>0</v>
      </c>
      <c r="I46" s="20" t="n">
        <f aca="false">Wk45!K156</f>
        <v>0</v>
      </c>
      <c r="J46" s="20" t="str">
        <f aca="false">IFERROR(F46/D46,"")</f>
        <v/>
      </c>
      <c r="K46" s="20" t="n">
        <f aca="false">Wk45!P156</f>
        <v>0</v>
      </c>
      <c r="L46" s="20" t="n">
        <f aca="false">IFERROR(F46-K46,"")</f>
        <v>0</v>
      </c>
      <c r="M46" s="20" t="str">
        <f aca="false">IF(F46=0,"",Setup!$C$7+Setup!$C$8)</f>
        <v/>
      </c>
      <c r="N46" s="20" t="n">
        <f aca="false">IFERROR(F46*Setup!$C$9,"")</f>
        <v>0</v>
      </c>
      <c r="O46" s="20" t="str">
        <f aca="false">IF(F46=0,"",L46-M46-N46)</f>
        <v/>
      </c>
      <c r="P46" s="20" t="str">
        <f aca="false">IF(OR(F46=0,F45=0),"",F46-F45)</f>
        <v/>
      </c>
      <c r="Q46" s="36" t="str">
        <f aca="false">IFERROR(P46/F45,"")</f>
        <v/>
      </c>
      <c r="R46" s="20" t="n">
        <f aca="false">Wk45!R156</f>
        <v>0</v>
      </c>
      <c r="S46" s="36" t="str">
        <f aca="false">IFERROR(F46/R46-1,"")</f>
        <v/>
      </c>
    </row>
    <row r="47" customFormat="false" ht="15" hidden="false" customHeight="false" outlineLevel="0" collapsed="false">
      <c r="A47" s="12" t="n">
        <v>46</v>
      </c>
      <c r="B47" s="13" t="n">
        <f aca="false">Wk46!B2</f>
        <v>46342</v>
      </c>
      <c r="C47" s="37" t="n">
        <f aca="false">Wk46!D156</f>
        <v>0</v>
      </c>
      <c r="D47" s="37" t="n">
        <f aca="false">Wk46!E156</f>
        <v>0</v>
      </c>
      <c r="E47" s="36" t="str">
        <f aca="false">IFERROR(D47/C47,"")</f>
        <v/>
      </c>
      <c r="F47" s="20" t="n">
        <f aca="false">Wk46!H156</f>
        <v>0</v>
      </c>
      <c r="G47" s="20" t="n">
        <f aca="false">Wk46!M156</f>
        <v>0</v>
      </c>
      <c r="H47" s="20" t="n">
        <f aca="false">IFERROR(F47-G47,"")</f>
        <v>0</v>
      </c>
      <c r="I47" s="20" t="n">
        <f aca="false">Wk46!K156</f>
        <v>0</v>
      </c>
      <c r="J47" s="20" t="str">
        <f aca="false">IFERROR(F47/D47,"")</f>
        <v/>
      </c>
      <c r="K47" s="20" t="n">
        <f aca="false">Wk46!P156</f>
        <v>0</v>
      </c>
      <c r="L47" s="20" t="n">
        <f aca="false">IFERROR(F47-K47,"")</f>
        <v>0</v>
      </c>
      <c r="M47" s="20" t="str">
        <f aca="false">IF(F47=0,"",Setup!$C$7+Setup!$C$8)</f>
        <v/>
      </c>
      <c r="N47" s="20" t="n">
        <f aca="false">IFERROR(F47*Setup!$C$9,"")</f>
        <v>0</v>
      </c>
      <c r="O47" s="20" t="str">
        <f aca="false">IF(F47=0,"",L47-M47-N47)</f>
        <v/>
      </c>
      <c r="P47" s="20" t="str">
        <f aca="false">IF(OR(F47=0,F46=0),"",F47-F46)</f>
        <v/>
      </c>
      <c r="Q47" s="36" t="str">
        <f aca="false">IFERROR(P47/F46,"")</f>
        <v/>
      </c>
      <c r="R47" s="20" t="n">
        <f aca="false">Wk46!R156</f>
        <v>0</v>
      </c>
      <c r="S47" s="36" t="str">
        <f aca="false">IFERROR(F47/R47-1,"")</f>
        <v/>
      </c>
    </row>
    <row r="48" customFormat="false" ht="15" hidden="false" customHeight="false" outlineLevel="0" collapsed="false">
      <c r="A48" s="12" t="n">
        <v>47</v>
      </c>
      <c r="B48" s="13" t="n">
        <f aca="false">Wk47!B2</f>
        <v>46349</v>
      </c>
      <c r="C48" s="37" t="n">
        <f aca="false">Wk47!D156</f>
        <v>0</v>
      </c>
      <c r="D48" s="37" t="n">
        <f aca="false">Wk47!E156</f>
        <v>0</v>
      </c>
      <c r="E48" s="36" t="str">
        <f aca="false">IFERROR(D48/C48,"")</f>
        <v/>
      </c>
      <c r="F48" s="20" t="n">
        <f aca="false">Wk47!H156</f>
        <v>0</v>
      </c>
      <c r="G48" s="20" t="n">
        <f aca="false">Wk47!M156</f>
        <v>0</v>
      </c>
      <c r="H48" s="20" t="n">
        <f aca="false">IFERROR(F48-G48,"")</f>
        <v>0</v>
      </c>
      <c r="I48" s="20" t="n">
        <f aca="false">Wk47!K156</f>
        <v>0</v>
      </c>
      <c r="J48" s="20" t="str">
        <f aca="false">IFERROR(F48/D48,"")</f>
        <v/>
      </c>
      <c r="K48" s="20" t="n">
        <f aca="false">Wk47!P156</f>
        <v>0</v>
      </c>
      <c r="L48" s="20" t="n">
        <f aca="false">IFERROR(F48-K48,"")</f>
        <v>0</v>
      </c>
      <c r="M48" s="20" t="str">
        <f aca="false">IF(F48=0,"",Setup!$C$7+Setup!$C$8)</f>
        <v/>
      </c>
      <c r="N48" s="20" t="n">
        <f aca="false">IFERROR(F48*Setup!$C$9,"")</f>
        <v>0</v>
      </c>
      <c r="O48" s="20" t="str">
        <f aca="false">IF(F48=0,"",L48-M48-N48)</f>
        <v/>
      </c>
      <c r="P48" s="20" t="str">
        <f aca="false">IF(OR(F48=0,F47=0),"",F48-F47)</f>
        <v/>
      </c>
      <c r="Q48" s="36" t="str">
        <f aca="false">IFERROR(P48/F47,"")</f>
        <v/>
      </c>
      <c r="R48" s="20" t="n">
        <f aca="false">Wk47!R156</f>
        <v>0</v>
      </c>
      <c r="S48" s="36" t="str">
        <f aca="false">IFERROR(F48/R48-1,"")</f>
        <v/>
      </c>
    </row>
    <row r="49" customFormat="false" ht="15" hidden="false" customHeight="false" outlineLevel="0" collapsed="false">
      <c r="A49" s="12" t="n">
        <v>48</v>
      </c>
      <c r="B49" s="13" t="n">
        <f aca="false">Wk48!B2</f>
        <v>46356</v>
      </c>
      <c r="C49" s="37" t="n">
        <f aca="false">Wk48!D156</f>
        <v>0</v>
      </c>
      <c r="D49" s="37" t="n">
        <f aca="false">Wk48!E156</f>
        <v>0</v>
      </c>
      <c r="E49" s="36" t="str">
        <f aca="false">IFERROR(D49/C49,"")</f>
        <v/>
      </c>
      <c r="F49" s="20" t="n">
        <f aca="false">Wk48!H156</f>
        <v>0</v>
      </c>
      <c r="G49" s="20" t="n">
        <f aca="false">Wk48!M156</f>
        <v>0</v>
      </c>
      <c r="H49" s="20" t="n">
        <f aca="false">IFERROR(F49-G49,"")</f>
        <v>0</v>
      </c>
      <c r="I49" s="20" t="n">
        <f aca="false">Wk48!K156</f>
        <v>0</v>
      </c>
      <c r="J49" s="20" t="str">
        <f aca="false">IFERROR(F49/D49,"")</f>
        <v/>
      </c>
      <c r="K49" s="20" t="n">
        <f aca="false">Wk48!P156</f>
        <v>0</v>
      </c>
      <c r="L49" s="20" t="n">
        <f aca="false">IFERROR(F49-K49,"")</f>
        <v>0</v>
      </c>
      <c r="M49" s="20" t="str">
        <f aca="false">IF(F49=0,"",Setup!$C$7+Setup!$C$8)</f>
        <v/>
      </c>
      <c r="N49" s="20" t="n">
        <f aca="false">IFERROR(F49*Setup!$C$9,"")</f>
        <v>0</v>
      </c>
      <c r="O49" s="20" t="str">
        <f aca="false">IF(F49=0,"",L49-M49-N49)</f>
        <v/>
      </c>
      <c r="P49" s="20" t="str">
        <f aca="false">IF(OR(F49=0,F48=0),"",F49-F48)</f>
        <v/>
      </c>
      <c r="Q49" s="36" t="str">
        <f aca="false">IFERROR(P49/F48,"")</f>
        <v/>
      </c>
      <c r="R49" s="20" t="n">
        <f aca="false">Wk48!R156</f>
        <v>0</v>
      </c>
      <c r="S49" s="36" t="str">
        <f aca="false">IFERROR(F49/R49-1,"")</f>
        <v/>
      </c>
    </row>
    <row r="50" customFormat="false" ht="15" hidden="false" customHeight="false" outlineLevel="0" collapsed="false">
      <c r="A50" s="12" t="n">
        <v>49</v>
      </c>
      <c r="B50" s="13" t="n">
        <f aca="false">Wk49!B2</f>
        <v>46363</v>
      </c>
      <c r="C50" s="37" t="n">
        <f aca="false">Wk49!D156</f>
        <v>0</v>
      </c>
      <c r="D50" s="37" t="n">
        <f aca="false">Wk49!E156</f>
        <v>0</v>
      </c>
      <c r="E50" s="36" t="str">
        <f aca="false">IFERROR(D50/C50,"")</f>
        <v/>
      </c>
      <c r="F50" s="20" t="n">
        <f aca="false">Wk49!H156</f>
        <v>0</v>
      </c>
      <c r="G50" s="20" t="n">
        <f aca="false">Wk49!M156</f>
        <v>0</v>
      </c>
      <c r="H50" s="20" t="n">
        <f aca="false">IFERROR(F50-G50,"")</f>
        <v>0</v>
      </c>
      <c r="I50" s="20" t="n">
        <f aca="false">Wk49!K156</f>
        <v>0</v>
      </c>
      <c r="J50" s="20" t="str">
        <f aca="false">IFERROR(F50/D50,"")</f>
        <v/>
      </c>
      <c r="K50" s="20" t="n">
        <f aca="false">Wk49!P156</f>
        <v>0</v>
      </c>
      <c r="L50" s="20" t="n">
        <f aca="false">IFERROR(F50-K50,"")</f>
        <v>0</v>
      </c>
      <c r="M50" s="20" t="str">
        <f aca="false">IF(F50=0,"",Setup!$C$7+Setup!$C$8)</f>
        <v/>
      </c>
      <c r="N50" s="20" t="n">
        <f aca="false">IFERROR(F50*Setup!$C$9,"")</f>
        <v>0</v>
      </c>
      <c r="O50" s="20" t="str">
        <f aca="false">IF(F50=0,"",L50-M50-N50)</f>
        <v/>
      </c>
      <c r="P50" s="20" t="str">
        <f aca="false">IF(OR(F50=0,F49=0),"",F50-F49)</f>
        <v/>
      </c>
      <c r="Q50" s="36" t="str">
        <f aca="false">IFERROR(P50/F49,"")</f>
        <v/>
      </c>
      <c r="R50" s="20" t="n">
        <f aca="false">Wk49!R156</f>
        <v>0</v>
      </c>
      <c r="S50" s="36" t="str">
        <f aca="false">IFERROR(F50/R50-1,"")</f>
        <v/>
      </c>
    </row>
    <row r="51" customFormat="false" ht="15" hidden="false" customHeight="false" outlineLevel="0" collapsed="false">
      <c r="A51" s="12" t="n">
        <v>50</v>
      </c>
      <c r="B51" s="13" t="n">
        <f aca="false">Wk50!B2</f>
        <v>46370</v>
      </c>
      <c r="C51" s="37" t="n">
        <f aca="false">Wk50!D156</f>
        <v>0</v>
      </c>
      <c r="D51" s="37" t="n">
        <f aca="false">Wk50!E156</f>
        <v>0</v>
      </c>
      <c r="E51" s="36" t="str">
        <f aca="false">IFERROR(D51/C51,"")</f>
        <v/>
      </c>
      <c r="F51" s="20" t="n">
        <f aca="false">Wk50!H156</f>
        <v>0</v>
      </c>
      <c r="G51" s="20" t="n">
        <f aca="false">Wk50!M156</f>
        <v>0</v>
      </c>
      <c r="H51" s="20" t="n">
        <f aca="false">IFERROR(F51-G51,"")</f>
        <v>0</v>
      </c>
      <c r="I51" s="20" t="n">
        <f aca="false">Wk50!K156</f>
        <v>0</v>
      </c>
      <c r="J51" s="20" t="str">
        <f aca="false">IFERROR(F51/D51,"")</f>
        <v/>
      </c>
      <c r="K51" s="20" t="n">
        <f aca="false">Wk50!P156</f>
        <v>0</v>
      </c>
      <c r="L51" s="20" t="n">
        <f aca="false">IFERROR(F51-K51,"")</f>
        <v>0</v>
      </c>
      <c r="M51" s="20" t="str">
        <f aca="false">IF(F51=0,"",Setup!$C$7+Setup!$C$8)</f>
        <v/>
      </c>
      <c r="N51" s="20" t="n">
        <f aca="false">IFERROR(F51*Setup!$C$9,"")</f>
        <v>0</v>
      </c>
      <c r="O51" s="20" t="str">
        <f aca="false">IF(F51=0,"",L51-M51-N51)</f>
        <v/>
      </c>
      <c r="P51" s="20" t="str">
        <f aca="false">IF(OR(F51=0,F50=0),"",F51-F50)</f>
        <v/>
      </c>
      <c r="Q51" s="36" t="str">
        <f aca="false">IFERROR(P51/F50,"")</f>
        <v/>
      </c>
      <c r="R51" s="20" t="n">
        <f aca="false">Wk50!R156</f>
        <v>0</v>
      </c>
      <c r="S51" s="36" t="str">
        <f aca="false">IFERROR(F51/R51-1,"")</f>
        <v/>
      </c>
    </row>
    <row r="52" customFormat="false" ht="15" hidden="false" customHeight="false" outlineLevel="0" collapsed="false">
      <c r="A52" s="12" t="n">
        <v>51</v>
      </c>
      <c r="B52" s="13" t="n">
        <f aca="false">Wk51!B2</f>
        <v>46377</v>
      </c>
      <c r="C52" s="37" t="n">
        <f aca="false">Wk51!D156</f>
        <v>0</v>
      </c>
      <c r="D52" s="37" t="n">
        <f aca="false">Wk51!E156</f>
        <v>0</v>
      </c>
      <c r="E52" s="36" t="str">
        <f aca="false">IFERROR(D52/C52,"")</f>
        <v/>
      </c>
      <c r="F52" s="20" t="n">
        <f aca="false">Wk51!H156</f>
        <v>0</v>
      </c>
      <c r="G52" s="20" t="n">
        <f aca="false">Wk51!M156</f>
        <v>0</v>
      </c>
      <c r="H52" s="20" t="n">
        <f aca="false">IFERROR(F52-G52,"")</f>
        <v>0</v>
      </c>
      <c r="I52" s="20" t="n">
        <f aca="false">Wk51!K156</f>
        <v>0</v>
      </c>
      <c r="J52" s="20" t="str">
        <f aca="false">IFERROR(F52/D52,"")</f>
        <v/>
      </c>
      <c r="K52" s="20" t="n">
        <f aca="false">Wk51!P156</f>
        <v>0</v>
      </c>
      <c r="L52" s="20" t="n">
        <f aca="false">IFERROR(F52-K52,"")</f>
        <v>0</v>
      </c>
      <c r="M52" s="20" t="str">
        <f aca="false">IF(F52=0,"",Setup!$C$7+Setup!$C$8)</f>
        <v/>
      </c>
      <c r="N52" s="20" t="n">
        <f aca="false">IFERROR(F52*Setup!$C$9,"")</f>
        <v>0</v>
      </c>
      <c r="O52" s="20" t="str">
        <f aca="false">IF(F52=0,"",L52-M52-N52)</f>
        <v/>
      </c>
      <c r="P52" s="20" t="str">
        <f aca="false">IF(OR(F52=0,F51=0),"",F52-F51)</f>
        <v/>
      </c>
      <c r="Q52" s="36" t="str">
        <f aca="false">IFERROR(P52/F51,"")</f>
        <v/>
      </c>
      <c r="R52" s="20" t="n">
        <f aca="false">Wk51!R156</f>
        <v>0</v>
      </c>
      <c r="S52" s="36" t="str">
        <f aca="false">IFERROR(F52/R52-1,"")</f>
        <v/>
      </c>
    </row>
    <row r="53" customFormat="false" ht="15" hidden="false" customHeight="false" outlineLevel="0" collapsed="false">
      <c r="A53" s="12" t="n">
        <v>52</v>
      </c>
      <c r="B53" s="13" t="n">
        <f aca="false">Wk52!B2</f>
        <v>46384</v>
      </c>
      <c r="C53" s="37" t="n">
        <f aca="false">Wk52!D156</f>
        <v>0</v>
      </c>
      <c r="D53" s="37" t="n">
        <f aca="false">Wk52!E156</f>
        <v>0</v>
      </c>
      <c r="E53" s="36" t="str">
        <f aca="false">IFERROR(D53/C53,"")</f>
        <v/>
      </c>
      <c r="F53" s="20" t="n">
        <f aca="false">Wk52!H156</f>
        <v>0</v>
      </c>
      <c r="G53" s="20" t="n">
        <f aca="false">Wk52!M156</f>
        <v>0</v>
      </c>
      <c r="H53" s="20" t="n">
        <f aca="false">IFERROR(F53-G53,"")</f>
        <v>0</v>
      </c>
      <c r="I53" s="20" t="n">
        <f aca="false">Wk52!K156</f>
        <v>0</v>
      </c>
      <c r="J53" s="20" t="str">
        <f aca="false">IFERROR(F53/D53,"")</f>
        <v/>
      </c>
      <c r="K53" s="20" t="n">
        <f aca="false">Wk52!P156</f>
        <v>0</v>
      </c>
      <c r="L53" s="20" t="n">
        <f aca="false">IFERROR(F53-K53,"")</f>
        <v>0</v>
      </c>
      <c r="M53" s="20" t="str">
        <f aca="false">IF(F53=0,"",Setup!$C$7+Setup!$C$8)</f>
        <v/>
      </c>
      <c r="N53" s="20" t="n">
        <f aca="false">IFERROR(F53*Setup!$C$9,"")</f>
        <v>0</v>
      </c>
      <c r="O53" s="20" t="str">
        <f aca="false">IF(F53=0,"",L53-M53-N53)</f>
        <v/>
      </c>
      <c r="P53" s="20" t="str">
        <f aca="false">IF(OR(F53=0,F52=0),"",F53-F52)</f>
        <v/>
      </c>
      <c r="Q53" s="36" t="str">
        <f aca="false">IFERROR(P53/F52,"")</f>
        <v/>
      </c>
      <c r="R53" s="20" t="n">
        <f aca="false">Wk52!R156</f>
        <v>0</v>
      </c>
      <c r="S53" s="36" t="str">
        <f aca="false">IFERROR(F53/R53-1,"")</f>
        <v/>
      </c>
    </row>
    <row r="54" customFormat="false" ht="15" hidden="false" customHeight="false" outlineLevel="0" collapsed="false">
      <c r="A54" s="27"/>
      <c r="B54" s="27" t="s">
        <v>182</v>
      </c>
      <c r="C54" s="28" t="n">
        <f aca="false">SUM(C2:C53)</f>
        <v>0</v>
      </c>
      <c r="D54" s="28" t="n">
        <f aca="false">SUM(D2:D53)</f>
        <v>0</v>
      </c>
      <c r="E54" s="30" t="str">
        <f aca="false">IFERROR(D54/C54,"")</f>
        <v/>
      </c>
      <c r="F54" s="29" t="n">
        <f aca="false">SUM(F2:F53)</f>
        <v>0</v>
      </c>
      <c r="G54" s="29" t="n">
        <f aca="false">SUM(G2:G53)</f>
        <v>0</v>
      </c>
      <c r="H54" s="29" t="n">
        <f aca="false">SUM(H2:H53)</f>
        <v>0</v>
      </c>
      <c r="I54" s="29" t="n">
        <f aca="false">SUM(I2:I53)</f>
        <v>0</v>
      </c>
      <c r="J54" s="29" t="str">
        <f aca="false">IFERROR(F54/D54,"")</f>
        <v/>
      </c>
      <c r="K54" s="29" t="n">
        <f aca="false">SUM(K2:K53)</f>
        <v>0</v>
      </c>
      <c r="L54" s="29" t="n">
        <f aca="false">SUM(L2:L53)</f>
        <v>0</v>
      </c>
      <c r="M54" s="29" t="n">
        <f aca="false">SUM(M2:M53)</f>
        <v>0</v>
      </c>
      <c r="N54" s="29" t="n">
        <f aca="false">SUM(N2:N53)</f>
        <v>0</v>
      </c>
      <c r="O54" s="29" t="n">
        <f aca="false">SUM(O2:O53)</f>
        <v>0</v>
      </c>
      <c r="P54" s="29"/>
      <c r="Q54" s="30"/>
      <c r="R54" s="29" t="n">
        <f aca="false">SUM(R2:R53)</f>
        <v>0</v>
      </c>
      <c r="S54" s="30" t="str">
        <f aca="false">IFERROR(F54/R54-1,"")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5D4A"/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3" min="12" style="0" width="11"/>
    <col collapsed="false" customWidth="true" hidden="false" outlineLevel="0" max="14" min="14" style="0" width="12"/>
  </cols>
  <sheetData>
    <row r="1" customFormat="false" ht="25.5" hidden="false" customHeight="true" outlineLevel="0" collapsed="false">
      <c r="A1" s="35" t="s">
        <v>183</v>
      </c>
      <c r="B1" s="35" t="s">
        <v>184</v>
      </c>
      <c r="C1" s="35" t="s">
        <v>185</v>
      </c>
      <c r="D1" s="35" t="s">
        <v>79</v>
      </c>
      <c r="E1" s="35" t="s">
        <v>116</v>
      </c>
      <c r="F1" s="35" t="s">
        <v>176</v>
      </c>
      <c r="G1" s="35" t="s">
        <v>118</v>
      </c>
      <c r="H1" s="35" t="s">
        <v>186</v>
      </c>
      <c r="I1" s="35" t="s">
        <v>187</v>
      </c>
      <c r="J1" s="35" t="s">
        <v>121</v>
      </c>
      <c r="K1" s="35" t="s">
        <v>71</v>
      </c>
      <c r="L1" s="35" t="s">
        <v>75</v>
      </c>
      <c r="M1" s="35" t="s">
        <v>76</v>
      </c>
      <c r="N1" s="35" t="s">
        <v>122</v>
      </c>
    </row>
    <row r="2" customFormat="false" ht="15" hidden="false" customHeight="false" outlineLevel="0" collapsed="false">
      <c r="A2" s="12" t="str">
        <f aca="false">TEXT(B2,"mmm yyyy")</f>
        <v>Jan 2026</v>
      </c>
      <c r="B2" s="13" t="n">
        <f aca="false">EOMONTH(Setup!$C$5,-1)+1</f>
        <v>46023</v>
      </c>
      <c r="C2" s="13" t="n">
        <f aca="false">EOMONTH(B2,0)</f>
        <v>46053</v>
      </c>
      <c r="D2" s="20" t="n">
        <f aca="false">SUMIFS('Daily Report'!$D$2:$D$365,'Daily Report'!$B$2:$B$365,"&gt;="&amp;$B2,'Daily Report'!$B$2:$B$365,"&lt;="&amp;$C2)</f>
        <v>0</v>
      </c>
      <c r="E2" s="20" t="n">
        <f aca="false">SUMIFS('Daily Report'!$E$2:$E$365,'Daily Report'!$B$2:$B$365,"&gt;="&amp;$B2,'Daily Report'!$B$2:$B$365,"&lt;="&amp;$C2)</f>
        <v>0</v>
      </c>
      <c r="F2" s="20" t="n">
        <f aca="false">SUMIFS('Daily Report'!$F$2:$F$365,'Daily Report'!$B$2:$B$365,"&gt;="&amp;$B2,'Daily Report'!$B$2:$B$365,"&lt;="&amp;$C2)</f>
        <v>0</v>
      </c>
      <c r="G2" s="20" t="n">
        <f aca="false">SUMIFS('Daily Report'!$H$2:$H$365,'Daily Report'!$B$2:$B$365,"&gt;="&amp;$B2,'Daily Report'!$B$2:$B$365,"&lt;="&amp;$C2)</f>
        <v>0</v>
      </c>
      <c r="H2" s="20" t="str">
        <f aca="false">IF(OR(F2=0,G2=0),"",F2-G2)</f>
        <v/>
      </c>
      <c r="I2" s="36" t="str">
        <f aca="false">IFERROR(H2/G2,"")</f>
        <v/>
      </c>
      <c r="J2" s="37" t="n">
        <f aca="false">SUMIFS('Daily Report'!$K$2:$K$365,'Daily Report'!$B$2:$B$365,"&gt;="&amp;$B2,'Daily Report'!$B$2:$B$365,"&lt;="&amp;$C2)</f>
        <v>0</v>
      </c>
      <c r="K2" s="37" t="n">
        <f aca="false">SUMIFS('Daily Report'!$L$2:$L$365,'Daily Report'!$B$2:$B$365,"&gt;="&amp;$B2,'Daily Report'!$B$2:$B$365,"&lt;="&amp;$C2)</f>
        <v>0</v>
      </c>
      <c r="L2" s="36" t="str">
        <f aca="false">IFERROR(K2/J2,"")</f>
        <v/>
      </c>
      <c r="M2" s="20" t="str">
        <f aca="false">IFERROR(F2/K2,"")</f>
        <v/>
      </c>
      <c r="N2" s="20" t="n">
        <f aca="false">SUMIFS('Daily Report'!$M$2:$M$365,'Daily Report'!$B$2:$B$365,"&gt;="&amp;$B2,'Daily Report'!$B$2:$B$365,"&lt;="&amp;$C2)</f>
        <v>0</v>
      </c>
    </row>
    <row r="3" customFormat="false" ht="15" hidden="false" customHeight="false" outlineLevel="0" collapsed="false">
      <c r="A3" s="12" t="str">
        <f aca="false">TEXT(B3,"mmm yyyy")</f>
        <v>Feb 2026</v>
      </c>
      <c r="B3" s="13" t="n">
        <f aca="false">EDATE(B2,1)</f>
        <v>46054</v>
      </c>
      <c r="C3" s="13" t="n">
        <f aca="false">EOMONTH(B3,0)</f>
        <v>46081</v>
      </c>
      <c r="D3" s="20" t="n">
        <f aca="false">SUMIFS('Daily Report'!$D$2:$D$365,'Daily Report'!$B$2:$B$365,"&gt;="&amp;$B3,'Daily Report'!$B$2:$B$365,"&lt;="&amp;$C3)</f>
        <v>0</v>
      </c>
      <c r="E3" s="20" t="n">
        <f aca="false">SUMIFS('Daily Report'!$E$2:$E$365,'Daily Report'!$B$2:$B$365,"&gt;="&amp;$B3,'Daily Report'!$B$2:$B$365,"&lt;="&amp;$C3)</f>
        <v>0</v>
      </c>
      <c r="F3" s="20" t="n">
        <f aca="false">SUMIFS('Daily Report'!$F$2:$F$365,'Daily Report'!$B$2:$B$365,"&gt;="&amp;$B3,'Daily Report'!$B$2:$B$365,"&lt;="&amp;$C3)</f>
        <v>0</v>
      </c>
      <c r="G3" s="20" t="n">
        <f aca="false">SUMIFS('Daily Report'!$H$2:$H$365,'Daily Report'!$B$2:$B$365,"&gt;="&amp;$B3,'Daily Report'!$B$2:$B$365,"&lt;="&amp;$C3)</f>
        <v>0</v>
      </c>
      <c r="H3" s="20" t="str">
        <f aca="false">IF(OR(F3=0,G3=0),"",F3-G3)</f>
        <v/>
      </c>
      <c r="I3" s="36" t="str">
        <f aca="false">IFERROR(H3/G3,"")</f>
        <v/>
      </c>
      <c r="J3" s="37" t="n">
        <f aca="false">SUMIFS('Daily Report'!$K$2:$K$365,'Daily Report'!$B$2:$B$365,"&gt;="&amp;$B3,'Daily Report'!$B$2:$B$365,"&lt;="&amp;$C3)</f>
        <v>0</v>
      </c>
      <c r="K3" s="37" t="n">
        <f aca="false">SUMIFS('Daily Report'!$L$2:$L$365,'Daily Report'!$B$2:$B$365,"&gt;="&amp;$B3,'Daily Report'!$B$2:$B$365,"&lt;="&amp;$C3)</f>
        <v>0</v>
      </c>
      <c r="L3" s="36" t="str">
        <f aca="false">IFERROR(K3/J3,"")</f>
        <v/>
      </c>
      <c r="M3" s="20" t="str">
        <f aca="false">IFERROR(F3/K3,"")</f>
        <v/>
      </c>
      <c r="N3" s="20" t="n">
        <f aca="false">SUMIFS('Daily Report'!$M$2:$M$365,'Daily Report'!$B$2:$B$365,"&gt;="&amp;$B3,'Daily Report'!$B$2:$B$365,"&lt;="&amp;$C3)</f>
        <v>0</v>
      </c>
    </row>
    <row r="4" customFormat="false" ht="15" hidden="false" customHeight="false" outlineLevel="0" collapsed="false">
      <c r="A4" s="12" t="str">
        <f aca="false">TEXT(B4,"mmm yyyy")</f>
        <v>Mar 2026</v>
      </c>
      <c r="B4" s="13" t="n">
        <f aca="false">EDATE(B3,1)</f>
        <v>46082</v>
      </c>
      <c r="C4" s="13" t="n">
        <f aca="false">EOMONTH(B4,0)</f>
        <v>46112</v>
      </c>
      <c r="D4" s="20" t="n">
        <f aca="false">SUMIFS('Daily Report'!$D$2:$D$365,'Daily Report'!$B$2:$B$365,"&gt;="&amp;$B4,'Daily Report'!$B$2:$B$365,"&lt;="&amp;$C4)</f>
        <v>0</v>
      </c>
      <c r="E4" s="20" t="n">
        <f aca="false">SUMIFS('Daily Report'!$E$2:$E$365,'Daily Report'!$B$2:$B$365,"&gt;="&amp;$B4,'Daily Report'!$B$2:$B$365,"&lt;="&amp;$C4)</f>
        <v>0</v>
      </c>
      <c r="F4" s="20" t="n">
        <f aca="false">SUMIFS('Daily Report'!$F$2:$F$365,'Daily Report'!$B$2:$B$365,"&gt;="&amp;$B4,'Daily Report'!$B$2:$B$365,"&lt;="&amp;$C4)</f>
        <v>0</v>
      </c>
      <c r="G4" s="20" t="n">
        <f aca="false">SUMIFS('Daily Report'!$H$2:$H$365,'Daily Report'!$B$2:$B$365,"&gt;="&amp;$B4,'Daily Report'!$B$2:$B$365,"&lt;="&amp;$C4)</f>
        <v>0</v>
      </c>
      <c r="H4" s="20" t="str">
        <f aca="false">IF(OR(F4=0,G4=0),"",F4-G4)</f>
        <v/>
      </c>
      <c r="I4" s="36" t="str">
        <f aca="false">IFERROR(H4/G4,"")</f>
        <v/>
      </c>
      <c r="J4" s="37" t="n">
        <f aca="false">SUMIFS('Daily Report'!$K$2:$K$365,'Daily Report'!$B$2:$B$365,"&gt;="&amp;$B4,'Daily Report'!$B$2:$B$365,"&lt;="&amp;$C4)</f>
        <v>0</v>
      </c>
      <c r="K4" s="37" t="n">
        <f aca="false">SUMIFS('Daily Report'!$L$2:$L$365,'Daily Report'!$B$2:$B$365,"&gt;="&amp;$B4,'Daily Report'!$B$2:$B$365,"&lt;="&amp;$C4)</f>
        <v>0</v>
      </c>
      <c r="L4" s="36" t="str">
        <f aca="false">IFERROR(K4/J4,"")</f>
        <v/>
      </c>
      <c r="M4" s="20" t="str">
        <f aca="false">IFERROR(F4/K4,"")</f>
        <v/>
      </c>
      <c r="N4" s="20" t="n">
        <f aca="false">SUMIFS('Daily Report'!$M$2:$M$365,'Daily Report'!$B$2:$B$365,"&gt;="&amp;$B4,'Daily Report'!$B$2:$B$365,"&lt;="&amp;$C4)</f>
        <v>0</v>
      </c>
    </row>
    <row r="5" customFormat="false" ht="15" hidden="false" customHeight="false" outlineLevel="0" collapsed="false">
      <c r="A5" s="12" t="str">
        <f aca="false">TEXT(B5,"mmm yyyy")</f>
        <v>Apr 2026</v>
      </c>
      <c r="B5" s="13" t="n">
        <f aca="false">EDATE(B4,1)</f>
        <v>46113</v>
      </c>
      <c r="C5" s="13" t="n">
        <f aca="false">EOMONTH(B5,0)</f>
        <v>46142</v>
      </c>
      <c r="D5" s="20" t="n">
        <f aca="false">SUMIFS('Daily Report'!$D$2:$D$365,'Daily Report'!$B$2:$B$365,"&gt;="&amp;$B5,'Daily Report'!$B$2:$B$365,"&lt;="&amp;$C5)</f>
        <v>0</v>
      </c>
      <c r="E5" s="20" t="n">
        <f aca="false">SUMIFS('Daily Report'!$E$2:$E$365,'Daily Report'!$B$2:$B$365,"&gt;="&amp;$B5,'Daily Report'!$B$2:$B$365,"&lt;="&amp;$C5)</f>
        <v>0</v>
      </c>
      <c r="F5" s="20" t="n">
        <f aca="false">SUMIFS('Daily Report'!$F$2:$F$365,'Daily Report'!$B$2:$B$365,"&gt;="&amp;$B5,'Daily Report'!$B$2:$B$365,"&lt;="&amp;$C5)</f>
        <v>0</v>
      </c>
      <c r="G5" s="20" t="n">
        <f aca="false">SUMIFS('Daily Report'!$H$2:$H$365,'Daily Report'!$B$2:$B$365,"&gt;="&amp;$B5,'Daily Report'!$B$2:$B$365,"&lt;="&amp;$C5)</f>
        <v>0</v>
      </c>
      <c r="H5" s="20" t="str">
        <f aca="false">IF(OR(F5=0,G5=0),"",F5-G5)</f>
        <v/>
      </c>
      <c r="I5" s="36" t="str">
        <f aca="false">IFERROR(H5/G5,"")</f>
        <v/>
      </c>
      <c r="J5" s="37" t="n">
        <f aca="false">SUMIFS('Daily Report'!$K$2:$K$365,'Daily Report'!$B$2:$B$365,"&gt;="&amp;$B5,'Daily Report'!$B$2:$B$365,"&lt;="&amp;$C5)</f>
        <v>0</v>
      </c>
      <c r="K5" s="37" t="n">
        <f aca="false">SUMIFS('Daily Report'!$L$2:$L$365,'Daily Report'!$B$2:$B$365,"&gt;="&amp;$B5,'Daily Report'!$B$2:$B$365,"&lt;="&amp;$C5)</f>
        <v>0</v>
      </c>
      <c r="L5" s="36" t="str">
        <f aca="false">IFERROR(K5/J5,"")</f>
        <v/>
      </c>
      <c r="M5" s="20" t="str">
        <f aca="false">IFERROR(F5/K5,"")</f>
        <v/>
      </c>
      <c r="N5" s="20" t="n">
        <f aca="false">SUMIFS('Daily Report'!$M$2:$M$365,'Daily Report'!$B$2:$B$365,"&gt;="&amp;$B5,'Daily Report'!$B$2:$B$365,"&lt;="&amp;$C5)</f>
        <v>0</v>
      </c>
    </row>
    <row r="6" customFormat="false" ht="15" hidden="false" customHeight="false" outlineLevel="0" collapsed="false">
      <c r="A6" s="12" t="str">
        <f aca="false">TEXT(B6,"mmm yyyy")</f>
        <v>May 2026</v>
      </c>
      <c r="B6" s="13" t="n">
        <f aca="false">EDATE(B5,1)</f>
        <v>46143</v>
      </c>
      <c r="C6" s="13" t="n">
        <f aca="false">EOMONTH(B6,0)</f>
        <v>46173</v>
      </c>
      <c r="D6" s="20" t="n">
        <f aca="false">SUMIFS('Daily Report'!$D$2:$D$365,'Daily Report'!$B$2:$B$365,"&gt;="&amp;$B6,'Daily Report'!$B$2:$B$365,"&lt;="&amp;$C6)</f>
        <v>0</v>
      </c>
      <c r="E6" s="20" t="n">
        <f aca="false">SUMIFS('Daily Report'!$E$2:$E$365,'Daily Report'!$B$2:$B$365,"&gt;="&amp;$B6,'Daily Report'!$B$2:$B$365,"&lt;="&amp;$C6)</f>
        <v>0</v>
      </c>
      <c r="F6" s="20" t="n">
        <f aca="false">SUMIFS('Daily Report'!$F$2:$F$365,'Daily Report'!$B$2:$B$365,"&gt;="&amp;$B6,'Daily Report'!$B$2:$B$365,"&lt;="&amp;$C6)</f>
        <v>0</v>
      </c>
      <c r="G6" s="20" t="n">
        <f aca="false">SUMIFS('Daily Report'!$H$2:$H$365,'Daily Report'!$B$2:$B$365,"&gt;="&amp;$B6,'Daily Report'!$B$2:$B$365,"&lt;="&amp;$C6)</f>
        <v>0</v>
      </c>
      <c r="H6" s="20" t="str">
        <f aca="false">IF(OR(F6=0,G6=0),"",F6-G6)</f>
        <v/>
      </c>
      <c r="I6" s="36" t="str">
        <f aca="false">IFERROR(H6/G6,"")</f>
        <v/>
      </c>
      <c r="J6" s="37" t="n">
        <f aca="false">SUMIFS('Daily Report'!$K$2:$K$365,'Daily Report'!$B$2:$B$365,"&gt;="&amp;$B6,'Daily Report'!$B$2:$B$365,"&lt;="&amp;$C6)</f>
        <v>0</v>
      </c>
      <c r="K6" s="37" t="n">
        <f aca="false">SUMIFS('Daily Report'!$L$2:$L$365,'Daily Report'!$B$2:$B$365,"&gt;="&amp;$B6,'Daily Report'!$B$2:$B$365,"&lt;="&amp;$C6)</f>
        <v>0</v>
      </c>
      <c r="L6" s="36" t="str">
        <f aca="false">IFERROR(K6/J6,"")</f>
        <v/>
      </c>
      <c r="M6" s="20" t="str">
        <f aca="false">IFERROR(F6/K6,"")</f>
        <v/>
      </c>
      <c r="N6" s="20" t="n">
        <f aca="false">SUMIFS('Daily Report'!$M$2:$M$365,'Daily Report'!$B$2:$B$365,"&gt;="&amp;$B6,'Daily Report'!$B$2:$B$365,"&lt;="&amp;$C6)</f>
        <v>0</v>
      </c>
    </row>
    <row r="7" customFormat="false" ht="15" hidden="false" customHeight="false" outlineLevel="0" collapsed="false">
      <c r="A7" s="12" t="str">
        <f aca="false">TEXT(B7,"mmm yyyy")</f>
        <v>Jun 2026</v>
      </c>
      <c r="B7" s="13" t="n">
        <f aca="false">EDATE(B6,1)</f>
        <v>46174</v>
      </c>
      <c r="C7" s="13" t="n">
        <f aca="false">EOMONTH(B7,0)</f>
        <v>46203</v>
      </c>
      <c r="D7" s="20" t="n">
        <f aca="false">SUMIFS('Daily Report'!$D$2:$D$365,'Daily Report'!$B$2:$B$365,"&gt;="&amp;$B7,'Daily Report'!$B$2:$B$365,"&lt;="&amp;$C7)</f>
        <v>0</v>
      </c>
      <c r="E7" s="20" t="n">
        <f aca="false">SUMIFS('Daily Report'!$E$2:$E$365,'Daily Report'!$B$2:$B$365,"&gt;="&amp;$B7,'Daily Report'!$B$2:$B$365,"&lt;="&amp;$C7)</f>
        <v>0</v>
      </c>
      <c r="F7" s="20" t="n">
        <f aca="false">SUMIFS('Daily Report'!$F$2:$F$365,'Daily Report'!$B$2:$B$365,"&gt;="&amp;$B7,'Daily Report'!$B$2:$B$365,"&lt;="&amp;$C7)</f>
        <v>0</v>
      </c>
      <c r="G7" s="20" t="n">
        <f aca="false">SUMIFS('Daily Report'!$H$2:$H$365,'Daily Report'!$B$2:$B$365,"&gt;="&amp;$B7,'Daily Report'!$B$2:$B$365,"&lt;="&amp;$C7)</f>
        <v>0</v>
      </c>
      <c r="H7" s="20" t="str">
        <f aca="false">IF(OR(F7=0,G7=0),"",F7-G7)</f>
        <v/>
      </c>
      <c r="I7" s="36" t="str">
        <f aca="false">IFERROR(H7/G7,"")</f>
        <v/>
      </c>
      <c r="J7" s="37" t="n">
        <f aca="false">SUMIFS('Daily Report'!$K$2:$K$365,'Daily Report'!$B$2:$B$365,"&gt;="&amp;$B7,'Daily Report'!$B$2:$B$365,"&lt;="&amp;$C7)</f>
        <v>0</v>
      </c>
      <c r="K7" s="37" t="n">
        <f aca="false">SUMIFS('Daily Report'!$L$2:$L$365,'Daily Report'!$B$2:$B$365,"&gt;="&amp;$B7,'Daily Report'!$B$2:$B$365,"&lt;="&amp;$C7)</f>
        <v>0</v>
      </c>
      <c r="L7" s="36" t="str">
        <f aca="false">IFERROR(K7/J7,"")</f>
        <v/>
      </c>
      <c r="M7" s="20" t="str">
        <f aca="false">IFERROR(F7/K7,"")</f>
        <v/>
      </c>
      <c r="N7" s="20" t="n">
        <f aca="false">SUMIFS('Daily Report'!$M$2:$M$365,'Daily Report'!$B$2:$B$365,"&gt;="&amp;$B7,'Daily Report'!$B$2:$B$365,"&lt;="&amp;$C7)</f>
        <v>0</v>
      </c>
    </row>
    <row r="8" customFormat="false" ht="15" hidden="false" customHeight="false" outlineLevel="0" collapsed="false">
      <c r="A8" s="12" t="str">
        <f aca="false">TEXT(B8,"mmm yyyy")</f>
        <v>Jul 2026</v>
      </c>
      <c r="B8" s="13" t="n">
        <f aca="false">EDATE(B7,1)</f>
        <v>46204</v>
      </c>
      <c r="C8" s="13" t="n">
        <f aca="false">EOMONTH(B8,0)</f>
        <v>46234</v>
      </c>
      <c r="D8" s="20" t="n">
        <f aca="false">SUMIFS('Daily Report'!$D$2:$D$365,'Daily Report'!$B$2:$B$365,"&gt;="&amp;$B8,'Daily Report'!$B$2:$B$365,"&lt;="&amp;$C8)</f>
        <v>0</v>
      </c>
      <c r="E8" s="20" t="n">
        <f aca="false">SUMIFS('Daily Report'!$E$2:$E$365,'Daily Report'!$B$2:$B$365,"&gt;="&amp;$B8,'Daily Report'!$B$2:$B$365,"&lt;="&amp;$C8)</f>
        <v>0</v>
      </c>
      <c r="F8" s="20" t="n">
        <f aca="false">SUMIFS('Daily Report'!$F$2:$F$365,'Daily Report'!$B$2:$B$365,"&gt;="&amp;$B8,'Daily Report'!$B$2:$B$365,"&lt;="&amp;$C8)</f>
        <v>0</v>
      </c>
      <c r="G8" s="20" t="n">
        <f aca="false">SUMIFS('Daily Report'!$H$2:$H$365,'Daily Report'!$B$2:$B$365,"&gt;="&amp;$B8,'Daily Report'!$B$2:$B$365,"&lt;="&amp;$C8)</f>
        <v>0</v>
      </c>
      <c r="H8" s="20" t="str">
        <f aca="false">IF(OR(F8=0,G8=0),"",F8-G8)</f>
        <v/>
      </c>
      <c r="I8" s="36" t="str">
        <f aca="false">IFERROR(H8/G8,"")</f>
        <v/>
      </c>
      <c r="J8" s="37" t="n">
        <f aca="false">SUMIFS('Daily Report'!$K$2:$K$365,'Daily Report'!$B$2:$B$365,"&gt;="&amp;$B8,'Daily Report'!$B$2:$B$365,"&lt;="&amp;$C8)</f>
        <v>0</v>
      </c>
      <c r="K8" s="37" t="n">
        <f aca="false">SUMIFS('Daily Report'!$L$2:$L$365,'Daily Report'!$B$2:$B$365,"&gt;="&amp;$B8,'Daily Report'!$B$2:$B$365,"&lt;="&amp;$C8)</f>
        <v>0</v>
      </c>
      <c r="L8" s="36" t="str">
        <f aca="false">IFERROR(K8/J8,"")</f>
        <v/>
      </c>
      <c r="M8" s="20" t="str">
        <f aca="false">IFERROR(F8/K8,"")</f>
        <v/>
      </c>
      <c r="N8" s="20" t="n">
        <f aca="false">SUMIFS('Daily Report'!$M$2:$M$365,'Daily Report'!$B$2:$B$365,"&gt;="&amp;$B8,'Daily Report'!$B$2:$B$365,"&lt;="&amp;$C8)</f>
        <v>0</v>
      </c>
    </row>
    <row r="9" customFormat="false" ht="15" hidden="false" customHeight="false" outlineLevel="0" collapsed="false">
      <c r="A9" s="12" t="str">
        <f aca="false">TEXT(B9,"mmm yyyy")</f>
        <v>Aug 2026</v>
      </c>
      <c r="B9" s="13" t="n">
        <f aca="false">EDATE(B8,1)</f>
        <v>46235</v>
      </c>
      <c r="C9" s="13" t="n">
        <f aca="false">EOMONTH(B9,0)</f>
        <v>46265</v>
      </c>
      <c r="D9" s="20" t="n">
        <f aca="false">SUMIFS('Daily Report'!$D$2:$D$365,'Daily Report'!$B$2:$B$365,"&gt;="&amp;$B9,'Daily Report'!$B$2:$B$365,"&lt;="&amp;$C9)</f>
        <v>0</v>
      </c>
      <c r="E9" s="20" t="n">
        <f aca="false">SUMIFS('Daily Report'!$E$2:$E$365,'Daily Report'!$B$2:$B$365,"&gt;="&amp;$B9,'Daily Report'!$B$2:$B$365,"&lt;="&amp;$C9)</f>
        <v>0</v>
      </c>
      <c r="F9" s="20" t="n">
        <f aca="false">SUMIFS('Daily Report'!$F$2:$F$365,'Daily Report'!$B$2:$B$365,"&gt;="&amp;$B9,'Daily Report'!$B$2:$B$365,"&lt;="&amp;$C9)</f>
        <v>0</v>
      </c>
      <c r="G9" s="20" t="n">
        <f aca="false">SUMIFS('Daily Report'!$H$2:$H$365,'Daily Report'!$B$2:$B$365,"&gt;="&amp;$B9,'Daily Report'!$B$2:$B$365,"&lt;="&amp;$C9)</f>
        <v>0</v>
      </c>
      <c r="H9" s="20" t="str">
        <f aca="false">IF(OR(F9=0,G9=0),"",F9-G9)</f>
        <v/>
      </c>
      <c r="I9" s="36" t="str">
        <f aca="false">IFERROR(H9/G9,"")</f>
        <v/>
      </c>
      <c r="J9" s="37" t="n">
        <f aca="false">SUMIFS('Daily Report'!$K$2:$K$365,'Daily Report'!$B$2:$B$365,"&gt;="&amp;$B9,'Daily Report'!$B$2:$B$365,"&lt;="&amp;$C9)</f>
        <v>0</v>
      </c>
      <c r="K9" s="37" t="n">
        <f aca="false">SUMIFS('Daily Report'!$L$2:$L$365,'Daily Report'!$B$2:$B$365,"&gt;="&amp;$B9,'Daily Report'!$B$2:$B$365,"&lt;="&amp;$C9)</f>
        <v>0</v>
      </c>
      <c r="L9" s="36" t="str">
        <f aca="false">IFERROR(K9/J9,"")</f>
        <v/>
      </c>
      <c r="M9" s="20" t="str">
        <f aca="false">IFERROR(F9/K9,"")</f>
        <v/>
      </c>
      <c r="N9" s="20" t="n">
        <f aca="false">SUMIFS('Daily Report'!$M$2:$M$365,'Daily Report'!$B$2:$B$365,"&gt;="&amp;$B9,'Daily Report'!$B$2:$B$365,"&lt;="&amp;$C9)</f>
        <v>0</v>
      </c>
    </row>
    <row r="10" customFormat="false" ht="15" hidden="false" customHeight="false" outlineLevel="0" collapsed="false">
      <c r="A10" s="12" t="str">
        <f aca="false">TEXT(B10,"mmm yyyy")</f>
        <v>Sep 2026</v>
      </c>
      <c r="B10" s="13" t="n">
        <f aca="false">EDATE(B9,1)</f>
        <v>46266</v>
      </c>
      <c r="C10" s="13" t="n">
        <f aca="false">EOMONTH(B10,0)</f>
        <v>46295</v>
      </c>
      <c r="D10" s="20" t="n">
        <f aca="false">SUMIFS('Daily Report'!$D$2:$D$365,'Daily Report'!$B$2:$B$365,"&gt;="&amp;$B10,'Daily Report'!$B$2:$B$365,"&lt;="&amp;$C10)</f>
        <v>0</v>
      </c>
      <c r="E10" s="20" t="n">
        <f aca="false">SUMIFS('Daily Report'!$E$2:$E$365,'Daily Report'!$B$2:$B$365,"&gt;="&amp;$B10,'Daily Report'!$B$2:$B$365,"&lt;="&amp;$C10)</f>
        <v>0</v>
      </c>
      <c r="F10" s="20" t="n">
        <f aca="false">SUMIFS('Daily Report'!$F$2:$F$365,'Daily Report'!$B$2:$B$365,"&gt;="&amp;$B10,'Daily Report'!$B$2:$B$365,"&lt;="&amp;$C10)</f>
        <v>0</v>
      </c>
      <c r="G10" s="20" t="n">
        <f aca="false">SUMIFS('Daily Report'!$H$2:$H$365,'Daily Report'!$B$2:$B$365,"&gt;="&amp;$B10,'Daily Report'!$B$2:$B$365,"&lt;="&amp;$C10)</f>
        <v>0</v>
      </c>
      <c r="H10" s="20" t="str">
        <f aca="false">IF(OR(F10=0,G10=0),"",F10-G10)</f>
        <v/>
      </c>
      <c r="I10" s="36" t="str">
        <f aca="false">IFERROR(H10/G10,"")</f>
        <v/>
      </c>
      <c r="J10" s="37" t="n">
        <f aca="false">SUMIFS('Daily Report'!$K$2:$K$365,'Daily Report'!$B$2:$B$365,"&gt;="&amp;$B10,'Daily Report'!$B$2:$B$365,"&lt;="&amp;$C10)</f>
        <v>0</v>
      </c>
      <c r="K10" s="37" t="n">
        <f aca="false">SUMIFS('Daily Report'!$L$2:$L$365,'Daily Report'!$B$2:$B$365,"&gt;="&amp;$B10,'Daily Report'!$B$2:$B$365,"&lt;="&amp;$C10)</f>
        <v>0</v>
      </c>
      <c r="L10" s="36" t="str">
        <f aca="false">IFERROR(K10/J10,"")</f>
        <v/>
      </c>
      <c r="M10" s="20" t="str">
        <f aca="false">IFERROR(F10/K10,"")</f>
        <v/>
      </c>
      <c r="N10" s="20" t="n">
        <f aca="false">SUMIFS('Daily Report'!$M$2:$M$365,'Daily Report'!$B$2:$B$365,"&gt;="&amp;$B10,'Daily Report'!$B$2:$B$365,"&lt;="&amp;$C10)</f>
        <v>0</v>
      </c>
    </row>
    <row r="11" customFormat="false" ht="15" hidden="false" customHeight="false" outlineLevel="0" collapsed="false">
      <c r="A11" s="12" t="str">
        <f aca="false">TEXT(B11,"mmm yyyy")</f>
        <v>Oct 2026</v>
      </c>
      <c r="B11" s="13" t="n">
        <f aca="false">EDATE(B10,1)</f>
        <v>46296</v>
      </c>
      <c r="C11" s="13" t="n">
        <f aca="false">EOMONTH(B11,0)</f>
        <v>46326</v>
      </c>
      <c r="D11" s="20" t="n">
        <f aca="false">SUMIFS('Daily Report'!$D$2:$D$365,'Daily Report'!$B$2:$B$365,"&gt;="&amp;$B11,'Daily Report'!$B$2:$B$365,"&lt;="&amp;$C11)</f>
        <v>0</v>
      </c>
      <c r="E11" s="20" t="n">
        <f aca="false">SUMIFS('Daily Report'!$E$2:$E$365,'Daily Report'!$B$2:$B$365,"&gt;="&amp;$B11,'Daily Report'!$B$2:$B$365,"&lt;="&amp;$C11)</f>
        <v>0</v>
      </c>
      <c r="F11" s="20" t="n">
        <f aca="false">SUMIFS('Daily Report'!$F$2:$F$365,'Daily Report'!$B$2:$B$365,"&gt;="&amp;$B11,'Daily Report'!$B$2:$B$365,"&lt;="&amp;$C11)</f>
        <v>0</v>
      </c>
      <c r="G11" s="20" t="n">
        <f aca="false">SUMIFS('Daily Report'!$H$2:$H$365,'Daily Report'!$B$2:$B$365,"&gt;="&amp;$B11,'Daily Report'!$B$2:$B$365,"&lt;="&amp;$C11)</f>
        <v>0</v>
      </c>
      <c r="H11" s="20" t="str">
        <f aca="false">IF(OR(F11=0,G11=0),"",F11-G11)</f>
        <v/>
      </c>
      <c r="I11" s="36" t="str">
        <f aca="false">IFERROR(H11/G11,"")</f>
        <v/>
      </c>
      <c r="J11" s="37" t="n">
        <f aca="false">SUMIFS('Daily Report'!$K$2:$K$365,'Daily Report'!$B$2:$B$365,"&gt;="&amp;$B11,'Daily Report'!$B$2:$B$365,"&lt;="&amp;$C11)</f>
        <v>0</v>
      </c>
      <c r="K11" s="37" t="n">
        <f aca="false">SUMIFS('Daily Report'!$L$2:$L$365,'Daily Report'!$B$2:$B$365,"&gt;="&amp;$B11,'Daily Report'!$B$2:$B$365,"&lt;="&amp;$C11)</f>
        <v>0</v>
      </c>
      <c r="L11" s="36" t="str">
        <f aca="false">IFERROR(K11/J11,"")</f>
        <v/>
      </c>
      <c r="M11" s="20" t="str">
        <f aca="false">IFERROR(F11/K11,"")</f>
        <v/>
      </c>
      <c r="N11" s="20" t="n">
        <f aca="false">SUMIFS('Daily Report'!$M$2:$M$365,'Daily Report'!$B$2:$B$365,"&gt;="&amp;$B11,'Daily Report'!$B$2:$B$365,"&lt;="&amp;$C11)</f>
        <v>0</v>
      </c>
    </row>
    <row r="12" customFormat="false" ht="15" hidden="false" customHeight="false" outlineLevel="0" collapsed="false">
      <c r="A12" s="12" t="str">
        <f aca="false">TEXT(B12,"mmm yyyy")</f>
        <v>Nov 2026</v>
      </c>
      <c r="B12" s="13" t="n">
        <f aca="false">EDATE(B11,1)</f>
        <v>46327</v>
      </c>
      <c r="C12" s="13" t="n">
        <f aca="false">EOMONTH(B12,0)</f>
        <v>46356</v>
      </c>
      <c r="D12" s="20" t="n">
        <f aca="false">SUMIFS('Daily Report'!$D$2:$D$365,'Daily Report'!$B$2:$B$365,"&gt;="&amp;$B12,'Daily Report'!$B$2:$B$365,"&lt;="&amp;$C12)</f>
        <v>0</v>
      </c>
      <c r="E12" s="20" t="n">
        <f aca="false">SUMIFS('Daily Report'!$E$2:$E$365,'Daily Report'!$B$2:$B$365,"&gt;="&amp;$B12,'Daily Report'!$B$2:$B$365,"&lt;="&amp;$C12)</f>
        <v>0</v>
      </c>
      <c r="F12" s="20" t="n">
        <f aca="false">SUMIFS('Daily Report'!$F$2:$F$365,'Daily Report'!$B$2:$B$365,"&gt;="&amp;$B12,'Daily Report'!$B$2:$B$365,"&lt;="&amp;$C12)</f>
        <v>0</v>
      </c>
      <c r="G12" s="20" t="n">
        <f aca="false">SUMIFS('Daily Report'!$H$2:$H$365,'Daily Report'!$B$2:$B$365,"&gt;="&amp;$B12,'Daily Report'!$B$2:$B$365,"&lt;="&amp;$C12)</f>
        <v>0</v>
      </c>
      <c r="H12" s="20" t="str">
        <f aca="false">IF(OR(F12=0,G12=0),"",F12-G12)</f>
        <v/>
      </c>
      <c r="I12" s="36" t="str">
        <f aca="false">IFERROR(H12/G12,"")</f>
        <v/>
      </c>
      <c r="J12" s="37" t="n">
        <f aca="false">SUMIFS('Daily Report'!$K$2:$K$365,'Daily Report'!$B$2:$B$365,"&gt;="&amp;$B12,'Daily Report'!$B$2:$B$365,"&lt;="&amp;$C12)</f>
        <v>0</v>
      </c>
      <c r="K12" s="37" t="n">
        <f aca="false">SUMIFS('Daily Report'!$L$2:$L$365,'Daily Report'!$B$2:$B$365,"&gt;="&amp;$B12,'Daily Report'!$B$2:$B$365,"&lt;="&amp;$C12)</f>
        <v>0</v>
      </c>
      <c r="L12" s="36" t="str">
        <f aca="false">IFERROR(K12/J12,"")</f>
        <v/>
      </c>
      <c r="M12" s="20" t="str">
        <f aca="false">IFERROR(F12/K12,"")</f>
        <v/>
      </c>
      <c r="N12" s="20" t="n">
        <f aca="false">SUMIFS('Daily Report'!$M$2:$M$365,'Daily Report'!$B$2:$B$365,"&gt;="&amp;$B12,'Daily Report'!$B$2:$B$365,"&lt;="&amp;$C12)</f>
        <v>0</v>
      </c>
    </row>
    <row r="13" customFormat="false" ht="15" hidden="false" customHeight="false" outlineLevel="0" collapsed="false">
      <c r="A13" s="12" t="str">
        <f aca="false">TEXT(B13,"mmm yyyy")</f>
        <v>Dec 2026</v>
      </c>
      <c r="B13" s="13" t="n">
        <f aca="false">EDATE(B12,1)</f>
        <v>46357</v>
      </c>
      <c r="C13" s="13" t="n">
        <f aca="false">EOMONTH(B13,0)</f>
        <v>46387</v>
      </c>
      <c r="D13" s="20" t="n">
        <f aca="false">SUMIFS('Daily Report'!$D$2:$D$365,'Daily Report'!$B$2:$B$365,"&gt;="&amp;$B13,'Daily Report'!$B$2:$B$365,"&lt;="&amp;$C13)</f>
        <v>0</v>
      </c>
      <c r="E13" s="20" t="n">
        <f aca="false">SUMIFS('Daily Report'!$E$2:$E$365,'Daily Report'!$B$2:$B$365,"&gt;="&amp;$B13,'Daily Report'!$B$2:$B$365,"&lt;="&amp;$C13)</f>
        <v>0</v>
      </c>
      <c r="F13" s="20" t="n">
        <f aca="false">SUMIFS('Daily Report'!$F$2:$F$365,'Daily Report'!$B$2:$B$365,"&gt;="&amp;$B13,'Daily Report'!$B$2:$B$365,"&lt;="&amp;$C13)</f>
        <v>0</v>
      </c>
      <c r="G13" s="20" t="n">
        <f aca="false">SUMIFS('Daily Report'!$H$2:$H$365,'Daily Report'!$B$2:$B$365,"&gt;="&amp;$B13,'Daily Report'!$B$2:$B$365,"&lt;="&amp;$C13)</f>
        <v>0</v>
      </c>
      <c r="H13" s="20" t="str">
        <f aca="false">IF(OR(F13=0,G13=0),"",F13-G13)</f>
        <v/>
      </c>
      <c r="I13" s="36" t="str">
        <f aca="false">IFERROR(H13/G13,"")</f>
        <v/>
      </c>
      <c r="J13" s="37" t="n">
        <f aca="false">SUMIFS('Daily Report'!$K$2:$K$365,'Daily Report'!$B$2:$B$365,"&gt;="&amp;$B13,'Daily Report'!$B$2:$B$365,"&lt;="&amp;$C13)</f>
        <v>0</v>
      </c>
      <c r="K13" s="37" t="n">
        <f aca="false">SUMIFS('Daily Report'!$L$2:$L$365,'Daily Report'!$B$2:$B$365,"&gt;="&amp;$B13,'Daily Report'!$B$2:$B$365,"&lt;="&amp;$C13)</f>
        <v>0</v>
      </c>
      <c r="L13" s="36" t="str">
        <f aca="false">IFERROR(K13/J13,"")</f>
        <v/>
      </c>
      <c r="M13" s="20" t="str">
        <f aca="false">IFERROR(F13/K13,"")</f>
        <v/>
      </c>
      <c r="N13" s="20" t="n">
        <f aca="false">SUMIFS('Daily Report'!$M$2:$M$365,'Daily Report'!$B$2:$B$365,"&gt;="&amp;$B13,'Daily Report'!$B$2:$B$365,"&lt;="&amp;$C13)</f>
        <v>0</v>
      </c>
    </row>
    <row r="14" customFormat="false" ht="15" hidden="false" customHeight="false" outlineLevel="0" collapsed="false">
      <c r="A14" s="12" t="str">
        <f aca="false">TEXT(B14,"mmm yyyy")</f>
        <v>Jan 2027</v>
      </c>
      <c r="B14" s="13" t="n">
        <f aca="false">EDATE(B13,1)</f>
        <v>46388</v>
      </c>
      <c r="C14" s="13" t="n">
        <f aca="false">EOMONTH(B14,0)</f>
        <v>46418</v>
      </c>
      <c r="D14" s="20" t="n">
        <f aca="false">SUMIFS('Daily Report'!$D$2:$D$365,'Daily Report'!$B$2:$B$365,"&gt;="&amp;$B14,'Daily Report'!$B$2:$B$365,"&lt;="&amp;$C14)</f>
        <v>0</v>
      </c>
      <c r="E14" s="20" t="n">
        <f aca="false">SUMIFS('Daily Report'!$E$2:$E$365,'Daily Report'!$B$2:$B$365,"&gt;="&amp;$B14,'Daily Report'!$B$2:$B$365,"&lt;="&amp;$C14)</f>
        <v>0</v>
      </c>
      <c r="F14" s="20" t="n">
        <f aca="false">SUMIFS('Daily Report'!$F$2:$F$365,'Daily Report'!$B$2:$B$365,"&gt;="&amp;$B14,'Daily Report'!$B$2:$B$365,"&lt;="&amp;$C14)</f>
        <v>0</v>
      </c>
      <c r="G14" s="20" t="n">
        <f aca="false">SUMIFS('Daily Report'!$H$2:$H$365,'Daily Report'!$B$2:$B$365,"&gt;="&amp;$B14,'Daily Report'!$B$2:$B$365,"&lt;="&amp;$C14)</f>
        <v>0</v>
      </c>
      <c r="H14" s="20" t="str">
        <f aca="false">IF(OR(F14=0,G14=0),"",F14-G14)</f>
        <v/>
      </c>
      <c r="I14" s="36" t="str">
        <f aca="false">IFERROR(H14/G14,"")</f>
        <v/>
      </c>
      <c r="J14" s="37" t="n">
        <f aca="false">SUMIFS('Daily Report'!$K$2:$K$365,'Daily Report'!$B$2:$B$365,"&gt;="&amp;$B14,'Daily Report'!$B$2:$B$365,"&lt;="&amp;$C14)</f>
        <v>0</v>
      </c>
      <c r="K14" s="37" t="n">
        <f aca="false">SUMIFS('Daily Report'!$L$2:$L$365,'Daily Report'!$B$2:$B$365,"&gt;="&amp;$B14,'Daily Report'!$B$2:$B$365,"&lt;="&amp;$C14)</f>
        <v>0</v>
      </c>
      <c r="L14" s="36" t="str">
        <f aca="false">IFERROR(K14/J14,"")</f>
        <v/>
      </c>
      <c r="M14" s="20" t="str">
        <f aca="false">IFERROR(F14/K14,"")</f>
        <v/>
      </c>
      <c r="N14" s="20" t="n">
        <f aca="false">SUMIFS('Daily Report'!$M$2:$M$365,'Daily Report'!$B$2:$B$365,"&gt;="&amp;$B14,'Daily Report'!$B$2:$B$365,"&lt;="&amp;$C14)</f>
        <v>0</v>
      </c>
    </row>
    <row r="15" customFormat="false" ht="15" hidden="false" customHeight="false" outlineLevel="0" collapsed="false">
      <c r="A15" s="27" t="s">
        <v>182</v>
      </c>
      <c r="B15" s="27"/>
      <c r="C15" s="27"/>
      <c r="D15" s="29" t="n">
        <f aca="false">SUM(D2:D14)</f>
        <v>0</v>
      </c>
      <c r="E15" s="29" t="n">
        <f aca="false">SUM(E2:E14)</f>
        <v>0</v>
      </c>
      <c r="F15" s="29" t="n">
        <f aca="false">SUM(F2:F14)</f>
        <v>0</v>
      </c>
      <c r="G15" s="29" t="n">
        <f aca="false">SUM(G2:G14)</f>
        <v>0</v>
      </c>
      <c r="H15" s="29" t="n">
        <f aca="false">SUM(H2:H14)</f>
        <v>0</v>
      </c>
      <c r="I15" s="30" t="str">
        <f aca="false">IFERROR(H15/G15,"")</f>
        <v/>
      </c>
      <c r="J15" s="28" t="n">
        <f aca="false">SUM(J2:J14)</f>
        <v>0</v>
      </c>
      <c r="K15" s="28" t="n">
        <f aca="false">SUM(K2:K14)</f>
        <v>0</v>
      </c>
      <c r="L15" s="30" t="str">
        <f aca="false">IFERROR(K15/J15,"")</f>
        <v/>
      </c>
      <c r="M15" s="29" t="str">
        <f aca="false">IFERROR(F15/K15,"")</f>
        <v/>
      </c>
      <c r="N15" s="29" t="n">
        <f aca="false">SUM(N2:N14)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642C"/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3"/>
    <col collapsed="false" customWidth="true" hidden="false" outlineLevel="0" max="15" min="15" style="0" width="15"/>
  </cols>
  <sheetData>
    <row r="1" customFormat="false" ht="19.7" hidden="false" customHeight="false" outlineLevel="0" collapsed="false">
      <c r="A1" s="1" t="s">
        <v>188</v>
      </c>
    </row>
    <row r="2" customFormat="false" ht="15" hidden="false" customHeight="false" outlineLevel="0" collapsed="false">
      <c r="A2" s="5" t="s">
        <v>189</v>
      </c>
    </row>
    <row r="4" customFormat="false" ht="15" hidden="false" customHeight="false" outlineLevel="0" collapsed="false">
      <c r="A4" s="38"/>
      <c r="B4" s="39" t="str">
        <f aca="false">'Monthly Summary'!A2</f>
        <v>Jan 2026</v>
      </c>
      <c r="C4" s="39" t="str">
        <f aca="false">'Monthly Summary'!A3</f>
        <v>Feb 2026</v>
      </c>
      <c r="D4" s="39" t="str">
        <f aca="false">'Monthly Summary'!A4</f>
        <v>Mar 2026</v>
      </c>
      <c r="E4" s="39" t="str">
        <f aca="false">'Monthly Summary'!A5</f>
        <v>Apr 2026</v>
      </c>
      <c r="F4" s="39" t="str">
        <f aca="false">'Monthly Summary'!A6</f>
        <v>May 2026</v>
      </c>
      <c r="G4" s="39" t="str">
        <f aca="false">'Monthly Summary'!A7</f>
        <v>Jun 2026</v>
      </c>
      <c r="H4" s="39" t="str">
        <f aca="false">'Monthly Summary'!A8</f>
        <v>Jul 2026</v>
      </c>
      <c r="I4" s="39" t="str">
        <f aca="false">'Monthly Summary'!A9</f>
        <v>Aug 2026</v>
      </c>
      <c r="J4" s="39" t="str">
        <f aca="false">'Monthly Summary'!A10</f>
        <v>Sep 2026</v>
      </c>
      <c r="K4" s="39" t="str">
        <f aca="false">'Monthly Summary'!A11</f>
        <v>Oct 2026</v>
      </c>
      <c r="L4" s="39" t="str">
        <f aca="false">'Monthly Summary'!A12</f>
        <v>Nov 2026</v>
      </c>
      <c r="M4" s="39" t="str">
        <f aca="false">'Monthly Summary'!A13</f>
        <v>Dec 2026</v>
      </c>
      <c r="N4" s="39" t="str">
        <f aca="false">'Monthly Summary'!A14</f>
        <v>Jan 2027</v>
      </c>
      <c r="O4" s="39" t="s">
        <v>190</v>
      </c>
    </row>
    <row r="6" customFormat="false" ht="15" hidden="false" customHeight="false" outlineLevel="0" collapsed="false">
      <c r="A6" s="4" t="s">
        <v>191</v>
      </c>
    </row>
    <row r="7" customFormat="false" ht="15" hidden="false" customHeight="false" outlineLevel="0" collapsed="false">
      <c r="A7" s="6" t="s">
        <v>192</v>
      </c>
      <c r="B7" s="40" t="n">
        <f aca="false">'Monthly Summary'!F2</f>
        <v>0</v>
      </c>
      <c r="C7" s="40" t="n">
        <f aca="false">'Monthly Summary'!F3</f>
        <v>0</v>
      </c>
      <c r="D7" s="40" t="n">
        <f aca="false">'Monthly Summary'!F4</f>
        <v>0</v>
      </c>
      <c r="E7" s="40" t="n">
        <f aca="false">'Monthly Summary'!F5</f>
        <v>0</v>
      </c>
      <c r="F7" s="40" t="n">
        <f aca="false">'Monthly Summary'!F6</f>
        <v>0</v>
      </c>
      <c r="G7" s="40" t="n">
        <f aca="false">'Monthly Summary'!F7</f>
        <v>0</v>
      </c>
      <c r="H7" s="40" t="n">
        <f aca="false">'Monthly Summary'!F8</f>
        <v>0</v>
      </c>
      <c r="I7" s="40" t="n">
        <f aca="false">'Monthly Summary'!F9</f>
        <v>0</v>
      </c>
      <c r="J7" s="40" t="n">
        <f aca="false">'Monthly Summary'!F10</f>
        <v>0</v>
      </c>
      <c r="K7" s="40" t="n">
        <f aca="false">'Monthly Summary'!F11</f>
        <v>0</v>
      </c>
      <c r="L7" s="40" t="n">
        <f aca="false">'Monthly Summary'!F12</f>
        <v>0</v>
      </c>
      <c r="M7" s="40" t="n">
        <f aca="false">'Monthly Summary'!F13</f>
        <v>0</v>
      </c>
      <c r="N7" s="40" t="n">
        <f aca="false">'Monthly Summary'!F14</f>
        <v>0</v>
      </c>
      <c r="O7" s="40" t="n">
        <f aca="false">SUM(B7:N7)</f>
        <v>0</v>
      </c>
    </row>
    <row r="8" customFormat="false" ht="15" hidden="false" customHeight="false" outlineLevel="0" collapsed="false">
      <c r="A8" s="3" t="s">
        <v>193</v>
      </c>
      <c r="B8" s="20" t="n">
        <f aca="false">'Monthly Summary'!D2</f>
        <v>0</v>
      </c>
      <c r="C8" s="20" t="n">
        <f aca="false">'Monthly Summary'!D3</f>
        <v>0</v>
      </c>
      <c r="D8" s="20" t="n">
        <f aca="false">'Monthly Summary'!D4</f>
        <v>0</v>
      </c>
      <c r="E8" s="20" t="n">
        <f aca="false">'Monthly Summary'!D5</f>
        <v>0</v>
      </c>
      <c r="F8" s="20" t="n">
        <f aca="false">'Monthly Summary'!D6</f>
        <v>0</v>
      </c>
      <c r="G8" s="20" t="n">
        <f aca="false">'Monthly Summary'!D7</f>
        <v>0</v>
      </c>
      <c r="H8" s="20" t="n">
        <f aca="false">'Monthly Summary'!D8</f>
        <v>0</v>
      </c>
      <c r="I8" s="20" t="n">
        <f aca="false">'Monthly Summary'!D9</f>
        <v>0</v>
      </c>
      <c r="J8" s="20" t="n">
        <f aca="false">'Monthly Summary'!D10</f>
        <v>0</v>
      </c>
      <c r="K8" s="20" t="n">
        <f aca="false">'Monthly Summary'!D11</f>
        <v>0</v>
      </c>
      <c r="L8" s="20" t="n">
        <f aca="false">'Monthly Summary'!D12</f>
        <v>0</v>
      </c>
      <c r="M8" s="20" t="n">
        <f aca="false">'Monthly Summary'!D13</f>
        <v>0</v>
      </c>
      <c r="N8" s="20" t="n">
        <f aca="false">'Monthly Summary'!D14</f>
        <v>0</v>
      </c>
      <c r="O8" s="20" t="n">
        <f aca="false">SUM(B8:N8)</f>
        <v>0</v>
      </c>
    </row>
    <row r="9" customFormat="false" ht="15" hidden="false" customHeight="false" outlineLevel="0" collapsed="false">
      <c r="A9" s="3" t="s">
        <v>194</v>
      </c>
      <c r="B9" s="20" t="n">
        <f aca="false">'Monthly Summary'!E2</f>
        <v>0</v>
      </c>
      <c r="C9" s="20" t="n">
        <f aca="false">'Monthly Summary'!E3</f>
        <v>0</v>
      </c>
      <c r="D9" s="20" t="n">
        <f aca="false">'Monthly Summary'!E4</f>
        <v>0</v>
      </c>
      <c r="E9" s="20" t="n">
        <f aca="false">'Monthly Summary'!E5</f>
        <v>0</v>
      </c>
      <c r="F9" s="20" t="n">
        <f aca="false">'Monthly Summary'!E6</f>
        <v>0</v>
      </c>
      <c r="G9" s="20" t="n">
        <f aca="false">'Monthly Summary'!E7</f>
        <v>0</v>
      </c>
      <c r="H9" s="20" t="n">
        <f aca="false">'Monthly Summary'!E8</f>
        <v>0</v>
      </c>
      <c r="I9" s="20" t="n">
        <f aca="false">'Monthly Summary'!E9</f>
        <v>0</v>
      </c>
      <c r="J9" s="20" t="n">
        <f aca="false">'Monthly Summary'!E10</f>
        <v>0</v>
      </c>
      <c r="K9" s="20" t="n">
        <f aca="false">'Monthly Summary'!E11</f>
        <v>0</v>
      </c>
      <c r="L9" s="20" t="n">
        <f aca="false">'Monthly Summary'!E12</f>
        <v>0</v>
      </c>
      <c r="M9" s="20" t="n">
        <f aca="false">'Monthly Summary'!E13</f>
        <v>0</v>
      </c>
      <c r="N9" s="20" t="n">
        <f aca="false">'Monthly Summary'!E14</f>
        <v>0</v>
      </c>
      <c r="O9" s="20" t="n">
        <f aca="false">SUM(B9:N9)</f>
        <v>0</v>
      </c>
    </row>
    <row r="10" customFormat="false" ht="15" hidden="false" customHeight="false" outlineLevel="0" collapsed="false">
      <c r="A10" s="3" t="s">
        <v>195</v>
      </c>
      <c r="B10" s="20" t="n">
        <f aca="false">'Monthly Summary'!N2</f>
        <v>0</v>
      </c>
      <c r="C10" s="20" t="n">
        <f aca="false">'Monthly Summary'!N3</f>
        <v>0</v>
      </c>
      <c r="D10" s="20" t="n">
        <f aca="false">'Monthly Summary'!N4</f>
        <v>0</v>
      </c>
      <c r="E10" s="20" t="n">
        <f aca="false">'Monthly Summary'!N5</f>
        <v>0</v>
      </c>
      <c r="F10" s="20" t="n">
        <f aca="false">'Monthly Summary'!N6</f>
        <v>0</v>
      </c>
      <c r="G10" s="20" t="n">
        <f aca="false">'Monthly Summary'!N7</f>
        <v>0</v>
      </c>
      <c r="H10" s="20" t="n">
        <f aca="false">'Monthly Summary'!N8</f>
        <v>0</v>
      </c>
      <c r="I10" s="20" t="n">
        <f aca="false">'Monthly Summary'!N9</f>
        <v>0</v>
      </c>
      <c r="J10" s="20" t="n">
        <f aca="false">'Monthly Summary'!N10</f>
        <v>0</v>
      </c>
      <c r="K10" s="20" t="n">
        <f aca="false">'Monthly Summary'!N11</f>
        <v>0</v>
      </c>
      <c r="L10" s="20" t="n">
        <f aca="false">'Monthly Summary'!N12</f>
        <v>0</v>
      </c>
      <c r="M10" s="20" t="n">
        <f aca="false">'Monthly Summary'!N13</f>
        <v>0</v>
      </c>
      <c r="N10" s="20" t="n">
        <f aca="false">'Monthly Summary'!N14</f>
        <v>0</v>
      </c>
      <c r="O10" s="20" t="n">
        <f aca="false">SUM(B10:N10)</f>
        <v>0</v>
      </c>
    </row>
    <row r="11" customFormat="false" ht="15" hidden="false" customHeight="false" outlineLevel="0" collapsed="false">
      <c r="A11" s="3" t="s">
        <v>196</v>
      </c>
      <c r="B11" s="20" t="n">
        <f aca="false">IFERROR(B7-B10,"")</f>
        <v>0</v>
      </c>
      <c r="C11" s="20" t="n">
        <f aca="false">IFERROR(C7-C10,"")</f>
        <v>0</v>
      </c>
      <c r="D11" s="20" t="n">
        <f aca="false">IFERROR(D7-D10,"")</f>
        <v>0</v>
      </c>
      <c r="E11" s="20" t="n">
        <f aca="false">IFERROR(E7-E10,"")</f>
        <v>0</v>
      </c>
      <c r="F11" s="20" t="n">
        <f aca="false">IFERROR(F7-F10,"")</f>
        <v>0</v>
      </c>
      <c r="G11" s="20" t="n">
        <f aca="false">IFERROR(G7-G10,"")</f>
        <v>0</v>
      </c>
      <c r="H11" s="20" t="n">
        <f aca="false">IFERROR(H7-H10,"")</f>
        <v>0</v>
      </c>
      <c r="I11" s="20" t="n">
        <f aca="false">IFERROR(I7-I10,"")</f>
        <v>0</v>
      </c>
      <c r="J11" s="20" t="n">
        <f aca="false">IFERROR(J7-J10,"")</f>
        <v>0</v>
      </c>
      <c r="K11" s="20" t="n">
        <f aca="false">IFERROR(K7-K10,"")</f>
        <v>0</v>
      </c>
      <c r="L11" s="20" t="n">
        <f aca="false">IFERROR(L7-L10,"")</f>
        <v>0</v>
      </c>
      <c r="M11" s="20" t="n">
        <f aca="false">IFERROR(M7-M10,"")</f>
        <v>0</v>
      </c>
      <c r="N11" s="20" t="n">
        <f aca="false">IFERROR(N7-N10,"")</f>
        <v>0</v>
      </c>
      <c r="O11" s="20" t="n">
        <f aca="false">SUM(B11:N11)</f>
        <v>0</v>
      </c>
    </row>
    <row r="13" customFormat="false" ht="15" hidden="false" customHeight="false" outlineLevel="0" collapsed="false">
      <c r="A13" s="4" t="s">
        <v>197</v>
      </c>
    </row>
    <row r="14" customFormat="false" ht="15" hidden="false" customHeight="false" outlineLevel="0" collapsed="false">
      <c r="A14" s="3" t="s">
        <v>198</v>
      </c>
      <c r="B14" s="20" t="n">
        <f aca="false">IFERROR(B7/Setup!$C$6,0)</f>
        <v>0</v>
      </c>
      <c r="C14" s="20" t="n">
        <f aca="false">IFERROR(C7/Setup!$C$6,0)</f>
        <v>0</v>
      </c>
      <c r="D14" s="20" t="n">
        <f aca="false">IFERROR(D7/Setup!$C$6,0)</f>
        <v>0</v>
      </c>
      <c r="E14" s="20" t="n">
        <f aca="false">IFERROR(E7/Setup!$C$6,0)</f>
        <v>0</v>
      </c>
      <c r="F14" s="20" t="n">
        <f aca="false">IFERROR(F7/Setup!$C$6,0)</f>
        <v>0</v>
      </c>
      <c r="G14" s="20" t="n">
        <f aca="false">IFERROR(G7/Setup!$C$6,0)</f>
        <v>0</v>
      </c>
      <c r="H14" s="20" t="n">
        <f aca="false">IFERROR(H7/Setup!$C$6,0)</f>
        <v>0</v>
      </c>
      <c r="I14" s="20" t="n">
        <f aca="false">IFERROR(I7/Setup!$C$6,0)</f>
        <v>0</v>
      </c>
      <c r="J14" s="20" t="n">
        <f aca="false">IFERROR(J7/Setup!$C$6,0)</f>
        <v>0</v>
      </c>
      <c r="K14" s="20" t="n">
        <f aca="false">IFERROR(K7/Setup!$C$6,0)</f>
        <v>0</v>
      </c>
      <c r="L14" s="20" t="n">
        <f aca="false">IFERROR(L7/Setup!$C$6,0)</f>
        <v>0</v>
      </c>
      <c r="M14" s="20" t="n">
        <f aca="false">IFERROR(M7/Setup!$C$6,0)</f>
        <v>0</v>
      </c>
      <c r="N14" s="20" t="n">
        <f aca="false">IFERROR(N7/Setup!$C$6,0)</f>
        <v>0</v>
      </c>
      <c r="O14" s="20" t="n">
        <f aca="false">SUM(B14:N14)</f>
        <v>0</v>
      </c>
    </row>
    <row r="16" customFormat="false" ht="15" hidden="false" customHeight="false" outlineLevel="0" collapsed="false">
      <c r="A16" s="6" t="s">
        <v>199</v>
      </c>
      <c r="B16" s="25" t="n">
        <f aca="false">IFERROR(B7-B14,0)</f>
        <v>0</v>
      </c>
      <c r="C16" s="25" t="n">
        <f aca="false">IFERROR(C7-C14,0)</f>
        <v>0</v>
      </c>
      <c r="D16" s="25" t="n">
        <f aca="false">IFERROR(D7-D14,0)</f>
        <v>0</v>
      </c>
      <c r="E16" s="25" t="n">
        <f aca="false">IFERROR(E7-E14,0)</f>
        <v>0</v>
      </c>
      <c r="F16" s="25" t="n">
        <f aca="false">IFERROR(F7-F14,0)</f>
        <v>0</v>
      </c>
      <c r="G16" s="25" t="n">
        <f aca="false">IFERROR(G7-G14,0)</f>
        <v>0</v>
      </c>
      <c r="H16" s="25" t="n">
        <f aca="false">IFERROR(H7-H14,0)</f>
        <v>0</v>
      </c>
      <c r="I16" s="25" t="n">
        <f aca="false">IFERROR(I7-I14,0)</f>
        <v>0</v>
      </c>
      <c r="J16" s="25" t="n">
        <f aca="false">IFERROR(J7-J14,0)</f>
        <v>0</v>
      </c>
      <c r="K16" s="25" t="n">
        <f aca="false">IFERROR(K7-K14,0)</f>
        <v>0</v>
      </c>
      <c r="L16" s="25" t="n">
        <f aca="false">IFERROR(L7-L14,0)</f>
        <v>0</v>
      </c>
      <c r="M16" s="25" t="n">
        <f aca="false">IFERROR(M7-M14,0)</f>
        <v>0</v>
      </c>
      <c r="N16" s="25" t="n">
        <f aca="false">IFERROR(N7-N14,0)</f>
        <v>0</v>
      </c>
      <c r="O16" s="25" t="n">
        <f aca="false">SUM(B16:N16)</f>
        <v>0</v>
      </c>
    </row>
    <row r="17" customFormat="false" ht="15" hidden="false" customHeight="false" outlineLevel="0" collapsed="false">
      <c r="A17" s="3" t="s">
        <v>200</v>
      </c>
      <c r="B17" s="36" t="str">
        <f aca="false">IFERROR(B16/B7,"")</f>
        <v/>
      </c>
      <c r="C17" s="36" t="str">
        <f aca="false">IFERROR(C16/C7,"")</f>
        <v/>
      </c>
      <c r="D17" s="36" t="str">
        <f aca="false">IFERROR(D16/D7,"")</f>
        <v/>
      </c>
      <c r="E17" s="36" t="str">
        <f aca="false">IFERROR(E16/E7,"")</f>
        <v/>
      </c>
      <c r="F17" s="36" t="str">
        <f aca="false">IFERROR(F16/F7,"")</f>
        <v/>
      </c>
      <c r="G17" s="36" t="str">
        <f aca="false">IFERROR(G16/G7,"")</f>
        <v/>
      </c>
      <c r="H17" s="36" t="str">
        <f aca="false">IFERROR(H16/H7,"")</f>
        <v/>
      </c>
      <c r="I17" s="36" t="str">
        <f aca="false">IFERROR(I16/I7,"")</f>
        <v/>
      </c>
      <c r="J17" s="36" t="str">
        <f aca="false">IFERROR(J16/J7,"")</f>
        <v/>
      </c>
      <c r="K17" s="36" t="str">
        <f aca="false">IFERROR(K16/K7,"")</f>
        <v/>
      </c>
      <c r="L17" s="36" t="str">
        <f aca="false">IFERROR(L16/L7,"")</f>
        <v/>
      </c>
      <c r="M17" s="36" t="str">
        <f aca="false">IFERROR(M16/M7,"")</f>
        <v/>
      </c>
      <c r="N17" s="36" t="str">
        <f aca="false">IFERROR(N16/N7,"")</f>
        <v/>
      </c>
      <c r="O17" s="36" t="str">
        <f aca="false">IFERROR(O16/O7,"")</f>
        <v/>
      </c>
    </row>
    <row r="19" customFormat="false" ht="15" hidden="false" customHeight="false" outlineLevel="0" collapsed="false">
      <c r="A19" s="4" t="s">
        <v>201</v>
      </c>
    </row>
    <row r="20" customFormat="false" ht="15" hidden="false" customHeight="false" outlineLevel="0" collapsed="false">
      <c r="A20" s="3" t="s">
        <v>202</v>
      </c>
      <c r="B20" s="20" t="n">
        <f aca="false">IFERROR(Setup!$C$7*(('Monthly Summary'!C2-'Monthly Summary'!B2)+1)/7,0)</f>
        <v>0</v>
      </c>
      <c r="C20" s="20" t="n">
        <f aca="false">IFERROR(Setup!$C$7*(('Monthly Summary'!C3-'Monthly Summary'!B3)+1)/7,0)</f>
        <v>0</v>
      </c>
      <c r="D20" s="20" t="n">
        <f aca="false">IFERROR(Setup!$C$7*(('Monthly Summary'!C4-'Monthly Summary'!B4)+1)/7,0)</f>
        <v>0</v>
      </c>
      <c r="E20" s="20" t="n">
        <f aca="false">IFERROR(Setup!$C$7*(('Monthly Summary'!C5-'Monthly Summary'!B5)+1)/7,0)</f>
        <v>0</v>
      </c>
      <c r="F20" s="20" t="n">
        <f aca="false">IFERROR(Setup!$C$7*(('Monthly Summary'!C6-'Monthly Summary'!B6)+1)/7,0)</f>
        <v>0</v>
      </c>
      <c r="G20" s="20" t="n">
        <f aca="false">IFERROR(Setup!$C$7*(('Monthly Summary'!C7-'Monthly Summary'!B7)+1)/7,0)</f>
        <v>0</v>
      </c>
      <c r="H20" s="20" t="n">
        <f aca="false">IFERROR(Setup!$C$7*(('Monthly Summary'!C8-'Monthly Summary'!B8)+1)/7,0)</f>
        <v>0</v>
      </c>
      <c r="I20" s="20" t="n">
        <f aca="false">IFERROR(Setup!$C$7*(('Monthly Summary'!C9-'Monthly Summary'!B9)+1)/7,0)</f>
        <v>0</v>
      </c>
      <c r="J20" s="20" t="n">
        <f aca="false">IFERROR(Setup!$C$7*(('Monthly Summary'!C10-'Monthly Summary'!B10)+1)/7,0)</f>
        <v>0</v>
      </c>
      <c r="K20" s="20" t="n">
        <f aca="false">IFERROR(Setup!$C$7*(('Monthly Summary'!C11-'Monthly Summary'!B11)+1)/7,0)</f>
        <v>0</v>
      </c>
      <c r="L20" s="20" t="n">
        <f aca="false">IFERROR(Setup!$C$7*(('Monthly Summary'!C12-'Monthly Summary'!B12)+1)/7,0)</f>
        <v>0</v>
      </c>
      <c r="M20" s="20" t="n">
        <f aca="false">IFERROR(Setup!$C$7*(('Monthly Summary'!C13-'Monthly Summary'!B13)+1)/7,0)</f>
        <v>0</v>
      </c>
      <c r="N20" s="20" t="n">
        <f aca="false">IFERROR(Setup!$C$7*(('Monthly Summary'!C14-'Monthly Summary'!B14)+1)/7,0)</f>
        <v>0</v>
      </c>
      <c r="O20" s="20" t="n">
        <f aca="false">SUM(B20:N20)</f>
        <v>0</v>
      </c>
    </row>
    <row r="21" customFormat="false" ht="15" hidden="false" customHeight="false" outlineLevel="0" collapsed="false">
      <c r="A21" s="3" t="s">
        <v>203</v>
      </c>
      <c r="B21" s="20" t="n">
        <f aca="false">IFERROR(Setup!$C$8*(('Monthly Summary'!C2-'Monthly Summary'!B2)+1)/7,0)</f>
        <v>0</v>
      </c>
      <c r="C21" s="20" t="n">
        <f aca="false">IFERROR(Setup!$C$8*(('Monthly Summary'!C3-'Monthly Summary'!B3)+1)/7,0)</f>
        <v>0</v>
      </c>
      <c r="D21" s="20" t="n">
        <f aca="false">IFERROR(Setup!$C$8*(('Monthly Summary'!C4-'Monthly Summary'!B4)+1)/7,0)</f>
        <v>0</v>
      </c>
      <c r="E21" s="20" t="n">
        <f aca="false">IFERROR(Setup!$C$8*(('Monthly Summary'!C5-'Monthly Summary'!B5)+1)/7,0)</f>
        <v>0</v>
      </c>
      <c r="F21" s="20" t="n">
        <f aca="false">IFERROR(Setup!$C$8*(('Monthly Summary'!C6-'Monthly Summary'!B6)+1)/7,0)</f>
        <v>0</v>
      </c>
      <c r="G21" s="20" t="n">
        <f aca="false">IFERROR(Setup!$C$8*(('Monthly Summary'!C7-'Monthly Summary'!B7)+1)/7,0)</f>
        <v>0</v>
      </c>
      <c r="H21" s="20" t="n">
        <f aca="false">IFERROR(Setup!$C$8*(('Monthly Summary'!C8-'Monthly Summary'!B8)+1)/7,0)</f>
        <v>0</v>
      </c>
      <c r="I21" s="20" t="n">
        <f aca="false">IFERROR(Setup!$C$8*(('Monthly Summary'!C9-'Monthly Summary'!B9)+1)/7,0)</f>
        <v>0</v>
      </c>
      <c r="J21" s="20" t="n">
        <f aca="false">IFERROR(Setup!$C$8*(('Monthly Summary'!C10-'Monthly Summary'!B10)+1)/7,0)</f>
        <v>0</v>
      </c>
      <c r="K21" s="20" t="n">
        <f aca="false">IFERROR(Setup!$C$8*(('Monthly Summary'!C11-'Monthly Summary'!B11)+1)/7,0)</f>
        <v>0</v>
      </c>
      <c r="L21" s="20" t="n">
        <f aca="false">IFERROR(Setup!$C$8*(('Monthly Summary'!C12-'Monthly Summary'!B12)+1)/7,0)</f>
        <v>0</v>
      </c>
      <c r="M21" s="20" t="n">
        <f aca="false">IFERROR(Setup!$C$8*(('Monthly Summary'!C13-'Monthly Summary'!B13)+1)/7,0)</f>
        <v>0</v>
      </c>
      <c r="N21" s="20" t="n">
        <f aca="false">IFERROR(Setup!$C$8*(('Monthly Summary'!C14-'Monthly Summary'!B14)+1)/7,0)</f>
        <v>0</v>
      </c>
      <c r="O21" s="20" t="n">
        <f aca="false">SUM(B21:N21)</f>
        <v>0</v>
      </c>
    </row>
    <row r="22" customFormat="false" ht="15" hidden="false" customHeight="false" outlineLevel="0" collapsed="false">
      <c r="A22" s="3" t="s">
        <v>204</v>
      </c>
      <c r="B22" s="20" t="n">
        <f aca="false">IFERROR(B7*Setup!$C$9,0)</f>
        <v>0</v>
      </c>
      <c r="C22" s="20" t="n">
        <f aca="false">IFERROR(C7*Setup!$C$9,0)</f>
        <v>0</v>
      </c>
      <c r="D22" s="20" t="n">
        <f aca="false">IFERROR(D7*Setup!$C$9,0)</f>
        <v>0</v>
      </c>
      <c r="E22" s="20" t="n">
        <f aca="false">IFERROR(E7*Setup!$C$9,0)</f>
        <v>0</v>
      </c>
      <c r="F22" s="20" t="n">
        <f aca="false">IFERROR(F7*Setup!$C$9,0)</f>
        <v>0</v>
      </c>
      <c r="G22" s="20" t="n">
        <f aca="false">IFERROR(G7*Setup!$C$9,0)</f>
        <v>0</v>
      </c>
      <c r="H22" s="20" t="n">
        <f aca="false">IFERROR(H7*Setup!$C$9,0)</f>
        <v>0</v>
      </c>
      <c r="I22" s="20" t="n">
        <f aca="false">IFERROR(I7*Setup!$C$9,0)</f>
        <v>0</v>
      </c>
      <c r="J22" s="20" t="n">
        <f aca="false">IFERROR(J7*Setup!$C$9,0)</f>
        <v>0</v>
      </c>
      <c r="K22" s="20" t="n">
        <f aca="false">IFERROR(K7*Setup!$C$9,0)</f>
        <v>0</v>
      </c>
      <c r="L22" s="20" t="n">
        <f aca="false">IFERROR(L7*Setup!$C$9,0)</f>
        <v>0</v>
      </c>
      <c r="M22" s="20" t="n">
        <f aca="false">IFERROR(M7*Setup!$C$9,0)</f>
        <v>0</v>
      </c>
      <c r="N22" s="20" t="n">
        <f aca="false">IFERROR(N7*Setup!$C$9,0)</f>
        <v>0</v>
      </c>
      <c r="O22" s="20" t="n">
        <f aca="false">SUM(B22:N22)</f>
        <v>0</v>
      </c>
    </row>
    <row r="23" customFormat="false" ht="15" hidden="false" customHeight="false" outlineLevel="0" collapsed="false">
      <c r="A23" s="6" t="s">
        <v>205</v>
      </c>
      <c r="B23" s="40" t="n">
        <f aca="false">SUM(B20:B22)</f>
        <v>0</v>
      </c>
      <c r="C23" s="40" t="n">
        <f aca="false">SUM(C20:C22)</f>
        <v>0</v>
      </c>
      <c r="D23" s="40" t="n">
        <f aca="false">SUM(D20:D22)</f>
        <v>0</v>
      </c>
      <c r="E23" s="40" t="n">
        <f aca="false">SUM(E20:E22)</f>
        <v>0</v>
      </c>
      <c r="F23" s="40" t="n">
        <f aca="false">SUM(F20:F22)</f>
        <v>0</v>
      </c>
      <c r="G23" s="40" t="n">
        <f aca="false">SUM(G20:G22)</f>
        <v>0</v>
      </c>
      <c r="H23" s="40" t="n">
        <f aca="false">SUM(H20:H22)</f>
        <v>0</v>
      </c>
      <c r="I23" s="40" t="n">
        <f aca="false">SUM(I20:I22)</f>
        <v>0</v>
      </c>
      <c r="J23" s="40" t="n">
        <f aca="false">SUM(J20:J22)</f>
        <v>0</v>
      </c>
      <c r="K23" s="40" t="n">
        <f aca="false">SUM(K20:K22)</f>
        <v>0</v>
      </c>
      <c r="L23" s="40" t="n">
        <f aca="false">SUM(L20:L22)</f>
        <v>0</v>
      </c>
      <c r="M23" s="40" t="n">
        <f aca="false">SUM(M20:M22)</f>
        <v>0</v>
      </c>
      <c r="N23" s="40" t="n">
        <f aca="false">SUM(N20:N22)</f>
        <v>0</v>
      </c>
      <c r="O23" s="40" t="n">
        <f aca="false">SUM(B23:N23)</f>
        <v>0</v>
      </c>
    </row>
    <row r="25" customFormat="false" ht="15" hidden="false" customHeight="false" outlineLevel="0" collapsed="false">
      <c r="A25" s="6" t="s">
        <v>206</v>
      </c>
      <c r="B25" s="25" t="n">
        <f aca="false">IFERROR(B16-B23,0)</f>
        <v>0</v>
      </c>
      <c r="C25" s="25" t="n">
        <f aca="false">IFERROR(C16-C23,0)</f>
        <v>0</v>
      </c>
      <c r="D25" s="25" t="n">
        <f aca="false">IFERROR(D16-D23,0)</f>
        <v>0</v>
      </c>
      <c r="E25" s="25" t="n">
        <f aca="false">IFERROR(E16-E23,0)</f>
        <v>0</v>
      </c>
      <c r="F25" s="25" t="n">
        <f aca="false">IFERROR(F16-F23,0)</f>
        <v>0</v>
      </c>
      <c r="G25" s="25" t="n">
        <f aca="false">IFERROR(G16-G23,0)</f>
        <v>0</v>
      </c>
      <c r="H25" s="25" t="n">
        <f aca="false">IFERROR(H16-H23,0)</f>
        <v>0</v>
      </c>
      <c r="I25" s="25" t="n">
        <f aca="false">IFERROR(I16-I23,0)</f>
        <v>0</v>
      </c>
      <c r="J25" s="25" t="n">
        <f aca="false">IFERROR(J16-J23,0)</f>
        <v>0</v>
      </c>
      <c r="K25" s="25" t="n">
        <f aca="false">IFERROR(K16-K23,0)</f>
        <v>0</v>
      </c>
      <c r="L25" s="25" t="n">
        <f aca="false">IFERROR(L16-L23,0)</f>
        <v>0</v>
      </c>
      <c r="M25" s="25" t="n">
        <f aca="false">IFERROR(M16-M23,0)</f>
        <v>0</v>
      </c>
      <c r="N25" s="25" t="n">
        <f aca="false">IFERROR(N16-N23,0)</f>
        <v>0</v>
      </c>
      <c r="O25" s="25" t="n">
        <f aca="false">SUM(B25:N25)</f>
        <v>0</v>
      </c>
    </row>
    <row r="26" customFormat="false" ht="15" hidden="false" customHeight="false" outlineLevel="0" collapsed="false">
      <c r="A26" s="3" t="s">
        <v>207</v>
      </c>
      <c r="B26" s="20" t="n">
        <f aca="false">IF(B25&gt;0,B25*Setup!$C$10,0)</f>
        <v>0</v>
      </c>
      <c r="C26" s="20" t="n">
        <f aca="false">IF(C25&gt;0,C25*Setup!$C$10,0)</f>
        <v>0</v>
      </c>
      <c r="D26" s="20" t="n">
        <f aca="false">IF(D25&gt;0,D25*Setup!$C$10,0)</f>
        <v>0</v>
      </c>
      <c r="E26" s="20" t="n">
        <f aca="false">IF(E25&gt;0,E25*Setup!$C$10,0)</f>
        <v>0</v>
      </c>
      <c r="F26" s="20" t="n">
        <f aca="false">IF(F25&gt;0,F25*Setup!$C$10,0)</f>
        <v>0</v>
      </c>
      <c r="G26" s="20" t="n">
        <f aca="false">IF(G25&gt;0,G25*Setup!$C$10,0)</f>
        <v>0</v>
      </c>
      <c r="H26" s="20" t="n">
        <f aca="false">IF(H25&gt;0,H25*Setup!$C$10,0)</f>
        <v>0</v>
      </c>
      <c r="I26" s="20" t="n">
        <f aca="false">IF(I25&gt;0,I25*Setup!$C$10,0)</f>
        <v>0</v>
      </c>
      <c r="J26" s="20" t="n">
        <f aca="false">IF(J25&gt;0,J25*Setup!$C$10,0)</f>
        <v>0</v>
      </c>
      <c r="K26" s="20" t="n">
        <f aca="false">IF(K25&gt;0,K25*Setup!$C$10,0)</f>
        <v>0</v>
      </c>
      <c r="L26" s="20" t="n">
        <f aca="false">IF(L25&gt;0,L25*Setup!$C$10,0)</f>
        <v>0</v>
      </c>
      <c r="M26" s="20" t="n">
        <f aca="false">IF(M25&gt;0,M25*Setup!$C$10,0)</f>
        <v>0</v>
      </c>
      <c r="N26" s="20" t="n">
        <f aca="false">IF(N25&gt;0,N25*Setup!$C$10,0)</f>
        <v>0</v>
      </c>
      <c r="O26" s="20" t="n">
        <f aca="false">SUM(B26:N26)</f>
        <v>0</v>
      </c>
    </row>
    <row r="28" customFormat="false" ht="15" hidden="false" customHeight="false" outlineLevel="0" collapsed="false">
      <c r="A28" s="6" t="s">
        <v>208</v>
      </c>
      <c r="B28" s="29" t="n">
        <f aca="false">IFERROR(B25-B26,0)</f>
        <v>0</v>
      </c>
      <c r="C28" s="29" t="n">
        <f aca="false">IFERROR(C25-C26,0)</f>
        <v>0</v>
      </c>
      <c r="D28" s="29" t="n">
        <f aca="false">IFERROR(D25-D26,0)</f>
        <v>0</v>
      </c>
      <c r="E28" s="29" t="n">
        <f aca="false">IFERROR(E25-E26,0)</f>
        <v>0</v>
      </c>
      <c r="F28" s="29" t="n">
        <f aca="false">IFERROR(F25-F26,0)</f>
        <v>0</v>
      </c>
      <c r="G28" s="29" t="n">
        <f aca="false">IFERROR(G25-G26,0)</f>
        <v>0</v>
      </c>
      <c r="H28" s="29" t="n">
        <f aca="false">IFERROR(H25-H26,0)</f>
        <v>0</v>
      </c>
      <c r="I28" s="29" t="n">
        <f aca="false">IFERROR(I25-I26,0)</f>
        <v>0</v>
      </c>
      <c r="J28" s="29" t="n">
        <f aca="false">IFERROR(J25-J26,0)</f>
        <v>0</v>
      </c>
      <c r="K28" s="29" t="n">
        <f aca="false">IFERROR(K25-K26,0)</f>
        <v>0</v>
      </c>
      <c r="L28" s="29" t="n">
        <f aca="false">IFERROR(L25-L26,0)</f>
        <v>0</v>
      </c>
      <c r="M28" s="29" t="n">
        <f aca="false">IFERROR(M25-M26,0)</f>
        <v>0</v>
      </c>
      <c r="N28" s="29" t="n">
        <f aca="false">IFERROR(N25-N26,0)</f>
        <v>0</v>
      </c>
      <c r="O28" s="29" t="n">
        <f aca="false">SUM(B28:N28)</f>
        <v>0</v>
      </c>
    </row>
    <row r="29" customFormat="false" ht="15" hidden="false" customHeight="false" outlineLevel="0" collapsed="false">
      <c r="A29" s="3" t="s">
        <v>209</v>
      </c>
      <c r="B29" s="36" t="str">
        <f aca="false">IFERROR(B28/B7,"")</f>
        <v/>
      </c>
      <c r="C29" s="36" t="str">
        <f aca="false">IFERROR(C28/C7,"")</f>
        <v/>
      </c>
      <c r="D29" s="36" t="str">
        <f aca="false">IFERROR(D28/D7,"")</f>
        <v/>
      </c>
      <c r="E29" s="36" t="str">
        <f aca="false">IFERROR(E28/E7,"")</f>
        <v/>
      </c>
      <c r="F29" s="36" t="str">
        <f aca="false">IFERROR(F28/F7,"")</f>
        <v/>
      </c>
      <c r="G29" s="36" t="str">
        <f aca="false">IFERROR(G28/G7,"")</f>
        <v/>
      </c>
      <c r="H29" s="36" t="str">
        <f aca="false">IFERROR(H28/H7,"")</f>
        <v/>
      </c>
      <c r="I29" s="36" t="str">
        <f aca="false">IFERROR(I28/I7,"")</f>
        <v/>
      </c>
      <c r="J29" s="36" t="str">
        <f aca="false">IFERROR(J28/J7,"")</f>
        <v/>
      </c>
      <c r="K29" s="36" t="str">
        <f aca="false">IFERROR(K28/K7,"")</f>
        <v/>
      </c>
      <c r="L29" s="36" t="str">
        <f aca="false">IFERROR(L28/L7,"")</f>
        <v/>
      </c>
      <c r="M29" s="36" t="str">
        <f aca="false">IFERROR(M28/M7,"")</f>
        <v/>
      </c>
      <c r="N29" s="36" t="str">
        <f aca="false">IFERROR(N28/N7,"")</f>
        <v/>
      </c>
      <c r="O29" s="36" t="str">
        <f aca="false">IFERROR(O28/O7,"")</f>
        <v/>
      </c>
    </row>
    <row r="31" customFormat="false" ht="15" hidden="false" customHeight="false" outlineLevel="0" collapsed="false">
      <c r="A31" s="6" t="s">
        <v>210</v>
      </c>
      <c r="B31" s="20" t="n">
        <f aca="false">IFERROR(B23/(1-1/Setup!$C$6),"")</f>
        <v>0</v>
      </c>
      <c r="C31" s="20" t="n">
        <f aca="false">IFERROR(C23/(1-1/Setup!$C$6),"")</f>
        <v>0</v>
      </c>
      <c r="D31" s="20" t="n">
        <f aca="false">IFERROR(D23/(1-1/Setup!$C$6),"")</f>
        <v>0</v>
      </c>
      <c r="E31" s="20" t="n">
        <f aca="false">IFERROR(E23/(1-1/Setup!$C$6),"")</f>
        <v>0</v>
      </c>
      <c r="F31" s="20" t="n">
        <f aca="false">IFERROR(F23/(1-1/Setup!$C$6),"")</f>
        <v>0</v>
      </c>
      <c r="G31" s="20" t="n">
        <f aca="false">IFERROR(G23/(1-1/Setup!$C$6),"")</f>
        <v>0</v>
      </c>
      <c r="H31" s="20" t="n">
        <f aca="false">IFERROR(H23/(1-1/Setup!$C$6),"")</f>
        <v>0</v>
      </c>
      <c r="I31" s="20" t="n">
        <f aca="false">IFERROR(I23/(1-1/Setup!$C$6),"")</f>
        <v>0</v>
      </c>
      <c r="J31" s="20" t="n">
        <f aca="false">IFERROR(J23/(1-1/Setup!$C$6),"")</f>
        <v>0</v>
      </c>
      <c r="K31" s="20" t="n">
        <f aca="false">IFERROR(K23/(1-1/Setup!$C$6),"")</f>
        <v>0</v>
      </c>
      <c r="L31" s="20" t="n">
        <f aca="false">IFERROR(L23/(1-1/Setup!$C$6),"")</f>
        <v>0</v>
      </c>
      <c r="M31" s="20" t="n">
        <f aca="false">IFERROR(M23/(1-1/Setup!$C$6),"")</f>
        <v>0</v>
      </c>
      <c r="N31" s="20" t="n">
        <f aca="false">IFERROR(N23/(1-1/Setup!$C$6),"")</f>
        <v>0</v>
      </c>
    </row>
    <row r="33" customFormat="false" ht="15" hidden="false" customHeight="false" outlineLevel="0" collapsed="false">
      <c r="A33" s="5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5D4A"/>
    <pageSetUpPr fitToPage="false"/>
  </sheetPr>
  <dimension ref="A1:N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30" hidden="false" customHeight="true" outlineLevel="0" collapsed="false">
      <c r="A1" s="35" t="s">
        <v>67</v>
      </c>
      <c r="B1" s="35" t="s">
        <v>69</v>
      </c>
      <c r="C1" s="35" t="s">
        <v>212</v>
      </c>
      <c r="D1" s="35" t="s">
        <v>213</v>
      </c>
      <c r="E1" s="35" t="s">
        <v>214</v>
      </c>
      <c r="F1" s="35" t="s">
        <v>215</v>
      </c>
      <c r="G1" s="35" t="s">
        <v>122</v>
      </c>
      <c r="H1" s="35" t="s">
        <v>216</v>
      </c>
      <c r="I1" s="35" t="s">
        <v>217</v>
      </c>
      <c r="J1" s="35" t="s">
        <v>218</v>
      </c>
      <c r="K1" s="35" t="s">
        <v>219</v>
      </c>
      <c r="L1" s="35" t="s">
        <v>75</v>
      </c>
      <c r="N1" s="5" t="s">
        <v>220</v>
      </c>
    </row>
    <row r="2" customFormat="false" ht="15" hidden="false" customHeight="false" outlineLevel="0" collapsed="false">
      <c r="A2" s="41" t="str">
        <f aca="false">TEXT(Setup!$C$5+0,"dddd")</f>
        <v>Monday</v>
      </c>
      <c r="B2" s="41" t="s">
        <v>86</v>
      </c>
      <c r="C2" s="42" t="n">
        <f aca="false">SUM(Wk1:Wk52!D2:D2)</f>
        <v>0</v>
      </c>
      <c r="D2" s="42" t="n">
        <f aca="false">SUM(Wk1:Wk52!E2:E2)</f>
        <v>0</v>
      </c>
      <c r="E2" s="43" t="n">
        <f aca="false">SUM(Wk1:Wk52!H2:H2)</f>
        <v>0</v>
      </c>
      <c r="F2" s="43" t="n">
        <f aca="false">SUM(Wk1:Wk52!M2:M2)</f>
        <v>0</v>
      </c>
      <c r="G2" s="43" t="n">
        <f aca="false">SUM(Wk1:Wk52!K2:K2)</f>
        <v>0</v>
      </c>
      <c r="H2" s="42" t="n">
        <f aca="false">COUNTIF('Weekly Summary'!$F$2:$F$53,"&gt;0")</f>
        <v>0</v>
      </c>
      <c r="I2" s="44" t="str">
        <f aca="false">IFERROR(C2/H2,"")</f>
        <v/>
      </c>
      <c r="J2" s="44" t="str">
        <f aca="false">IFERROR(D2/H2,"")</f>
        <v/>
      </c>
      <c r="K2" s="43" t="str">
        <f aca="false">IFERROR(E2/H2,"")</f>
        <v/>
      </c>
      <c r="L2" s="45" t="str">
        <f aca="false">IFERROR(D2/C2,"")</f>
        <v/>
      </c>
    </row>
    <row r="3" customFormat="false" ht="15" hidden="false" customHeight="false" outlineLevel="0" collapsed="false">
      <c r="A3" s="12" t="str">
        <f aca="false">TEXT(Setup!$C$5+0,"dddd")</f>
        <v>Monday</v>
      </c>
      <c r="B3" s="12" t="s">
        <v>87</v>
      </c>
      <c r="C3" s="37" t="n">
        <f aca="false">SUM(Wk1:Wk52!D3:D3)</f>
        <v>0</v>
      </c>
      <c r="D3" s="37" t="n">
        <f aca="false">SUM(Wk1:Wk52!E3:E3)</f>
        <v>0</v>
      </c>
      <c r="E3" s="20" t="n">
        <f aca="false">SUM(Wk1:Wk52!H3:H3)</f>
        <v>0</v>
      </c>
      <c r="F3" s="20" t="n">
        <f aca="false">SUM(Wk1:Wk52!M3:M3)</f>
        <v>0</v>
      </c>
      <c r="G3" s="20" t="n">
        <f aca="false">SUM(Wk1:Wk52!K3:K3)</f>
        <v>0</v>
      </c>
      <c r="H3" s="37" t="n">
        <f aca="false">COUNTIF('Weekly Summary'!$F$2:$F$53,"&gt;0")</f>
        <v>0</v>
      </c>
      <c r="I3" s="46" t="str">
        <f aca="false">IFERROR(C3/H3,"")</f>
        <v/>
      </c>
      <c r="J3" s="46" t="str">
        <f aca="false">IFERROR(D3/H3,"")</f>
        <v/>
      </c>
      <c r="K3" s="20" t="str">
        <f aca="false">IFERROR(E3/H3,"")</f>
        <v/>
      </c>
      <c r="L3" s="36" t="str">
        <f aca="false">IFERROR(D3/C3,"")</f>
        <v/>
      </c>
    </row>
    <row r="4" customFormat="false" ht="15" hidden="false" customHeight="false" outlineLevel="0" collapsed="false">
      <c r="A4" s="12" t="str">
        <f aca="false">TEXT(Setup!$C$5+0,"dddd")</f>
        <v>Monday</v>
      </c>
      <c r="B4" s="12" t="s">
        <v>88</v>
      </c>
      <c r="C4" s="37" t="n">
        <f aca="false">SUM(Wk1:Wk52!D4:D4)</f>
        <v>0</v>
      </c>
      <c r="D4" s="37" t="n">
        <f aca="false">SUM(Wk1:Wk52!E4:E4)</f>
        <v>0</v>
      </c>
      <c r="E4" s="20" t="n">
        <f aca="false">SUM(Wk1:Wk52!H4:H4)</f>
        <v>0</v>
      </c>
      <c r="F4" s="20" t="n">
        <f aca="false">SUM(Wk1:Wk52!M4:M4)</f>
        <v>0</v>
      </c>
      <c r="G4" s="20" t="n">
        <f aca="false">SUM(Wk1:Wk52!K4:K4)</f>
        <v>0</v>
      </c>
      <c r="H4" s="37" t="n">
        <f aca="false">COUNTIF('Weekly Summary'!$F$2:$F$53,"&gt;0")</f>
        <v>0</v>
      </c>
      <c r="I4" s="46" t="str">
        <f aca="false">IFERROR(C4/H4,"")</f>
        <v/>
      </c>
      <c r="J4" s="46" t="str">
        <f aca="false">IFERROR(D4/H4,"")</f>
        <v/>
      </c>
      <c r="K4" s="20" t="str">
        <f aca="false">IFERROR(E4/H4,"")</f>
        <v/>
      </c>
      <c r="L4" s="36" t="str">
        <f aca="false">IFERROR(D4/C4,"")</f>
        <v/>
      </c>
    </row>
    <row r="5" customFormat="false" ht="15" hidden="false" customHeight="false" outlineLevel="0" collapsed="false">
      <c r="A5" s="12" t="str">
        <f aca="false">TEXT(Setup!$C$5+0,"dddd")</f>
        <v>Monday</v>
      </c>
      <c r="B5" s="12" t="s">
        <v>89</v>
      </c>
      <c r="C5" s="37" t="n">
        <f aca="false">SUM(Wk1:Wk52!D5:D5)</f>
        <v>0</v>
      </c>
      <c r="D5" s="37" t="n">
        <f aca="false">SUM(Wk1:Wk52!E5:E5)</f>
        <v>0</v>
      </c>
      <c r="E5" s="20" t="n">
        <f aca="false">SUM(Wk1:Wk52!H5:H5)</f>
        <v>0</v>
      </c>
      <c r="F5" s="20" t="n">
        <f aca="false">SUM(Wk1:Wk52!M5:M5)</f>
        <v>0</v>
      </c>
      <c r="G5" s="20" t="n">
        <f aca="false">SUM(Wk1:Wk52!K5:K5)</f>
        <v>0</v>
      </c>
      <c r="H5" s="37" t="n">
        <f aca="false">COUNTIF('Weekly Summary'!$F$2:$F$53,"&gt;0")</f>
        <v>0</v>
      </c>
      <c r="I5" s="46" t="str">
        <f aca="false">IFERROR(C5/H5,"")</f>
        <v/>
      </c>
      <c r="J5" s="46" t="str">
        <f aca="false">IFERROR(D5/H5,"")</f>
        <v/>
      </c>
      <c r="K5" s="20" t="str">
        <f aca="false">IFERROR(E5/H5,"")</f>
        <v/>
      </c>
      <c r="L5" s="36" t="str">
        <f aca="false">IFERROR(D5/C5,"")</f>
        <v/>
      </c>
    </row>
    <row r="6" customFormat="false" ht="15" hidden="false" customHeight="false" outlineLevel="0" collapsed="false">
      <c r="A6" s="12" t="str">
        <f aca="false">TEXT(Setup!$C$5+0,"dddd")</f>
        <v>Monday</v>
      </c>
      <c r="B6" s="12" t="s">
        <v>90</v>
      </c>
      <c r="C6" s="37" t="n">
        <f aca="false">SUM(Wk1:Wk52!D6:D6)</f>
        <v>0</v>
      </c>
      <c r="D6" s="37" t="n">
        <f aca="false">SUM(Wk1:Wk52!E6:E6)</f>
        <v>0</v>
      </c>
      <c r="E6" s="20" t="n">
        <f aca="false">SUM(Wk1:Wk52!H6:H6)</f>
        <v>0</v>
      </c>
      <c r="F6" s="20" t="n">
        <f aca="false">SUM(Wk1:Wk52!M6:M6)</f>
        <v>0</v>
      </c>
      <c r="G6" s="20" t="n">
        <f aca="false">SUM(Wk1:Wk52!K6:K6)</f>
        <v>0</v>
      </c>
      <c r="H6" s="37" t="n">
        <f aca="false">COUNTIF('Weekly Summary'!$F$2:$F$53,"&gt;0")</f>
        <v>0</v>
      </c>
      <c r="I6" s="46" t="str">
        <f aca="false">IFERROR(C6/H6,"")</f>
        <v/>
      </c>
      <c r="J6" s="46" t="str">
        <f aca="false">IFERROR(D6/H6,"")</f>
        <v/>
      </c>
      <c r="K6" s="20" t="str">
        <f aca="false">IFERROR(E6/H6,"")</f>
        <v/>
      </c>
      <c r="L6" s="36" t="str">
        <f aca="false">IFERROR(D6/C6,"")</f>
        <v/>
      </c>
    </row>
    <row r="7" customFormat="false" ht="15" hidden="false" customHeight="false" outlineLevel="0" collapsed="false">
      <c r="A7" s="12" t="str">
        <f aca="false">TEXT(Setup!$C$5+0,"dddd")</f>
        <v>Monday</v>
      </c>
      <c r="B7" s="12" t="s">
        <v>91</v>
      </c>
      <c r="C7" s="37" t="n">
        <f aca="false">SUM(Wk1:Wk52!D7:D7)</f>
        <v>0</v>
      </c>
      <c r="D7" s="37" t="n">
        <f aca="false">SUM(Wk1:Wk52!E7:E7)</f>
        <v>0</v>
      </c>
      <c r="E7" s="20" t="n">
        <f aca="false">SUM(Wk1:Wk52!H7:H7)</f>
        <v>0</v>
      </c>
      <c r="F7" s="20" t="n">
        <f aca="false">SUM(Wk1:Wk52!M7:M7)</f>
        <v>0</v>
      </c>
      <c r="G7" s="20" t="n">
        <f aca="false">SUM(Wk1:Wk52!K7:K7)</f>
        <v>0</v>
      </c>
      <c r="H7" s="37" t="n">
        <f aca="false">COUNTIF('Weekly Summary'!$F$2:$F$53,"&gt;0")</f>
        <v>0</v>
      </c>
      <c r="I7" s="46" t="str">
        <f aca="false">IFERROR(C7/H7,"")</f>
        <v/>
      </c>
      <c r="J7" s="46" t="str">
        <f aca="false">IFERROR(D7/H7,"")</f>
        <v/>
      </c>
      <c r="K7" s="20" t="str">
        <f aca="false">IFERROR(E7/H7,"")</f>
        <v/>
      </c>
      <c r="L7" s="36" t="str">
        <f aca="false">IFERROR(D7/C7,"")</f>
        <v/>
      </c>
    </row>
    <row r="8" customFormat="false" ht="15" hidden="false" customHeight="false" outlineLevel="0" collapsed="false">
      <c r="A8" s="12" t="str">
        <f aca="false">TEXT(Setup!$C$5+0,"dddd")</f>
        <v>Monday</v>
      </c>
      <c r="B8" s="12" t="s">
        <v>92</v>
      </c>
      <c r="C8" s="37" t="n">
        <f aca="false">SUM(Wk1:Wk52!D8:D8)</f>
        <v>0</v>
      </c>
      <c r="D8" s="37" t="n">
        <f aca="false">SUM(Wk1:Wk52!E8:E8)</f>
        <v>0</v>
      </c>
      <c r="E8" s="20" t="n">
        <f aca="false">SUM(Wk1:Wk52!H8:H8)</f>
        <v>0</v>
      </c>
      <c r="F8" s="20" t="n">
        <f aca="false">SUM(Wk1:Wk52!M8:M8)</f>
        <v>0</v>
      </c>
      <c r="G8" s="20" t="n">
        <f aca="false">SUM(Wk1:Wk52!K8:K8)</f>
        <v>0</v>
      </c>
      <c r="H8" s="37" t="n">
        <f aca="false">COUNTIF('Weekly Summary'!$F$2:$F$53,"&gt;0")</f>
        <v>0</v>
      </c>
      <c r="I8" s="46" t="str">
        <f aca="false">IFERROR(C8/H8,"")</f>
        <v/>
      </c>
      <c r="J8" s="46" t="str">
        <f aca="false">IFERROR(D8/H8,"")</f>
        <v/>
      </c>
      <c r="K8" s="20" t="str">
        <f aca="false">IFERROR(E8/H8,"")</f>
        <v/>
      </c>
      <c r="L8" s="36" t="str">
        <f aca="false">IFERROR(D8/C8,"")</f>
        <v/>
      </c>
    </row>
    <row r="9" customFormat="false" ht="15" hidden="false" customHeight="false" outlineLevel="0" collapsed="false">
      <c r="A9" s="12" t="str">
        <f aca="false">TEXT(Setup!$C$5+0,"dddd")</f>
        <v>Monday</v>
      </c>
      <c r="B9" s="12" t="s">
        <v>93</v>
      </c>
      <c r="C9" s="37" t="n">
        <f aca="false">SUM(Wk1:Wk52!D9:D9)</f>
        <v>0</v>
      </c>
      <c r="D9" s="37" t="n">
        <f aca="false">SUM(Wk1:Wk52!E9:E9)</f>
        <v>0</v>
      </c>
      <c r="E9" s="20" t="n">
        <f aca="false">SUM(Wk1:Wk52!H9:H9)</f>
        <v>0</v>
      </c>
      <c r="F9" s="20" t="n">
        <f aca="false">SUM(Wk1:Wk52!M9:M9)</f>
        <v>0</v>
      </c>
      <c r="G9" s="20" t="n">
        <f aca="false">SUM(Wk1:Wk52!K9:K9)</f>
        <v>0</v>
      </c>
      <c r="H9" s="37" t="n">
        <f aca="false">COUNTIF('Weekly Summary'!$F$2:$F$53,"&gt;0")</f>
        <v>0</v>
      </c>
      <c r="I9" s="46" t="str">
        <f aca="false">IFERROR(C9/H9,"")</f>
        <v/>
      </c>
      <c r="J9" s="46" t="str">
        <f aca="false">IFERROR(D9/H9,"")</f>
        <v/>
      </c>
      <c r="K9" s="20" t="str">
        <f aca="false">IFERROR(E9/H9,"")</f>
        <v/>
      </c>
      <c r="L9" s="36" t="str">
        <f aca="false">IFERROR(D9/C9,"")</f>
        <v/>
      </c>
    </row>
    <row r="10" customFormat="false" ht="15" hidden="false" customHeight="false" outlineLevel="0" collapsed="false">
      <c r="A10" s="12" t="str">
        <f aca="false">TEXT(Setup!$C$5+0,"dddd")</f>
        <v>Monday</v>
      </c>
      <c r="B10" s="12" t="s">
        <v>94</v>
      </c>
      <c r="C10" s="37" t="n">
        <f aca="false">SUM(Wk1:Wk52!D10:D10)</f>
        <v>0</v>
      </c>
      <c r="D10" s="37" t="n">
        <f aca="false">SUM(Wk1:Wk52!E10:E10)</f>
        <v>0</v>
      </c>
      <c r="E10" s="20" t="n">
        <f aca="false">SUM(Wk1:Wk52!H10:H10)</f>
        <v>0</v>
      </c>
      <c r="F10" s="20" t="n">
        <f aca="false">SUM(Wk1:Wk52!M10:M10)</f>
        <v>0</v>
      </c>
      <c r="G10" s="20" t="n">
        <f aca="false">SUM(Wk1:Wk52!K10:K10)</f>
        <v>0</v>
      </c>
      <c r="H10" s="37" t="n">
        <f aca="false">COUNTIF('Weekly Summary'!$F$2:$F$53,"&gt;0")</f>
        <v>0</v>
      </c>
      <c r="I10" s="46" t="str">
        <f aca="false">IFERROR(C10/H10,"")</f>
        <v/>
      </c>
      <c r="J10" s="46" t="str">
        <f aca="false">IFERROR(D10/H10,"")</f>
        <v/>
      </c>
      <c r="K10" s="20" t="str">
        <f aca="false">IFERROR(E10/H10,"")</f>
        <v/>
      </c>
      <c r="L10" s="36" t="str">
        <f aca="false">IFERROR(D10/C10,"")</f>
        <v/>
      </c>
    </row>
    <row r="11" customFormat="false" ht="15" hidden="false" customHeight="false" outlineLevel="0" collapsed="false">
      <c r="A11" s="12" t="str">
        <f aca="false">TEXT(Setup!$C$5+0,"dddd")</f>
        <v>Monday</v>
      </c>
      <c r="B11" s="12" t="s">
        <v>95</v>
      </c>
      <c r="C11" s="37" t="n">
        <f aca="false">SUM(Wk1:Wk52!D11:D11)</f>
        <v>0</v>
      </c>
      <c r="D11" s="37" t="n">
        <f aca="false">SUM(Wk1:Wk52!E11:E11)</f>
        <v>0</v>
      </c>
      <c r="E11" s="20" t="n">
        <f aca="false">SUM(Wk1:Wk52!H11:H11)</f>
        <v>0</v>
      </c>
      <c r="F11" s="20" t="n">
        <f aca="false">SUM(Wk1:Wk52!M11:M11)</f>
        <v>0</v>
      </c>
      <c r="G11" s="20" t="n">
        <f aca="false">SUM(Wk1:Wk52!K11:K11)</f>
        <v>0</v>
      </c>
      <c r="H11" s="37" t="n">
        <f aca="false">COUNTIF('Weekly Summary'!$F$2:$F$53,"&gt;0")</f>
        <v>0</v>
      </c>
      <c r="I11" s="46" t="str">
        <f aca="false">IFERROR(C11/H11,"")</f>
        <v/>
      </c>
      <c r="J11" s="46" t="str">
        <f aca="false">IFERROR(D11/H11,"")</f>
        <v/>
      </c>
      <c r="K11" s="20" t="str">
        <f aca="false">IFERROR(E11/H11,"")</f>
        <v/>
      </c>
      <c r="L11" s="36" t="str">
        <f aca="false">IFERROR(D11/C11,"")</f>
        <v/>
      </c>
    </row>
    <row r="12" customFormat="false" ht="15" hidden="false" customHeight="false" outlineLevel="0" collapsed="false">
      <c r="A12" s="12" t="str">
        <f aca="false">TEXT(Setup!$C$5+0,"dddd")</f>
        <v>Monday</v>
      </c>
      <c r="B12" s="12" t="s">
        <v>96</v>
      </c>
      <c r="C12" s="37" t="n">
        <f aca="false">SUM(Wk1:Wk52!D12:D12)</f>
        <v>0</v>
      </c>
      <c r="D12" s="37" t="n">
        <f aca="false">SUM(Wk1:Wk52!E12:E12)</f>
        <v>0</v>
      </c>
      <c r="E12" s="20" t="n">
        <f aca="false">SUM(Wk1:Wk52!H12:H12)</f>
        <v>0</v>
      </c>
      <c r="F12" s="20" t="n">
        <f aca="false">SUM(Wk1:Wk52!M12:M12)</f>
        <v>0</v>
      </c>
      <c r="G12" s="20" t="n">
        <f aca="false">SUM(Wk1:Wk52!K12:K12)</f>
        <v>0</v>
      </c>
      <c r="H12" s="37" t="n">
        <f aca="false">COUNTIF('Weekly Summary'!$F$2:$F$53,"&gt;0")</f>
        <v>0</v>
      </c>
      <c r="I12" s="46" t="str">
        <f aca="false">IFERROR(C12/H12,"")</f>
        <v/>
      </c>
      <c r="J12" s="46" t="str">
        <f aca="false">IFERROR(D12/H12,"")</f>
        <v/>
      </c>
      <c r="K12" s="20" t="str">
        <f aca="false">IFERROR(E12/H12,"")</f>
        <v/>
      </c>
      <c r="L12" s="36" t="str">
        <f aca="false">IFERROR(D12/C12,"")</f>
        <v/>
      </c>
    </row>
    <row r="13" customFormat="false" ht="15" hidden="false" customHeight="false" outlineLevel="0" collapsed="false">
      <c r="A13" s="12" t="str">
        <f aca="false">TEXT(Setup!$C$5+0,"dddd")</f>
        <v>Monday</v>
      </c>
      <c r="B13" s="12" t="s">
        <v>97</v>
      </c>
      <c r="C13" s="37" t="n">
        <f aca="false">SUM(Wk1:Wk52!D13:D13)</f>
        <v>0</v>
      </c>
      <c r="D13" s="37" t="n">
        <f aca="false">SUM(Wk1:Wk52!E13:E13)</f>
        <v>0</v>
      </c>
      <c r="E13" s="20" t="n">
        <f aca="false">SUM(Wk1:Wk52!H13:H13)</f>
        <v>0</v>
      </c>
      <c r="F13" s="20" t="n">
        <f aca="false">SUM(Wk1:Wk52!M13:M13)</f>
        <v>0</v>
      </c>
      <c r="G13" s="20" t="n">
        <f aca="false">SUM(Wk1:Wk52!K13:K13)</f>
        <v>0</v>
      </c>
      <c r="H13" s="37" t="n">
        <f aca="false">COUNTIF('Weekly Summary'!$F$2:$F$53,"&gt;0")</f>
        <v>0</v>
      </c>
      <c r="I13" s="46" t="str">
        <f aca="false">IFERROR(C13/H13,"")</f>
        <v/>
      </c>
      <c r="J13" s="46" t="str">
        <f aca="false">IFERROR(D13/H13,"")</f>
        <v/>
      </c>
      <c r="K13" s="20" t="str">
        <f aca="false">IFERROR(E13/H13,"")</f>
        <v/>
      </c>
      <c r="L13" s="36" t="str">
        <f aca="false">IFERROR(D13/C13,"")</f>
        <v/>
      </c>
    </row>
    <row r="14" customFormat="false" ht="15" hidden="false" customHeight="false" outlineLevel="0" collapsed="false">
      <c r="A14" s="12" t="str">
        <f aca="false">TEXT(Setup!$C$5+0,"dddd")</f>
        <v>Monday</v>
      </c>
      <c r="B14" s="12" t="s">
        <v>98</v>
      </c>
      <c r="C14" s="37" t="n">
        <f aca="false">SUM(Wk1:Wk52!D14:D14)</f>
        <v>0</v>
      </c>
      <c r="D14" s="37" t="n">
        <f aca="false">SUM(Wk1:Wk52!E14:E14)</f>
        <v>0</v>
      </c>
      <c r="E14" s="20" t="n">
        <f aca="false">SUM(Wk1:Wk52!H14:H14)</f>
        <v>0</v>
      </c>
      <c r="F14" s="20" t="n">
        <f aca="false">SUM(Wk1:Wk52!M14:M14)</f>
        <v>0</v>
      </c>
      <c r="G14" s="20" t="n">
        <f aca="false">SUM(Wk1:Wk52!K14:K14)</f>
        <v>0</v>
      </c>
      <c r="H14" s="37" t="n">
        <f aca="false">COUNTIF('Weekly Summary'!$F$2:$F$53,"&gt;0")</f>
        <v>0</v>
      </c>
      <c r="I14" s="46" t="str">
        <f aca="false">IFERROR(C14/H14,"")</f>
        <v/>
      </c>
      <c r="J14" s="46" t="str">
        <f aca="false">IFERROR(D14/H14,"")</f>
        <v/>
      </c>
      <c r="K14" s="20" t="str">
        <f aca="false">IFERROR(E14/H14,"")</f>
        <v/>
      </c>
      <c r="L14" s="36" t="str">
        <f aca="false">IFERROR(D14/C14,"")</f>
        <v/>
      </c>
    </row>
    <row r="15" customFormat="false" ht="15" hidden="false" customHeight="false" outlineLevel="0" collapsed="false">
      <c r="A15" s="12" t="str">
        <f aca="false">TEXT(Setup!$C$5+0,"dddd")</f>
        <v>Monday</v>
      </c>
      <c r="B15" s="12" t="s">
        <v>99</v>
      </c>
      <c r="C15" s="37" t="n">
        <f aca="false">SUM(Wk1:Wk52!D15:D15)</f>
        <v>0</v>
      </c>
      <c r="D15" s="37" t="n">
        <f aca="false">SUM(Wk1:Wk52!E15:E15)</f>
        <v>0</v>
      </c>
      <c r="E15" s="20" t="n">
        <f aca="false">SUM(Wk1:Wk52!H15:H15)</f>
        <v>0</v>
      </c>
      <c r="F15" s="20" t="n">
        <f aca="false">SUM(Wk1:Wk52!M15:M15)</f>
        <v>0</v>
      </c>
      <c r="G15" s="20" t="n">
        <f aca="false">SUM(Wk1:Wk52!K15:K15)</f>
        <v>0</v>
      </c>
      <c r="H15" s="37" t="n">
        <f aca="false">COUNTIF('Weekly Summary'!$F$2:$F$53,"&gt;0")</f>
        <v>0</v>
      </c>
      <c r="I15" s="46" t="str">
        <f aca="false">IFERROR(C15/H15,"")</f>
        <v/>
      </c>
      <c r="J15" s="46" t="str">
        <f aca="false">IFERROR(D15/H15,"")</f>
        <v/>
      </c>
      <c r="K15" s="20" t="str">
        <f aca="false">IFERROR(E15/H15,"")</f>
        <v/>
      </c>
      <c r="L15" s="36" t="str">
        <f aca="false">IFERROR(D15/C15,"")</f>
        <v/>
      </c>
    </row>
    <row r="16" customFormat="false" ht="15" hidden="false" customHeight="false" outlineLevel="0" collapsed="false">
      <c r="A16" s="12" t="str">
        <f aca="false">TEXT(Setup!$C$5+0,"dddd")</f>
        <v>Monday</v>
      </c>
      <c r="B16" s="12" t="s">
        <v>100</v>
      </c>
      <c r="C16" s="37" t="n">
        <f aca="false">SUM(Wk1:Wk52!D16:D16)</f>
        <v>0</v>
      </c>
      <c r="D16" s="37" t="n">
        <f aca="false">SUM(Wk1:Wk52!E16:E16)</f>
        <v>0</v>
      </c>
      <c r="E16" s="20" t="n">
        <f aca="false">SUM(Wk1:Wk52!H16:H16)</f>
        <v>0</v>
      </c>
      <c r="F16" s="20" t="n">
        <f aca="false">SUM(Wk1:Wk52!M16:M16)</f>
        <v>0</v>
      </c>
      <c r="G16" s="20" t="n">
        <f aca="false">SUM(Wk1:Wk52!K16:K16)</f>
        <v>0</v>
      </c>
      <c r="H16" s="37" t="n">
        <f aca="false">COUNTIF('Weekly Summary'!$F$2:$F$53,"&gt;0")</f>
        <v>0</v>
      </c>
      <c r="I16" s="46" t="str">
        <f aca="false">IFERROR(C16/H16,"")</f>
        <v/>
      </c>
      <c r="J16" s="46" t="str">
        <f aca="false">IFERROR(D16/H16,"")</f>
        <v/>
      </c>
      <c r="K16" s="20" t="str">
        <f aca="false">IFERROR(E16/H16,"")</f>
        <v/>
      </c>
      <c r="L16" s="36" t="str">
        <f aca="false">IFERROR(D16/C16,"")</f>
        <v/>
      </c>
    </row>
    <row r="17" customFormat="false" ht="15" hidden="false" customHeight="false" outlineLevel="0" collapsed="false">
      <c r="A17" s="12" t="str">
        <f aca="false">TEXT(Setup!$C$5+0,"dddd")</f>
        <v>Monday</v>
      </c>
      <c r="B17" s="12" t="s">
        <v>101</v>
      </c>
      <c r="C17" s="37" t="n">
        <f aca="false">SUM(Wk1:Wk52!D17:D17)</f>
        <v>0</v>
      </c>
      <c r="D17" s="37" t="n">
        <f aca="false">SUM(Wk1:Wk52!E17:E17)</f>
        <v>0</v>
      </c>
      <c r="E17" s="20" t="n">
        <f aca="false">SUM(Wk1:Wk52!H17:H17)</f>
        <v>0</v>
      </c>
      <c r="F17" s="20" t="n">
        <f aca="false">SUM(Wk1:Wk52!M17:M17)</f>
        <v>0</v>
      </c>
      <c r="G17" s="20" t="n">
        <f aca="false">SUM(Wk1:Wk52!K17:K17)</f>
        <v>0</v>
      </c>
      <c r="H17" s="37" t="n">
        <f aca="false">COUNTIF('Weekly Summary'!$F$2:$F$53,"&gt;0")</f>
        <v>0</v>
      </c>
      <c r="I17" s="46" t="str">
        <f aca="false">IFERROR(C17/H17,"")</f>
        <v/>
      </c>
      <c r="J17" s="46" t="str">
        <f aca="false">IFERROR(D17/H17,"")</f>
        <v/>
      </c>
      <c r="K17" s="20" t="str">
        <f aca="false">IFERROR(E17/H17,"")</f>
        <v/>
      </c>
      <c r="L17" s="36" t="str">
        <f aca="false">IFERROR(D17/C17,"")</f>
        <v/>
      </c>
    </row>
    <row r="18" customFormat="false" ht="15" hidden="false" customHeight="false" outlineLevel="0" collapsed="false">
      <c r="A18" s="12" t="str">
        <f aca="false">TEXT(Setup!$C$5+0,"dddd")</f>
        <v>Monday</v>
      </c>
      <c r="B18" s="12" t="s">
        <v>102</v>
      </c>
      <c r="C18" s="37" t="n">
        <f aca="false">SUM(Wk1:Wk52!D18:D18)</f>
        <v>0</v>
      </c>
      <c r="D18" s="37" t="n">
        <f aca="false">SUM(Wk1:Wk52!E18:E18)</f>
        <v>0</v>
      </c>
      <c r="E18" s="20" t="n">
        <f aca="false">SUM(Wk1:Wk52!H18:H18)</f>
        <v>0</v>
      </c>
      <c r="F18" s="20" t="n">
        <f aca="false">SUM(Wk1:Wk52!M18:M18)</f>
        <v>0</v>
      </c>
      <c r="G18" s="20" t="n">
        <f aca="false">SUM(Wk1:Wk52!K18:K18)</f>
        <v>0</v>
      </c>
      <c r="H18" s="37" t="n">
        <f aca="false">COUNTIF('Weekly Summary'!$F$2:$F$53,"&gt;0")</f>
        <v>0</v>
      </c>
      <c r="I18" s="46" t="str">
        <f aca="false">IFERROR(C18/H18,"")</f>
        <v/>
      </c>
      <c r="J18" s="46" t="str">
        <f aca="false">IFERROR(D18/H18,"")</f>
        <v/>
      </c>
      <c r="K18" s="20" t="str">
        <f aca="false">IFERROR(E18/H18,"")</f>
        <v/>
      </c>
      <c r="L18" s="36" t="str">
        <f aca="false">IFERROR(D18/C18,"")</f>
        <v/>
      </c>
    </row>
    <row r="19" customFormat="false" ht="15" hidden="false" customHeight="false" outlineLevel="0" collapsed="false">
      <c r="A19" s="12" t="str">
        <f aca="false">TEXT(Setup!$C$5+0,"dddd")</f>
        <v>Monday</v>
      </c>
      <c r="B19" s="12" t="s">
        <v>103</v>
      </c>
      <c r="C19" s="37" t="n">
        <f aca="false">SUM(Wk1:Wk52!D19:D19)</f>
        <v>0</v>
      </c>
      <c r="D19" s="37" t="n">
        <f aca="false">SUM(Wk1:Wk52!E19:E19)</f>
        <v>0</v>
      </c>
      <c r="E19" s="20" t="n">
        <f aca="false">SUM(Wk1:Wk52!H19:H19)</f>
        <v>0</v>
      </c>
      <c r="F19" s="20" t="n">
        <f aca="false">SUM(Wk1:Wk52!M19:M19)</f>
        <v>0</v>
      </c>
      <c r="G19" s="20" t="n">
        <f aca="false">SUM(Wk1:Wk52!K19:K19)</f>
        <v>0</v>
      </c>
      <c r="H19" s="37" t="n">
        <f aca="false">COUNTIF('Weekly Summary'!$F$2:$F$53,"&gt;0")</f>
        <v>0</v>
      </c>
      <c r="I19" s="46" t="str">
        <f aca="false">IFERROR(C19/H19,"")</f>
        <v/>
      </c>
      <c r="J19" s="46" t="str">
        <f aca="false">IFERROR(D19/H19,"")</f>
        <v/>
      </c>
      <c r="K19" s="20" t="str">
        <f aca="false">IFERROR(E19/H19,"")</f>
        <v/>
      </c>
      <c r="L19" s="36" t="str">
        <f aca="false">IFERROR(D19/C19,"")</f>
        <v/>
      </c>
    </row>
    <row r="20" customFormat="false" ht="15" hidden="false" customHeight="false" outlineLevel="0" collapsed="false">
      <c r="A20" s="12" t="str">
        <f aca="false">TEXT(Setup!$C$5+0,"dddd")</f>
        <v>Monday</v>
      </c>
      <c r="B20" s="12" t="s">
        <v>104</v>
      </c>
      <c r="C20" s="37" t="n">
        <f aca="false">SUM(Wk1:Wk52!D20:D20)</f>
        <v>0</v>
      </c>
      <c r="D20" s="37" t="n">
        <f aca="false">SUM(Wk1:Wk52!E20:E20)</f>
        <v>0</v>
      </c>
      <c r="E20" s="20" t="n">
        <f aca="false">SUM(Wk1:Wk52!H20:H20)</f>
        <v>0</v>
      </c>
      <c r="F20" s="20" t="n">
        <f aca="false">SUM(Wk1:Wk52!M20:M20)</f>
        <v>0</v>
      </c>
      <c r="G20" s="20" t="n">
        <f aca="false">SUM(Wk1:Wk52!K20:K20)</f>
        <v>0</v>
      </c>
      <c r="H20" s="37" t="n">
        <f aca="false">COUNTIF('Weekly Summary'!$F$2:$F$53,"&gt;0")</f>
        <v>0</v>
      </c>
      <c r="I20" s="46" t="str">
        <f aca="false">IFERROR(C20/H20,"")</f>
        <v/>
      </c>
      <c r="J20" s="46" t="str">
        <f aca="false">IFERROR(D20/H20,"")</f>
        <v/>
      </c>
      <c r="K20" s="20" t="str">
        <f aca="false">IFERROR(E20/H20,"")</f>
        <v/>
      </c>
      <c r="L20" s="36" t="str">
        <f aca="false">IFERROR(D20/C20,"")</f>
        <v/>
      </c>
    </row>
    <row r="21" customFormat="false" ht="15" hidden="false" customHeight="false" outlineLevel="0" collapsed="false">
      <c r="A21" s="12" t="str">
        <f aca="false">TEXT(Setup!$C$5+0,"dddd")</f>
        <v>Monday</v>
      </c>
      <c r="B21" s="12" t="s">
        <v>105</v>
      </c>
      <c r="C21" s="37" t="n">
        <f aca="false">SUM(Wk1:Wk52!D21:D21)</f>
        <v>0</v>
      </c>
      <c r="D21" s="37" t="n">
        <f aca="false">SUM(Wk1:Wk52!E21:E21)</f>
        <v>0</v>
      </c>
      <c r="E21" s="20" t="n">
        <f aca="false">SUM(Wk1:Wk52!H21:H21)</f>
        <v>0</v>
      </c>
      <c r="F21" s="20" t="n">
        <f aca="false">SUM(Wk1:Wk52!M21:M21)</f>
        <v>0</v>
      </c>
      <c r="G21" s="20" t="n">
        <f aca="false">SUM(Wk1:Wk52!K21:K21)</f>
        <v>0</v>
      </c>
      <c r="H21" s="37" t="n">
        <f aca="false">COUNTIF('Weekly Summary'!$F$2:$F$53,"&gt;0")</f>
        <v>0</v>
      </c>
      <c r="I21" s="46" t="str">
        <f aca="false">IFERROR(C21/H21,"")</f>
        <v/>
      </c>
      <c r="J21" s="46" t="str">
        <f aca="false">IFERROR(D21/H21,"")</f>
        <v/>
      </c>
      <c r="K21" s="20" t="str">
        <f aca="false">IFERROR(E21/H21,"")</f>
        <v/>
      </c>
      <c r="L21" s="36" t="str">
        <f aca="false">IFERROR(D21/C21,"")</f>
        <v/>
      </c>
    </row>
    <row r="22" customFormat="false" ht="15" hidden="false" customHeight="false" outlineLevel="0" collapsed="false">
      <c r="A22" s="41" t="str">
        <f aca="false">TEXT(Setup!$C$5+1,"dddd")</f>
        <v>Tuesday</v>
      </c>
      <c r="B22" s="41" t="s">
        <v>86</v>
      </c>
      <c r="C22" s="42" t="n">
        <f aca="false">SUM(Wk1:Wk52!D24:D24)</f>
        <v>0</v>
      </c>
      <c r="D22" s="42" t="n">
        <f aca="false">SUM(Wk1:Wk52!E24:E24)</f>
        <v>0</v>
      </c>
      <c r="E22" s="43" t="n">
        <f aca="false">SUM(Wk1:Wk52!H24:H24)</f>
        <v>0</v>
      </c>
      <c r="F22" s="43" t="n">
        <f aca="false">SUM(Wk1:Wk52!M24:M24)</f>
        <v>0</v>
      </c>
      <c r="G22" s="43" t="n">
        <f aca="false">SUM(Wk1:Wk52!K24:K24)</f>
        <v>0</v>
      </c>
      <c r="H22" s="42" t="n">
        <f aca="false">COUNTIF('Weekly Summary'!$F$2:$F$53,"&gt;0")</f>
        <v>0</v>
      </c>
      <c r="I22" s="44" t="str">
        <f aca="false">IFERROR(C22/H22,"")</f>
        <v/>
      </c>
      <c r="J22" s="44" t="str">
        <f aca="false">IFERROR(D22/H22,"")</f>
        <v/>
      </c>
      <c r="K22" s="43" t="str">
        <f aca="false">IFERROR(E22/H22,"")</f>
        <v/>
      </c>
      <c r="L22" s="45" t="str">
        <f aca="false">IFERROR(D22/C22,"")</f>
        <v/>
      </c>
    </row>
    <row r="23" customFormat="false" ht="15" hidden="false" customHeight="false" outlineLevel="0" collapsed="false">
      <c r="A23" s="12" t="str">
        <f aca="false">TEXT(Setup!$C$5+1,"dddd")</f>
        <v>Tuesday</v>
      </c>
      <c r="B23" s="12" t="s">
        <v>87</v>
      </c>
      <c r="C23" s="37" t="n">
        <f aca="false">SUM(Wk1:Wk52!D25:D25)</f>
        <v>0</v>
      </c>
      <c r="D23" s="37" t="n">
        <f aca="false">SUM(Wk1:Wk52!E25:E25)</f>
        <v>0</v>
      </c>
      <c r="E23" s="20" t="n">
        <f aca="false">SUM(Wk1:Wk52!H25:H25)</f>
        <v>0</v>
      </c>
      <c r="F23" s="20" t="n">
        <f aca="false">SUM(Wk1:Wk52!M25:M25)</f>
        <v>0</v>
      </c>
      <c r="G23" s="20" t="n">
        <f aca="false">SUM(Wk1:Wk52!K25:K25)</f>
        <v>0</v>
      </c>
      <c r="H23" s="37" t="n">
        <f aca="false">COUNTIF('Weekly Summary'!$F$2:$F$53,"&gt;0")</f>
        <v>0</v>
      </c>
      <c r="I23" s="46" t="str">
        <f aca="false">IFERROR(C23/H23,"")</f>
        <v/>
      </c>
      <c r="J23" s="46" t="str">
        <f aca="false">IFERROR(D23/H23,"")</f>
        <v/>
      </c>
      <c r="K23" s="20" t="str">
        <f aca="false">IFERROR(E23/H23,"")</f>
        <v/>
      </c>
      <c r="L23" s="36" t="str">
        <f aca="false">IFERROR(D23/C23,"")</f>
        <v/>
      </c>
    </row>
    <row r="24" customFormat="false" ht="15" hidden="false" customHeight="false" outlineLevel="0" collapsed="false">
      <c r="A24" s="12" t="str">
        <f aca="false">TEXT(Setup!$C$5+1,"dddd")</f>
        <v>Tuesday</v>
      </c>
      <c r="B24" s="12" t="s">
        <v>88</v>
      </c>
      <c r="C24" s="37" t="n">
        <f aca="false">SUM(Wk1:Wk52!D26:D26)</f>
        <v>0</v>
      </c>
      <c r="D24" s="37" t="n">
        <f aca="false">SUM(Wk1:Wk52!E26:E26)</f>
        <v>0</v>
      </c>
      <c r="E24" s="20" t="n">
        <f aca="false">SUM(Wk1:Wk52!H26:H26)</f>
        <v>0</v>
      </c>
      <c r="F24" s="20" t="n">
        <f aca="false">SUM(Wk1:Wk52!M26:M26)</f>
        <v>0</v>
      </c>
      <c r="G24" s="20" t="n">
        <f aca="false">SUM(Wk1:Wk52!K26:K26)</f>
        <v>0</v>
      </c>
      <c r="H24" s="37" t="n">
        <f aca="false">COUNTIF('Weekly Summary'!$F$2:$F$53,"&gt;0")</f>
        <v>0</v>
      </c>
      <c r="I24" s="46" t="str">
        <f aca="false">IFERROR(C24/H24,"")</f>
        <v/>
      </c>
      <c r="J24" s="46" t="str">
        <f aca="false">IFERROR(D24/H24,"")</f>
        <v/>
      </c>
      <c r="K24" s="20" t="str">
        <f aca="false">IFERROR(E24/H24,"")</f>
        <v/>
      </c>
      <c r="L24" s="36" t="str">
        <f aca="false">IFERROR(D24/C24,"")</f>
        <v/>
      </c>
    </row>
    <row r="25" customFormat="false" ht="15" hidden="false" customHeight="false" outlineLevel="0" collapsed="false">
      <c r="A25" s="12" t="str">
        <f aca="false">TEXT(Setup!$C$5+1,"dddd")</f>
        <v>Tuesday</v>
      </c>
      <c r="B25" s="12" t="s">
        <v>89</v>
      </c>
      <c r="C25" s="37" t="n">
        <f aca="false">SUM(Wk1:Wk52!D27:D27)</f>
        <v>0</v>
      </c>
      <c r="D25" s="37" t="n">
        <f aca="false">SUM(Wk1:Wk52!E27:E27)</f>
        <v>0</v>
      </c>
      <c r="E25" s="20" t="n">
        <f aca="false">SUM(Wk1:Wk52!H27:H27)</f>
        <v>0</v>
      </c>
      <c r="F25" s="20" t="n">
        <f aca="false">SUM(Wk1:Wk52!M27:M27)</f>
        <v>0</v>
      </c>
      <c r="G25" s="20" t="n">
        <f aca="false">SUM(Wk1:Wk52!K27:K27)</f>
        <v>0</v>
      </c>
      <c r="H25" s="37" t="n">
        <f aca="false">COUNTIF('Weekly Summary'!$F$2:$F$53,"&gt;0")</f>
        <v>0</v>
      </c>
      <c r="I25" s="46" t="str">
        <f aca="false">IFERROR(C25/H25,"")</f>
        <v/>
      </c>
      <c r="J25" s="46" t="str">
        <f aca="false">IFERROR(D25/H25,"")</f>
        <v/>
      </c>
      <c r="K25" s="20" t="str">
        <f aca="false">IFERROR(E25/H25,"")</f>
        <v/>
      </c>
      <c r="L25" s="36" t="str">
        <f aca="false">IFERROR(D25/C25,"")</f>
        <v/>
      </c>
    </row>
    <row r="26" customFormat="false" ht="15" hidden="false" customHeight="false" outlineLevel="0" collapsed="false">
      <c r="A26" s="12" t="str">
        <f aca="false">TEXT(Setup!$C$5+1,"dddd")</f>
        <v>Tuesday</v>
      </c>
      <c r="B26" s="12" t="s">
        <v>90</v>
      </c>
      <c r="C26" s="37" t="n">
        <f aca="false">SUM(Wk1:Wk52!D28:D28)</f>
        <v>0</v>
      </c>
      <c r="D26" s="37" t="n">
        <f aca="false">SUM(Wk1:Wk52!E28:E28)</f>
        <v>0</v>
      </c>
      <c r="E26" s="20" t="n">
        <f aca="false">SUM(Wk1:Wk52!H28:H28)</f>
        <v>0</v>
      </c>
      <c r="F26" s="20" t="n">
        <f aca="false">SUM(Wk1:Wk52!M28:M28)</f>
        <v>0</v>
      </c>
      <c r="G26" s="20" t="n">
        <f aca="false">SUM(Wk1:Wk52!K28:K28)</f>
        <v>0</v>
      </c>
      <c r="H26" s="37" t="n">
        <f aca="false">COUNTIF('Weekly Summary'!$F$2:$F$53,"&gt;0")</f>
        <v>0</v>
      </c>
      <c r="I26" s="46" t="str">
        <f aca="false">IFERROR(C26/H26,"")</f>
        <v/>
      </c>
      <c r="J26" s="46" t="str">
        <f aca="false">IFERROR(D26/H26,"")</f>
        <v/>
      </c>
      <c r="K26" s="20" t="str">
        <f aca="false">IFERROR(E26/H26,"")</f>
        <v/>
      </c>
      <c r="L26" s="36" t="str">
        <f aca="false">IFERROR(D26/C26,"")</f>
        <v/>
      </c>
    </row>
    <row r="27" customFormat="false" ht="15" hidden="false" customHeight="false" outlineLevel="0" collapsed="false">
      <c r="A27" s="12" t="str">
        <f aca="false">TEXT(Setup!$C$5+1,"dddd")</f>
        <v>Tuesday</v>
      </c>
      <c r="B27" s="12" t="s">
        <v>91</v>
      </c>
      <c r="C27" s="37" t="n">
        <f aca="false">SUM(Wk1:Wk52!D29:D29)</f>
        <v>0</v>
      </c>
      <c r="D27" s="37" t="n">
        <f aca="false">SUM(Wk1:Wk52!E29:E29)</f>
        <v>0</v>
      </c>
      <c r="E27" s="20" t="n">
        <f aca="false">SUM(Wk1:Wk52!H29:H29)</f>
        <v>0</v>
      </c>
      <c r="F27" s="20" t="n">
        <f aca="false">SUM(Wk1:Wk52!M29:M29)</f>
        <v>0</v>
      </c>
      <c r="G27" s="20" t="n">
        <f aca="false">SUM(Wk1:Wk52!K29:K29)</f>
        <v>0</v>
      </c>
      <c r="H27" s="37" t="n">
        <f aca="false">COUNTIF('Weekly Summary'!$F$2:$F$53,"&gt;0")</f>
        <v>0</v>
      </c>
      <c r="I27" s="46" t="str">
        <f aca="false">IFERROR(C27/H27,"")</f>
        <v/>
      </c>
      <c r="J27" s="46" t="str">
        <f aca="false">IFERROR(D27/H27,"")</f>
        <v/>
      </c>
      <c r="K27" s="20" t="str">
        <f aca="false">IFERROR(E27/H27,"")</f>
        <v/>
      </c>
      <c r="L27" s="36" t="str">
        <f aca="false">IFERROR(D27/C27,"")</f>
        <v/>
      </c>
    </row>
    <row r="28" customFormat="false" ht="15" hidden="false" customHeight="false" outlineLevel="0" collapsed="false">
      <c r="A28" s="12" t="str">
        <f aca="false">TEXT(Setup!$C$5+1,"dddd")</f>
        <v>Tuesday</v>
      </c>
      <c r="B28" s="12" t="s">
        <v>92</v>
      </c>
      <c r="C28" s="37" t="n">
        <f aca="false">SUM(Wk1:Wk52!D30:D30)</f>
        <v>0</v>
      </c>
      <c r="D28" s="37" t="n">
        <f aca="false">SUM(Wk1:Wk52!E30:E30)</f>
        <v>0</v>
      </c>
      <c r="E28" s="20" t="n">
        <f aca="false">SUM(Wk1:Wk52!H30:H30)</f>
        <v>0</v>
      </c>
      <c r="F28" s="20" t="n">
        <f aca="false">SUM(Wk1:Wk52!M30:M30)</f>
        <v>0</v>
      </c>
      <c r="G28" s="20" t="n">
        <f aca="false">SUM(Wk1:Wk52!K30:K30)</f>
        <v>0</v>
      </c>
      <c r="H28" s="37" t="n">
        <f aca="false">COUNTIF('Weekly Summary'!$F$2:$F$53,"&gt;0")</f>
        <v>0</v>
      </c>
      <c r="I28" s="46" t="str">
        <f aca="false">IFERROR(C28/H28,"")</f>
        <v/>
      </c>
      <c r="J28" s="46" t="str">
        <f aca="false">IFERROR(D28/H28,"")</f>
        <v/>
      </c>
      <c r="K28" s="20" t="str">
        <f aca="false">IFERROR(E28/H28,"")</f>
        <v/>
      </c>
      <c r="L28" s="36" t="str">
        <f aca="false">IFERROR(D28/C28,"")</f>
        <v/>
      </c>
    </row>
    <row r="29" customFormat="false" ht="15" hidden="false" customHeight="false" outlineLevel="0" collapsed="false">
      <c r="A29" s="12" t="str">
        <f aca="false">TEXT(Setup!$C$5+1,"dddd")</f>
        <v>Tuesday</v>
      </c>
      <c r="B29" s="12" t="s">
        <v>93</v>
      </c>
      <c r="C29" s="37" t="n">
        <f aca="false">SUM(Wk1:Wk52!D31:D31)</f>
        <v>0</v>
      </c>
      <c r="D29" s="37" t="n">
        <f aca="false">SUM(Wk1:Wk52!E31:E31)</f>
        <v>0</v>
      </c>
      <c r="E29" s="20" t="n">
        <f aca="false">SUM(Wk1:Wk52!H31:H31)</f>
        <v>0</v>
      </c>
      <c r="F29" s="20" t="n">
        <f aca="false">SUM(Wk1:Wk52!M31:M31)</f>
        <v>0</v>
      </c>
      <c r="G29" s="20" t="n">
        <f aca="false">SUM(Wk1:Wk52!K31:K31)</f>
        <v>0</v>
      </c>
      <c r="H29" s="37" t="n">
        <f aca="false">COUNTIF('Weekly Summary'!$F$2:$F$53,"&gt;0")</f>
        <v>0</v>
      </c>
      <c r="I29" s="46" t="str">
        <f aca="false">IFERROR(C29/H29,"")</f>
        <v/>
      </c>
      <c r="J29" s="46" t="str">
        <f aca="false">IFERROR(D29/H29,"")</f>
        <v/>
      </c>
      <c r="K29" s="20" t="str">
        <f aca="false">IFERROR(E29/H29,"")</f>
        <v/>
      </c>
      <c r="L29" s="36" t="str">
        <f aca="false">IFERROR(D29/C29,"")</f>
        <v/>
      </c>
    </row>
    <row r="30" customFormat="false" ht="15" hidden="false" customHeight="false" outlineLevel="0" collapsed="false">
      <c r="A30" s="12" t="str">
        <f aca="false">TEXT(Setup!$C$5+1,"dddd")</f>
        <v>Tuesday</v>
      </c>
      <c r="B30" s="12" t="s">
        <v>94</v>
      </c>
      <c r="C30" s="37" t="n">
        <f aca="false">SUM(Wk1:Wk52!D32:D32)</f>
        <v>0</v>
      </c>
      <c r="D30" s="37" t="n">
        <f aca="false">SUM(Wk1:Wk52!E32:E32)</f>
        <v>0</v>
      </c>
      <c r="E30" s="20" t="n">
        <f aca="false">SUM(Wk1:Wk52!H32:H32)</f>
        <v>0</v>
      </c>
      <c r="F30" s="20" t="n">
        <f aca="false">SUM(Wk1:Wk52!M32:M32)</f>
        <v>0</v>
      </c>
      <c r="G30" s="20" t="n">
        <f aca="false">SUM(Wk1:Wk52!K32:K32)</f>
        <v>0</v>
      </c>
      <c r="H30" s="37" t="n">
        <f aca="false">COUNTIF('Weekly Summary'!$F$2:$F$53,"&gt;0")</f>
        <v>0</v>
      </c>
      <c r="I30" s="46" t="str">
        <f aca="false">IFERROR(C30/H30,"")</f>
        <v/>
      </c>
      <c r="J30" s="46" t="str">
        <f aca="false">IFERROR(D30/H30,"")</f>
        <v/>
      </c>
      <c r="K30" s="20" t="str">
        <f aca="false">IFERROR(E30/H30,"")</f>
        <v/>
      </c>
      <c r="L30" s="36" t="str">
        <f aca="false">IFERROR(D30/C30,"")</f>
        <v/>
      </c>
    </row>
    <row r="31" customFormat="false" ht="15" hidden="false" customHeight="false" outlineLevel="0" collapsed="false">
      <c r="A31" s="12" t="str">
        <f aca="false">TEXT(Setup!$C$5+1,"dddd")</f>
        <v>Tuesday</v>
      </c>
      <c r="B31" s="12" t="s">
        <v>95</v>
      </c>
      <c r="C31" s="37" t="n">
        <f aca="false">SUM(Wk1:Wk52!D33:D33)</f>
        <v>0</v>
      </c>
      <c r="D31" s="37" t="n">
        <f aca="false">SUM(Wk1:Wk52!E33:E33)</f>
        <v>0</v>
      </c>
      <c r="E31" s="20" t="n">
        <f aca="false">SUM(Wk1:Wk52!H33:H33)</f>
        <v>0</v>
      </c>
      <c r="F31" s="20" t="n">
        <f aca="false">SUM(Wk1:Wk52!M33:M33)</f>
        <v>0</v>
      </c>
      <c r="G31" s="20" t="n">
        <f aca="false">SUM(Wk1:Wk52!K33:K33)</f>
        <v>0</v>
      </c>
      <c r="H31" s="37" t="n">
        <f aca="false">COUNTIF('Weekly Summary'!$F$2:$F$53,"&gt;0")</f>
        <v>0</v>
      </c>
      <c r="I31" s="46" t="str">
        <f aca="false">IFERROR(C31/H31,"")</f>
        <v/>
      </c>
      <c r="J31" s="46" t="str">
        <f aca="false">IFERROR(D31/H31,"")</f>
        <v/>
      </c>
      <c r="K31" s="20" t="str">
        <f aca="false">IFERROR(E31/H31,"")</f>
        <v/>
      </c>
      <c r="L31" s="36" t="str">
        <f aca="false">IFERROR(D31/C31,"")</f>
        <v/>
      </c>
    </row>
    <row r="32" customFormat="false" ht="15" hidden="false" customHeight="false" outlineLevel="0" collapsed="false">
      <c r="A32" s="12" t="str">
        <f aca="false">TEXT(Setup!$C$5+1,"dddd")</f>
        <v>Tuesday</v>
      </c>
      <c r="B32" s="12" t="s">
        <v>96</v>
      </c>
      <c r="C32" s="37" t="n">
        <f aca="false">SUM(Wk1:Wk52!D34:D34)</f>
        <v>0</v>
      </c>
      <c r="D32" s="37" t="n">
        <f aca="false">SUM(Wk1:Wk52!E34:E34)</f>
        <v>0</v>
      </c>
      <c r="E32" s="20" t="n">
        <f aca="false">SUM(Wk1:Wk52!H34:H34)</f>
        <v>0</v>
      </c>
      <c r="F32" s="20" t="n">
        <f aca="false">SUM(Wk1:Wk52!M34:M34)</f>
        <v>0</v>
      </c>
      <c r="G32" s="20" t="n">
        <f aca="false">SUM(Wk1:Wk52!K34:K34)</f>
        <v>0</v>
      </c>
      <c r="H32" s="37" t="n">
        <f aca="false">COUNTIF('Weekly Summary'!$F$2:$F$53,"&gt;0")</f>
        <v>0</v>
      </c>
      <c r="I32" s="46" t="str">
        <f aca="false">IFERROR(C32/H32,"")</f>
        <v/>
      </c>
      <c r="J32" s="46" t="str">
        <f aca="false">IFERROR(D32/H32,"")</f>
        <v/>
      </c>
      <c r="K32" s="20" t="str">
        <f aca="false">IFERROR(E32/H32,"")</f>
        <v/>
      </c>
      <c r="L32" s="36" t="str">
        <f aca="false">IFERROR(D32/C32,"")</f>
        <v/>
      </c>
    </row>
    <row r="33" customFormat="false" ht="15" hidden="false" customHeight="false" outlineLevel="0" collapsed="false">
      <c r="A33" s="12" t="str">
        <f aca="false">TEXT(Setup!$C$5+1,"dddd")</f>
        <v>Tuesday</v>
      </c>
      <c r="B33" s="12" t="s">
        <v>97</v>
      </c>
      <c r="C33" s="37" t="n">
        <f aca="false">SUM(Wk1:Wk52!D35:D35)</f>
        <v>0</v>
      </c>
      <c r="D33" s="37" t="n">
        <f aca="false">SUM(Wk1:Wk52!E35:E35)</f>
        <v>0</v>
      </c>
      <c r="E33" s="20" t="n">
        <f aca="false">SUM(Wk1:Wk52!H35:H35)</f>
        <v>0</v>
      </c>
      <c r="F33" s="20" t="n">
        <f aca="false">SUM(Wk1:Wk52!M35:M35)</f>
        <v>0</v>
      </c>
      <c r="G33" s="20" t="n">
        <f aca="false">SUM(Wk1:Wk52!K35:K35)</f>
        <v>0</v>
      </c>
      <c r="H33" s="37" t="n">
        <f aca="false">COUNTIF('Weekly Summary'!$F$2:$F$53,"&gt;0")</f>
        <v>0</v>
      </c>
      <c r="I33" s="46" t="str">
        <f aca="false">IFERROR(C33/H33,"")</f>
        <v/>
      </c>
      <c r="J33" s="46" t="str">
        <f aca="false">IFERROR(D33/H33,"")</f>
        <v/>
      </c>
      <c r="K33" s="20" t="str">
        <f aca="false">IFERROR(E33/H33,"")</f>
        <v/>
      </c>
      <c r="L33" s="36" t="str">
        <f aca="false">IFERROR(D33/C33,"")</f>
        <v/>
      </c>
    </row>
    <row r="34" customFormat="false" ht="15" hidden="false" customHeight="false" outlineLevel="0" collapsed="false">
      <c r="A34" s="12" t="str">
        <f aca="false">TEXT(Setup!$C$5+1,"dddd")</f>
        <v>Tuesday</v>
      </c>
      <c r="B34" s="12" t="s">
        <v>98</v>
      </c>
      <c r="C34" s="37" t="n">
        <f aca="false">SUM(Wk1:Wk52!D36:D36)</f>
        <v>0</v>
      </c>
      <c r="D34" s="37" t="n">
        <f aca="false">SUM(Wk1:Wk52!E36:E36)</f>
        <v>0</v>
      </c>
      <c r="E34" s="20" t="n">
        <f aca="false">SUM(Wk1:Wk52!H36:H36)</f>
        <v>0</v>
      </c>
      <c r="F34" s="20" t="n">
        <f aca="false">SUM(Wk1:Wk52!M36:M36)</f>
        <v>0</v>
      </c>
      <c r="G34" s="20" t="n">
        <f aca="false">SUM(Wk1:Wk52!K36:K36)</f>
        <v>0</v>
      </c>
      <c r="H34" s="37" t="n">
        <f aca="false">COUNTIF('Weekly Summary'!$F$2:$F$53,"&gt;0")</f>
        <v>0</v>
      </c>
      <c r="I34" s="46" t="str">
        <f aca="false">IFERROR(C34/H34,"")</f>
        <v/>
      </c>
      <c r="J34" s="46" t="str">
        <f aca="false">IFERROR(D34/H34,"")</f>
        <v/>
      </c>
      <c r="K34" s="20" t="str">
        <f aca="false">IFERROR(E34/H34,"")</f>
        <v/>
      </c>
      <c r="L34" s="36" t="str">
        <f aca="false">IFERROR(D34/C34,"")</f>
        <v/>
      </c>
    </row>
    <row r="35" customFormat="false" ht="15" hidden="false" customHeight="false" outlineLevel="0" collapsed="false">
      <c r="A35" s="12" t="str">
        <f aca="false">TEXT(Setup!$C$5+1,"dddd")</f>
        <v>Tuesday</v>
      </c>
      <c r="B35" s="12" t="s">
        <v>99</v>
      </c>
      <c r="C35" s="37" t="n">
        <f aca="false">SUM(Wk1:Wk52!D37:D37)</f>
        <v>0</v>
      </c>
      <c r="D35" s="37" t="n">
        <f aca="false">SUM(Wk1:Wk52!E37:E37)</f>
        <v>0</v>
      </c>
      <c r="E35" s="20" t="n">
        <f aca="false">SUM(Wk1:Wk52!H37:H37)</f>
        <v>0</v>
      </c>
      <c r="F35" s="20" t="n">
        <f aca="false">SUM(Wk1:Wk52!M37:M37)</f>
        <v>0</v>
      </c>
      <c r="G35" s="20" t="n">
        <f aca="false">SUM(Wk1:Wk52!K37:K37)</f>
        <v>0</v>
      </c>
      <c r="H35" s="37" t="n">
        <f aca="false">COUNTIF('Weekly Summary'!$F$2:$F$53,"&gt;0")</f>
        <v>0</v>
      </c>
      <c r="I35" s="46" t="str">
        <f aca="false">IFERROR(C35/H35,"")</f>
        <v/>
      </c>
      <c r="J35" s="46" t="str">
        <f aca="false">IFERROR(D35/H35,"")</f>
        <v/>
      </c>
      <c r="K35" s="20" t="str">
        <f aca="false">IFERROR(E35/H35,"")</f>
        <v/>
      </c>
      <c r="L35" s="36" t="str">
        <f aca="false">IFERROR(D35/C35,"")</f>
        <v/>
      </c>
    </row>
    <row r="36" customFormat="false" ht="15" hidden="false" customHeight="false" outlineLevel="0" collapsed="false">
      <c r="A36" s="12" t="str">
        <f aca="false">TEXT(Setup!$C$5+1,"dddd")</f>
        <v>Tuesday</v>
      </c>
      <c r="B36" s="12" t="s">
        <v>100</v>
      </c>
      <c r="C36" s="37" t="n">
        <f aca="false">SUM(Wk1:Wk52!D38:D38)</f>
        <v>0</v>
      </c>
      <c r="D36" s="37" t="n">
        <f aca="false">SUM(Wk1:Wk52!E38:E38)</f>
        <v>0</v>
      </c>
      <c r="E36" s="20" t="n">
        <f aca="false">SUM(Wk1:Wk52!H38:H38)</f>
        <v>0</v>
      </c>
      <c r="F36" s="20" t="n">
        <f aca="false">SUM(Wk1:Wk52!M38:M38)</f>
        <v>0</v>
      </c>
      <c r="G36" s="20" t="n">
        <f aca="false">SUM(Wk1:Wk52!K38:K38)</f>
        <v>0</v>
      </c>
      <c r="H36" s="37" t="n">
        <f aca="false">COUNTIF('Weekly Summary'!$F$2:$F$53,"&gt;0")</f>
        <v>0</v>
      </c>
      <c r="I36" s="46" t="str">
        <f aca="false">IFERROR(C36/H36,"")</f>
        <v/>
      </c>
      <c r="J36" s="46" t="str">
        <f aca="false">IFERROR(D36/H36,"")</f>
        <v/>
      </c>
      <c r="K36" s="20" t="str">
        <f aca="false">IFERROR(E36/H36,"")</f>
        <v/>
      </c>
      <c r="L36" s="36" t="str">
        <f aca="false">IFERROR(D36/C36,"")</f>
        <v/>
      </c>
    </row>
    <row r="37" customFormat="false" ht="15" hidden="false" customHeight="false" outlineLevel="0" collapsed="false">
      <c r="A37" s="12" t="str">
        <f aca="false">TEXT(Setup!$C$5+1,"dddd")</f>
        <v>Tuesday</v>
      </c>
      <c r="B37" s="12" t="s">
        <v>101</v>
      </c>
      <c r="C37" s="37" t="n">
        <f aca="false">SUM(Wk1:Wk52!D39:D39)</f>
        <v>0</v>
      </c>
      <c r="D37" s="37" t="n">
        <f aca="false">SUM(Wk1:Wk52!E39:E39)</f>
        <v>0</v>
      </c>
      <c r="E37" s="20" t="n">
        <f aca="false">SUM(Wk1:Wk52!H39:H39)</f>
        <v>0</v>
      </c>
      <c r="F37" s="20" t="n">
        <f aca="false">SUM(Wk1:Wk52!M39:M39)</f>
        <v>0</v>
      </c>
      <c r="G37" s="20" t="n">
        <f aca="false">SUM(Wk1:Wk52!K39:K39)</f>
        <v>0</v>
      </c>
      <c r="H37" s="37" t="n">
        <f aca="false">COUNTIF('Weekly Summary'!$F$2:$F$53,"&gt;0")</f>
        <v>0</v>
      </c>
      <c r="I37" s="46" t="str">
        <f aca="false">IFERROR(C37/H37,"")</f>
        <v/>
      </c>
      <c r="J37" s="46" t="str">
        <f aca="false">IFERROR(D37/H37,"")</f>
        <v/>
      </c>
      <c r="K37" s="20" t="str">
        <f aca="false">IFERROR(E37/H37,"")</f>
        <v/>
      </c>
      <c r="L37" s="36" t="str">
        <f aca="false">IFERROR(D37/C37,"")</f>
        <v/>
      </c>
    </row>
    <row r="38" customFormat="false" ht="15" hidden="false" customHeight="false" outlineLevel="0" collapsed="false">
      <c r="A38" s="12" t="str">
        <f aca="false">TEXT(Setup!$C$5+1,"dddd")</f>
        <v>Tuesday</v>
      </c>
      <c r="B38" s="12" t="s">
        <v>102</v>
      </c>
      <c r="C38" s="37" t="n">
        <f aca="false">SUM(Wk1:Wk52!D40:D40)</f>
        <v>0</v>
      </c>
      <c r="D38" s="37" t="n">
        <f aca="false">SUM(Wk1:Wk52!E40:E40)</f>
        <v>0</v>
      </c>
      <c r="E38" s="20" t="n">
        <f aca="false">SUM(Wk1:Wk52!H40:H40)</f>
        <v>0</v>
      </c>
      <c r="F38" s="20" t="n">
        <f aca="false">SUM(Wk1:Wk52!M40:M40)</f>
        <v>0</v>
      </c>
      <c r="G38" s="20" t="n">
        <f aca="false">SUM(Wk1:Wk52!K40:K40)</f>
        <v>0</v>
      </c>
      <c r="H38" s="37" t="n">
        <f aca="false">COUNTIF('Weekly Summary'!$F$2:$F$53,"&gt;0")</f>
        <v>0</v>
      </c>
      <c r="I38" s="46" t="str">
        <f aca="false">IFERROR(C38/H38,"")</f>
        <v/>
      </c>
      <c r="J38" s="46" t="str">
        <f aca="false">IFERROR(D38/H38,"")</f>
        <v/>
      </c>
      <c r="K38" s="20" t="str">
        <f aca="false">IFERROR(E38/H38,"")</f>
        <v/>
      </c>
      <c r="L38" s="36" t="str">
        <f aca="false">IFERROR(D38/C38,"")</f>
        <v/>
      </c>
    </row>
    <row r="39" customFormat="false" ht="15" hidden="false" customHeight="false" outlineLevel="0" collapsed="false">
      <c r="A39" s="12" t="str">
        <f aca="false">TEXT(Setup!$C$5+1,"dddd")</f>
        <v>Tuesday</v>
      </c>
      <c r="B39" s="12" t="s">
        <v>103</v>
      </c>
      <c r="C39" s="37" t="n">
        <f aca="false">SUM(Wk1:Wk52!D41:D41)</f>
        <v>0</v>
      </c>
      <c r="D39" s="37" t="n">
        <f aca="false">SUM(Wk1:Wk52!E41:E41)</f>
        <v>0</v>
      </c>
      <c r="E39" s="20" t="n">
        <f aca="false">SUM(Wk1:Wk52!H41:H41)</f>
        <v>0</v>
      </c>
      <c r="F39" s="20" t="n">
        <f aca="false">SUM(Wk1:Wk52!M41:M41)</f>
        <v>0</v>
      </c>
      <c r="G39" s="20" t="n">
        <f aca="false">SUM(Wk1:Wk52!K41:K41)</f>
        <v>0</v>
      </c>
      <c r="H39" s="37" t="n">
        <f aca="false">COUNTIF('Weekly Summary'!$F$2:$F$53,"&gt;0")</f>
        <v>0</v>
      </c>
      <c r="I39" s="46" t="str">
        <f aca="false">IFERROR(C39/H39,"")</f>
        <v/>
      </c>
      <c r="J39" s="46" t="str">
        <f aca="false">IFERROR(D39/H39,"")</f>
        <v/>
      </c>
      <c r="K39" s="20" t="str">
        <f aca="false">IFERROR(E39/H39,"")</f>
        <v/>
      </c>
      <c r="L39" s="36" t="str">
        <f aca="false">IFERROR(D39/C39,"")</f>
        <v/>
      </c>
    </row>
    <row r="40" customFormat="false" ht="15" hidden="false" customHeight="false" outlineLevel="0" collapsed="false">
      <c r="A40" s="12" t="str">
        <f aca="false">TEXT(Setup!$C$5+1,"dddd")</f>
        <v>Tuesday</v>
      </c>
      <c r="B40" s="12" t="s">
        <v>104</v>
      </c>
      <c r="C40" s="37" t="n">
        <f aca="false">SUM(Wk1:Wk52!D42:D42)</f>
        <v>0</v>
      </c>
      <c r="D40" s="37" t="n">
        <f aca="false">SUM(Wk1:Wk52!E42:E42)</f>
        <v>0</v>
      </c>
      <c r="E40" s="20" t="n">
        <f aca="false">SUM(Wk1:Wk52!H42:H42)</f>
        <v>0</v>
      </c>
      <c r="F40" s="20" t="n">
        <f aca="false">SUM(Wk1:Wk52!M42:M42)</f>
        <v>0</v>
      </c>
      <c r="G40" s="20" t="n">
        <f aca="false">SUM(Wk1:Wk52!K42:K42)</f>
        <v>0</v>
      </c>
      <c r="H40" s="37" t="n">
        <f aca="false">COUNTIF('Weekly Summary'!$F$2:$F$53,"&gt;0")</f>
        <v>0</v>
      </c>
      <c r="I40" s="46" t="str">
        <f aca="false">IFERROR(C40/H40,"")</f>
        <v/>
      </c>
      <c r="J40" s="46" t="str">
        <f aca="false">IFERROR(D40/H40,"")</f>
        <v/>
      </c>
      <c r="K40" s="20" t="str">
        <f aca="false">IFERROR(E40/H40,"")</f>
        <v/>
      </c>
      <c r="L40" s="36" t="str">
        <f aca="false">IFERROR(D40/C40,"")</f>
        <v/>
      </c>
    </row>
    <row r="41" customFormat="false" ht="15" hidden="false" customHeight="false" outlineLevel="0" collapsed="false">
      <c r="A41" s="12" t="str">
        <f aca="false">TEXT(Setup!$C$5+1,"dddd")</f>
        <v>Tuesday</v>
      </c>
      <c r="B41" s="12" t="s">
        <v>105</v>
      </c>
      <c r="C41" s="37" t="n">
        <f aca="false">SUM(Wk1:Wk52!D43:D43)</f>
        <v>0</v>
      </c>
      <c r="D41" s="37" t="n">
        <f aca="false">SUM(Wk1:Wk52!E43:E43)</f>
        <v>0</v>
      </c>
      <c r="E41" s="20" t="n">
        <f aca="false">SUM(Wk1:Wk52!H43:H43)</f>
        <v>0</v>
      </c>
      <c r="F41" s="20" t="n">
        <f aca="false">SUM(Wk1:Wk52!M43:M43)</f>
        <v>0</v>
      </c>
      <c r="G41" s="20" t="n">
        <f aca="false">SUM(Wk1:Wk52!K43:K43)</f>
        <v>0</v>
      </c>
      <c r="H41" s="37" t="n">
        <f aca="false">COUNTIF('Weekly Summary'!$F$2:$F$53,"&gt;0")</f>
        <v>0</v>
      </c>
      <c r="I41" s="46" t="str">
        <f aca="false">IFERROR(C41/H41,"")</f>
        <v/>
      </c>
      <c r="J41" s="46" t="str">
        <f aca="false">IFERROR(D41/H41,"")</f>
        <v/>
      </c>
      <c r="K41" s="20" t="str">
        <f aca="false">IFERROR(E41/H41,"")</f>
        <v/>
      </c>
      <c r="L41" s="36" t="str">
        <f aca="false">IFERROR(D41/C41,"")</f>
        <v/>
      </c>
    </row>
    <row r="42" customFormat="false" ht="15" hidden="false" customHeight="false" outlineLevel="0" collapsed="false">
      <c r="A42" s="41" t="str">
        <f aca="false">TEXT(Setup!$C$5+2,"dddd")</f>
        <v>Wednesday</v>
      </c>
      <c r="B42" s="41" t="s">
        <v>86</v>
      </c>
      <c r="C42" s="42" t="n">
        <f aca="false">SUM(Wk1:Wk52!D46:D46)</f>
        <v>0</v>
      </c>
      <c r="D42" s="42" t="n">
        <f aca="false">SUM(Wk1:Wk52!E46:E46)</f>
        <v>0</v>
      </c>
      <c r="E42" s="43" t="n">
        <f aca="false">SUM(Wk1:Wk52!H46:H46)</f>
        <v>0</v>
      </c>
      <c r="F42" s="43" t="n">
        <f aca="false">SUM(Wk1:Wk52!M46:M46)</f>
        <v>0</v>
      </c>
      <c r="G42" s="43" t="n">
        <f aca="false">SUM(Wk1:Wk52!K46:K46)</f>
        <v>0</v>
      </c>
      <c r="H42" s="42" t="n">
        <f aca="false">COUNTIF('Weekly Summary'!$F$2:$F$53,"&gt;0")</f>
        <v>0</v>
      </c>
      <c r="I42" s="44" t="str">
        <f aca="false">IFERROR(C42/H42,"")</f>
        <v/>
      </c>
      <c r="J42" s="44" t="str">
        <f aca="false">IFERROR(D42/H42,"")</f>
        <v/>
      </c>
      <c r="K42" s="43" t="str">
        <f aca="false">IFERROR(E42/H42,"")</f>
        <v/>
      </c>
      <c r="L42" s="45" t="str">
        <f aca="false">IFERROR(D42/C42,"")</f>
        <v/>
      </c>
    </row>
    <row r="43" customFormat="false" ht="15" hidden="false" customHeight="false" outlineLevel="0" collapsed="false">
      <c r="A43" s="12" t="str">
        <f aca="false">TEXT(Setup!$C$5+2,"dddd")</f>
        <v>Wednesday</v>
      </c>
      <c r="B43" s="12" t="s">
        <v>87</v>
      </c>
      <c r="C43" s="37" t="n">
        <f aca="false">SUM(Wk1:Wk52!D47:D47)</f>
        <v>0</v>
      </c>
      <c r="D43" s="37" t="n">
        <f aca="false">SUM(Wk1:Wk52!E47:E47)</f>
        <v>0</v>
      </c>
      <c r="E43" s="20" t="n">
        <f aca="false">SUM(Wk1:Wk52!H47:H47)</f>
        <v>0</v>
      </c>
      <c r="F43" s="20" t="n">
        <f aca="false">SUM(Wk1:Wk52!M47:M47)</f>
        <v>0</v>
      </c>
      <c r="G43" s="20" t="n">
        <f aca="false">SUM(Wk1:Wk52!K47:K47)</f>
        <v>0</v>
      </c>
      <c r="H43" s="37" t="n">
        <f aca="false">COUNTIF('Weekly Summary'!$F$2:$F$53,"&gt;0")</f>
        <v>0</v>
      </c>
      <c r="I43" s="46" t="str">
        <f aca="false">IFERROR(C43/H43,"")</f>
        <v/>
      </c>
      <c r="J43" s="46" t="str">
        <f aca="false">IFERROR(D43/H43,"")</f>
        <v/>
      </c>
      <c r="K43" s="20" t="str">
        <f aca="false">IFERROR(E43/H43,"")</f>
        <v/>
      </c>
      <c r="L43" s="36" t="str">
        <f aca="false">IFERROR(D43/C43,"")</f>
        <v/>
      </c>
    </row>
    <row r="44" customFormat="false" ht="15" hidden="false" customHeight="false" outlineLevel="0" collapsed="false">
      <c r="A44" s="12" t="str">
        <f aca="false">TEXT(Setup!$C$5+2,"dddd")</f>
        <v>Wednesday</v>
      </c>
      <c r="B44" s="12" t="s">
        <v>88</v>
      </c>
      <c r="C44" s="37" t="n">
        <f aca="false">SUM(Wk1:Wk52!D48:D48)</f>
        <v>0</v>
      </c>
      <c r="D44" s="37" t="n">
        <f aca="false">SUM(Wk1:Wk52!E48:E48)</f>
        <v>0</v>
      </c>
      <c r="E44" s="20" t="n">
        <f aca="false">SUM(Wk1:Wk52!H48:H48)</f>
        <v>0</v>
      </c>
      <c r="F44" s="20" t="n">
        <f aca="false">SUM(Wk1:Wk52!M48:M48)</f>
        <v>0</v>
      </c>
      <c r="G44" s="20" t="n">
        <f aca="false">SUM(Wk1:Wk52!K48:K48)</f>
        <v>0</v>
      </c>
      <c r="H44" s="37" t="n">
        <f aca="false">COUNTIF('Weekly Summary'!$F$2:$F$53,"&gt;0")</f>
        <v>0</v>
      </c>
      <c r="I44" s="46" t="str">
        <f aca="false">IFERROR(C44/H44,"")</f>
        <v/>
      </c>
      <c r="J44" s="46" t="str">
        <f aca="false">IFERROR(D44/H44,"")</f>
        <v/>
      </c>
      <c r="K44" s="20" t="str">
        <f aca="false">IFERROR(E44/H44,"")</f>
        <v/>
      </c>
      <c r="L44" s="36" t="str">
        <f aca="false">IFERROR(D44/C44,"")</f>
        <v/>
      </c>
    </row>
    <row r="45" customFormat="false" ht="15" hidden="false" customHeight="false" outlineLevel="0" collapsed="false">
      <c r="A45" s="12" t="str">
        <f aca="false">TEXT(Setup!$C$5+2,"dddd")</f>
        <v>Wednesday</v>
      </c>
      <c r="B45" s="12" t="s">
        <v>89</v>
      </c>
      <c r="C45" s="37" t="n">
        <f aca="false">SUM(Wk1:Wk52!D49:D49)</f>
        <v>0</v>
      </c>
      <c r="D45" s="37" t="n">
        <f aca="false">SUM(Wk1:Wk52!E49:E49)</f>
        <v>0</v>
      </c>
      <c r="E45" s="20" t="n">
        <f aca="false">SUM(Wk1:Wk52!H49:H49)</f>
        <v>0</v>
      </c>
      <c r="F45" s="20" t="n">
        <f aca="false">SUM(Wk1:Wk52!M49:M49)</f>
        <v>0</v>
      </c>
      <c r="G45" s="20" t="n">
        <f aca="false">SUM(Wk1:Wk52!K49:K49)</f>
        <v>0</v>
      </c>
      <c r="H45" s="37" t="n">
        <f aca="false">COUNTIF('Weekly Summary'!$F$2:$F$53,"&gt;0")</f>
        <v>0</v>
      </c>
      <c r="I45" s="46" t="str">
        <f aca="false">IFERROR(C45/H45,"")</f>
        <v/>
      </c>
      <c r="J45" s="46" t="str">
        <f aca="false">IFERROR(D45/H45,"")</f>
        <v/>
      </c>
      <c r="K45" s="20" t="str">
        <f aca="false">IFERROR(E45/H45,"")</f>
        <v/>
      </c>
      <c r="L45" s="36" t="str">
        <f aca="false">IFERROR(D45/C45,"")</f>
        <v/>
      </c>
    </row>
    <row r="46" customFormat="false" ht="15" hidden="false" customHeight="false" outlineLevel="0" collapsed="false">
      <c r="A46" s="12" t="str">
        <f aca="false">TEXT(Setup!$C$5+2,"dddd")</f>
        <v>Wednesday</v>
      </c>
      <c r="B46" s="12" t="s">
        <v>90</v>
      </c>
      <c r="C46" s="37" t="n">
        <f aca="false">SUM(Wk1:Wk52!D50:D50)</f>
        <v>0</v>
      </c>
      <c r="D46" s="37" t="n">
        <f aca="false">SUM(Wk1:Wk52!E50:E50)</f>
        <v>0</v>
      </c>
      <c r="E46" s="20" t="n">
        <f aca="false">SUM(Wk1:Wk52!H50:H50)</f>
        <v>0</v>
      </c>
      <c r="F46" s="20" t="n">
        <f aca="false">SUM(Wk1:Wk52!M50:M50)</f>
        <v>0</v>
      </c>
      <c r="G46" s="20" t="n">
        <f aca="false">SUM(Wk1:Wk52!K50:K50)</f>
        <v>0</v>
      </c>
      <c r="H46" s="37" t="n">
        <f aca="false">COUNTIF('Weekly Summary'!$F$2:$F$53,"&gt;0")</f>
        <v>0</v>
      </c>
      <c r="I46" s="46" t="str">
        <f aca="false">IFERROR(C46/H46,"")</f>
        <v/>
      </c>
      <c r="J46" s="46" t="str">
        <f aca="false">IFERROR(D46/H46,"")</f>
        <v/>
      </c>
      <c r="K46" s="20" t="str">
        <f aca="false">IFERROR(E46/H46,"")</f>
        <v/>
      </c>
      <c r="L46" s="36" t="str">
        <f aca="false">IFERROR(D46/C46,"")</f>
        <v/>
      </c>
    </row>
    <row r="47" customFormat="false" ht="15" hidden="false" customHeight="false" outlineLevel="0" collapsed="false">
      <c r="A47" s="12" t="str">
        <f aca="false">TEXT(Setup!$C$5+2,"dddd")</f>
        <v>Wednesday</v>
      </c>
      <c r="B47" s="12" t="s">
        <v>91</v>
      </c>
      <c r="C47" s="37" t="n">
        <f aca="false">SUM(Wk1:Wk52!D51:D51)</f>
        <v>0</v>
      </c>
      <c r="D47" s="37" t="n">
        <f aca="false">SUM(Wk1:Wk52!E51:E51)</f>
        <v>0</v>
      </c>
      <c r="E47" s="20" t="n">
        <f aca="false">SUM(Wk1:Wk52!H51:H51)</f>
        <v>0</v>
      </c>
      <c r="F47" s="20" t="n">
        <f aca="false">SUM(Wk1:Wk52!M51:M51)</f>
        <v>0</v>
      </c>
      <c r="G47" s="20" t="n">
        <f aca="false">SUM(Wk1:Wk52!K51:K51)</f>
        <v>0</v>
      </c>
      <c r="H47" s="37" t="n">
        <f aca="false">COUNTIF('Weekly Summary'!$F$2:$F$53,"&gt;0")</f>
        <v>0</v>
      </c>
      <c r="I47" s="46" t="str">
        <f aca="false">IFERROR(C47/H47,"")</f>
        <v/>
      </c>
      <c r="J47" s="46" t="str">
        <f aca="false">IFERROR(D47/H47,"")</f>
        <v/>
      </c>
      <c r="K47" s="20" t="str">
        <f aca="false">IFERROR(E47/H47,"")</f>
        <v/>
      </c>
      <c r="L47" s="36" t="str">
        <f aca="false">IFERROR(D47/C47,"")</f>
        <v/>
      </c>
    </row>
    <row r="48" customFormat="false" ht="15" hidden="false" customHeight="false" outlineLevel="0" collapsed="false">
      <c r="A48" s="12" t="str">
        <f aca="false">TEXT(Setup!$C$5+2,"dddd")</f>
        <v>Wednesday</v>
      </c>
      <c r="B48" s="12" t="s">
        <v>92</v>
      </c>
      <c r="C48" s="37" t="n">
        <f aca="false">SUM(Wk1:Wk52!D52:D52)</f>
        <v>0</v>
      </c>
      <c r="D48" s="37" t="n">
        <f aca="false">SUM(Wk1:Wk52!E52:E52)</f>
        <v>0</v>
      </c>
      <c r="E48" s="20" t="n">
        <f aca="false">SUM(Wk1:Wk52!H52:H52)</f>
        <v>0</v>
      </c>
      <c r="F48" s="20" t="n">
        <f aca="false">SUM(Wk1:Wk52!M52:M52)</f>
        <v>0</v>
      </c>
      <c r="G48" s="20" t="n">
        <f aca="false">SUM(Wk1:Wk52!K52:K52)</f>
        <v>0</v>
      </c>
      <c r="H48" s="37" t="n">
        <f aca="false">COUNTIF('Weekly Summary'!$F$2:$F$53,"&gt;0")</f>
        <v>0</v>
      </c>
      <c r="I48" s="46" t="str">
        <f aca="false">IFERROR(C48/H48,"")</f>
        <v/>
      </c>
      <c r="J48" s="46" t="str">
        <f aca="false">IFERROR(D48/H48,"")</f>
        <v/>
      </c>
      <c r="K48" s="20" t="str">
        <f aca="false">IFERROR(E48/H48,"")</f>
        <v/>
      </c>
      <c r="L48" s="36" t="str">
        <f aca="false">IFERROR(D48/C48,"")</f>
        <v/>
      </c>
    </row>
    <row r="49" customFormat="false" ht="15" hidden="false" customHeight="false" outlineLevel="0" collapsed="false">
      <c r="A49" s="12" t="str">
        <f aca="false">TEXT(Setup!$C$5+2,"dddd")</f>
        <v>Wednesday</v>
      </c>
      <c r="B49" s="12" t="s">
        <v>93</v>
      </c>
      <c r="C49" s="37" t="n">
        <f aca="false">SUM(Wk1:Wk52!D53:D53)</f>
        <v>0</v>
      </c>
      <c r="D49" s="37" t="n">
        <f aca="false">SUM(Wk1:Wk52!E53:E53)</f>
        <v>0</v>
      </c>
      <c r="E49" s="20" t="n">
        <f aca="false">SUM(Wk1:Wk52!H53:H53)</f>
        <v>0</v>
      </c>
      <c r="F49" s="20" t="n">
        <f aca="false">SUM(Wk1:Wk52!M53:M53)</f>
        <v>0</v>
      </c>
      <c r="G49" s="20" t="n">
        <f aca="false">SUM(Wk1:Wk52!K53:K53)</f>
        <v>0</v>
      </c>
      <c r="H49" s="37" t="n">
        <f aca="false">COUNTIF('Weekly Summary'!$F$2:$F$53,"&gt;0")</f>
        <v>0</v>
      </c>
      <c r="I49" s="46" t="str">
        <f aca="false">IFERROR(C49/H49,"")</f>
        <v/>
      </c>
      <c r="J49" s="46" t="str">
        <f aca="false">IFERROR(D49/H49,"")</f>
        <v/>
      </c>
      <c r="K49" s="20" t="str">
        <f aca="false">IFERROR(E49/H49,"")</f>
        <v/>
      </c>
      <c r="L49" s="36" t="str">
        <f aca="false">IFERROR(D49/C49,"")</f>
        <v/>
      </c>
    </row>
    <row r="50" customFormat="false" ht="15" hidden="false" customHeight="false" outlineLevel="0" collapsed="false">
      <c r="A50" s="12" t="str">
        <f aca="false">TEXT(Setup!$C$5+2,"dddd")</f>
        <v>Wednesday</v>
      </c>
      <c r="B50" s="12" t="s">
        <v>94</v>
      </c>
      <c r="C50" s="37" t="n">
        <f aca="false">SUM(Wk1:Wk52!D54:D54)</f>
        <v>0</v>
      </c>
      <c r="D50" s="37" t="n">
        <f aca="false">SUM(Wk1:Wk52!E54:E54)</f>
        <v>0</v>
      </c>
      <c r="E50" s="20" t="n">
        <f aca="false">SUM(Wk1:Wk52!H54:H54)</f>
        <v>0</v>
      </c>
      <c r="F50" s="20" t="n">
        <f aca="false">SUM(Wk1:Wk52!M54:M54)</f>
        <v>0</v>
      </c>
      <c r="G50" s="20" t="n">
        <f aca="false">SUM(Wk1:Wk52!K54:K54)</f>
        <v>0</v>
      </c>
      <c r="H50" s="37" t="n">
        <f aca="false">COUNTIF('Weekly Summary'!$F$2:$F$53,"&gt;0")</f>
        <v>0</v>
      </c>
      <c r="I50" s="46" t="str">
        <f aca="false">IFERROR(C50/H50,"")</f>
        <v/>
      </c>
      <c r="J50" s="46" t="str">
        <f aca="false">IFERROR(D50/H50,"")</f>
        <v/>
      </c>
      <c r="K50" s="20" t="str">
        <f aca="false">IFERROR(E50/H50,"")</f>
        <v/>
      </c>
      <c r="L50" s="36" t="str">
        <f aca="false">IFERROR(D50/C50,"")</f>
        <v/>
      </c>
    </row>
    <row r="51" customFormat="false" ht="15" hidden="false" customHeight="false" outlineLevel="0" collapsed="false">
      <c r="A51" s="12" t="str">
        <f aca="false">TEXT(Setup!$C$5+2,"dddd")</f>
        <v>Wednesday</v>
      </c>
      <c r="B51" s="12" t="s">
        <v>95</v>
      </c>
      <c r="C51" s="37" t="n">
        <f aca="false">SUM(Wk1:Wk52!D55:D55)</f>
        <v>0</v>
      </c>
      <c r="D51" s="37" t="n">
        <f aca="false">SUM(Wk1:Wk52!E55:E55)</f>
        <v>0</v>
      </c>
      <c r="E51" s="20" t="n">
        <f aca="false">SUM(Wk1:Wk52!H55:H55)</f>
        <v>0</v>
      </c>
      <c r="F51" s="20" t="n">
        <f aca="false">SUM(Wk1:Wk52!M55:M55)</f>
        <v>0</v>
      </c>
      <c r="G51" s="20" t="n">
        <f aca="false">SUM(Wk1:Wk52!K55:K55)</f>
        <v>0</v>
      </c>
      <c r="H51" s="37" t="n">
        <f aca="false">COUNTIF('Weekly Summary'!$F$2:$F$53,"&gt;0")</f>
        <v>0</v>
      </c>
      <c r="I51" s="46" t="str">
        <f aca="false">IFERROR(C51/H51,"")</f>
        <v/>
      </c>
      <c r="J51" s="46" t="str">
        <f aca="false">IFERROR(D51/H51,"")</f>
        <v/>
      </c>
      <c r="K51" s="20" t="str">
        <f aca="false">IFERROR(E51/H51,"")</f>
        <v/>
      </c>
      <c r="L51" s="36" t="str">
        <f aca="false">IFERROR(D51/C51,"")</f>
        <v/>
      </c>
    </row>
    <row r="52" customFormat="false" ht="15" hidden="false" customHeight="false" outlineLevel="0" collapsed="false">
      <c r="A52" s="12" t="str">
        <f aca="false">TEXT(Setup!$C$5+2,"dddd")</f>
        <v>Wednesday</v>
      </c>
      <c r="B52" s="12" t="s">
        <v>96</v>
      </c>
      <c r="C52" s="37" t="n">
        <f aca="false">SUM(Wk1:Wk52!D56:D56)</f>
        <v>0</v>
      </c>
      <c r="D52" s="37" t="n">
        <f aca="false">SUM(Wk1:Wk52!E56:E56)</f>
        <v>0</v>
      </c>
      <c r="E52" s="20" t="n">
        <f aca="false">SUM(Wk1:Wk52!H56:H56)</f>
        <v>0</v>
      </c>
      <c r="F52" s="20" t="n">
        <f aca="false">SUM(Wk1:Wk52!M56:M56)</f>
        <v>0</v>
      </c>
      <c r="G52" s="20" t="n">
        <f aca="false">SUM(Wk1:Wk52!K56:K56)</f>
        <v>0</v>
      </c>
      <c r="H52" s="37" t="n">
        <f aca="false">COUNTIF('Weekly Summary'!$F$2:$F$53,"&gt;0")</f>
        <v>0</v>
      </c>
      <c r="I52" s="46" t="str">
        <f aca="false">IFERROR(C52/H52,"")</f>
        <v/>
      </c>
      <c r="J52" s="46" t="str">
        <f aca="false">IFERROR(D52/H52,"")</f>
        <v/>
      </c>
      <c r="K52" s="20" t="str">
        <f aca="false">IFERROR(E52/H52,"")</f>
        <v/>
      </c>
      <c r="L52" s="36" t="str">
        <f aca="false">IFERROR(D52/C52,"")</f>
        <v/>
      </c>
    </row>
    <row r="53" customFormat="false" ht="15" hidden="false" customHeight="false" outlineLevel="0" collapsed="false">
      <c r="A53" s="12" t="str">
        <f aca="false">TEXT(Setup!$C$5+2,"dddd")</f>
        <v>Wednesday</v>
      </c>
      <c r="B53" s="12" t="s">
        <v>97</v>
      </c>
      <c r="C53" s="37" t="n">
        <f aca="false">SUM(Wk1:Wk52!D57:D57)</f>
        <v>0</v>
      </c>
      <c r="D53" s="37" t="n">
        <f aca="false">SUM(Wk1:Wk52!E57:E57)</f>
        <v>0</v>
      </c>
      <c r="E53" s="20" t="n">
        <f aca="false">SUM(Wk1:Wk52!H57:H57)</f>
        <v>0</v>
      </c>
      <c r="F53" s="20" t="n">
        <f aca="false">SUM(Wk1:Wk52!M57:M57)</f>
        <v>0</v>
      </c>
      <c r="G53" s="20" t="n">
        <f aca="false">SUM(Wk1:Wk52!K57:K57)</f>
        <v>0</v>
      </c>
      <c r="H53" s="37" t="n">
        <f aca="false">COUNTIF('Weekly Summary'!$F$2:$F$53,"&gt;0")</f>
        <v>0</v>
      </c>
      <c r="I53" s="46" t="str">
        <f aca="false">IFERROR(C53/H53,"")</f>
        <v/>
      </c>
      <c r="J53" s="46" t="str">
        <f aca="false">IFERROR(D53/H53,"")</f>
        <v/>
      </c>
      <c r="K53" s="20" t="str">
        <f aca="false">IFERROR(E53/H53,"")</f>
        <v/>
      </c>
      <c r="L53" s="36" t="str">
        <f aca="false">IFERROR(D53/C53,"")</f>
        <v/>
      </c>
    </row>
    <row r="54" customFormat="false" ht="15" hidden="false" customHeight="false" outlineLevel="0" collapsed="false">
      <c r="A54" s="12" t="str">
        <f aca="false">TEXT(Setup!$C$5+2,"dddd")</f>
        <v>Wednesday</v>
      </c>
      <c r="B54" s="12" t="s">
        <v>98</v>
      </c>
      <c r="C54" s="37" t="n">
        <f aca="false">SUM(Wk1:Wk52!D58:D58)</f>
        <v>0</v>
      </c>
      <c r="D54" s="37" t="n">
        <f aca="false">SUM(Wk1:Wk52!E58:E58)</f>
        <v>0</v>
      </c>
      <c r="E54" s="20" t="n">
        <f aca="false">SUM(Wk1:Wk52!H58:H58)</f>
        <v>0</v>
      </c>
      <c r="F54" s="20" t="n">
        <f aca="false">SUM(Wk1:Wk52!M58:M58)</f>
        <v>0</v>
      </c>
      <c r="G54" s="20" t="n">
        <f aca="false">SUM(Wk1:Wk52!K58:K58)</f>
        <v>0</v>
      </c>
      <c r="H54" s="37" t="n">
        <f aca="false">COUNTIF('Weekly Summary'!$F$2:$F$53,"&gt;0")</f>
        <v>0</v>
      </c>
      <c r="I54" s="46" t="str">
        <f aca="false">IFERROR(C54/H54,"")</f>
        <v/>
      </c>
      <c r="J54" s="46" t="str">
        <f aca="false">IFERROR(D54/H54,"")</f>
        <v/>
      </c>
      <c r="K54" s="20" t="str">
        <f aca="false">IFERROR(E54/H54,"")</f>
        <v/>
      </c>
      <c r="L54" s="36" t="str">
        <f aca="false">IFERROR(D54/C54,"")</f>
        <v/>
      </c>
    </row>
    <row r="55" customFormat="false" ht="15" hidden="false" customHeight="false" outlineLevel="0" collapsed="false">
      <c r="A55" s="12" t="str">
        <f aca="false">TEXT(Setup!$C$5+2,"dddd")</f>
        <v>Wednesday</v>
      </c>
      <c r="B55" s="12" t="s">
        <v>99</v>
      </c>
      <c r="C55" s="37" t="n">
        <f aca="false">SUM(Wk1:Wk52!D59:D59)</f>
        <v>0</v>
      </c>
      <c r="D55" s="37" t="n">
        <f aca="false">SUM(Wk1:Wk52!E59:E59)</f>
        <v>0</v>
      </c>
      <c r="E55" s="20" t="n">
        <f aca="false">SUM(Wk1:Wk52!H59:H59)</f>
        <v>0</v>
      </c>
      <c r="F55" s="20" t="n">
        <f aca="false">SUM(Wk1:Wk52!M59:M59)</f>
        <v>0</v>
      </c>
      <c r="G55" s="20" t="n">
        <f aca="false">SUM(Wk1:Wk52!K59:K59)</f>
        <v>0</v>
      </c>
      <c r="H55" s="37" t="n">
        <f aca="false">COUNTIF('Weekly Summary'!$F$2:$F$53,"&gt;0")</f>
        <v>0</v>
      </c>
      <c r="I55" s="46" t="str">
        <f aca="false">IFERROR(C55/H55,"")</f>
        <v/>
      </c>
      <c r="J55" s="46" t="str">
        <f aca="false">IFERROR(D55/H55,"")</f>
        <v/>
      </c>
      <c r="K55" s="20" t="str">
        <f aca="false">IFERROR(E55/H55,"")</f>
        <v/>
      </c>
      <c r="L55" s="36" t="str">
        <f aca="false">IFERROR(D55/C55,"")</f>
        <v/>
      </c>
    </row>
    <row r="56" customFormat="false" ht="15" hidden="false" customHeight="false" outlineLevel="0" collapsed="false">
      <c r="A56" s="12" t="str">
        <f aca="false">TEXT(Setup!$C$5+2,"dddd")</f>
        <v>Wednesday</v>
      </c>
      <c r="B56" s="12" t="s">
        <v>100</v>
      </c>
      <c r="C56" s="37" t="n">
        <f aca="false">SUM(Wk1:Wk52!D60:D60)</f>
        <v>0</v>
      </c>
      <c r="D56" s="37" t="n">
        <f aca="false">SUM(Wk1:Wk52!E60:E60)</f>
        <v>0</v>
      </c>
      <c r="E56" s="20" t="n">
        <f aca="false">SUM(Wk1:Wk52!H60:H60)</f>
        <v>0</v>
      </c>
      <c r="F56" s="20" t="n">
        <f aca="false">SUM(Wk1:Wk52!M60:M60)</f>
        <v>0</v>
      </c>
      <c r="G56" s="20" t="n">
        <f aca="false">SUM(Wk1:Wk52!K60:K60)</f>
        <v>0</v>
      </c>
      <c r="H56" s="37" t="n">
        <f aca="false">COUNTIF('Weekly Summary'!$F$2:$F$53,"&gt;0")</f>
        <v>0</v>
      </c>
      <c r="I56" s="46" t="str">
        <f aca="false">IFERROR(C56/H56,"")</f>
        <v/>
      </c>
      <c r="J56" s="46" t="str">
        <f aca="false">IFERROR(D56/H56,"")</f>
        <v/>
      </c>
      <c r="K56" s="20" t="str">
        <f aca="false">IFERROR(E56/H56,"")</f>
        <v/>
      </c>
      <c r="L56" s="36" t="str">
        <f aca="false">IFERROR(D56/C56,"")</f>
        <v/>
      </c>
    </row>
    <row r="57" customFormat="false" ht="15" hidden="false" customHeight="false" outlineLevel="0" collapsed="false">
      <c r="A57" s="12" t="str">
        <f aca="false">TEXT(Setup!$C$5+2,"dddd")</f>
        <v>Wednesday</v>
      </c>
      <c r="B57" s="12" t="s">
        <v>101</v>
      </c>
      <c r="C57" s="37" t="n">
        <f aca="false">SUM(Wk1:Wk52!D61:D61)</f>
        <v>0</v>
      </c>
      <c r="D57" s="37" t="n">
        <f aca="false">SUM(Wk1:Wk52!E61:E61)</f>
        <v>0</v>
      </c>
      <c r="E57" s="20" t="n">
        <f aca="false">SUM(Wk1:Wk52!H61:H61)</f>
        <v>0</v>
      </c>
      <c r="F57" s="20" t="n">
        <f aca="false">SUM(Wk1:Wk52!M61:M61)</f>
        <v>0</v>
      </c>
      <c r="G57" s="20" t="n">
        <f aca="false">SUM(Wk1:Wk52!K61:K61)</f>
        <v>0</v>
      </c>
      <c r="H57" s="37" t="n">
        <f aca="false">COUNTIF('Weekly Summary'!$F$2:$F$53,"&gt;0")</f>
        <v>0</v>
      </c>
      <c r="I57" s="46" t="str">
        <f aca="false">IFERROR(C57/H57,"")</f>
        <v/>
      </c>
      <c r="J57" s="46" t="str">
        <f aca="false">IFERROR(D57/H57,"")</f>
        <v/>
      </c>
      <c r="K57" s="20" t="str">
        <f aca="false">IFERROR(E57/H57,"")</f>
        <v/>
      </c>
      <c r="L57" s="36" t="str">
        <f aca="false">IFERROR(D57/C57,"")</f>
        <v/>
      </c>
    </row>
    <row r="58" customFormat="false" ht="15" hidden="false" customHeight="false" outlineLevel="0" collapsed="false">
      <c r="A58" s="12" t="str">
        <f aca="false">TEXT(Setup!$C$5+2,"dddd")</f>
        <v>Wednesday</v>
      </c>
      <c r="B58" s="12" t="s">
        <v>102</v>
      </c>
      <c r="C58" s="37" t="n">
        <f aca="false">SUM(Wk1:Wk52!D62:D62)</f>
        <v>0</v>
      </c>
      <c r="D58" s="37" t="n">
        <f aca="false">SUM(Wk1:Wk52!E62:E62)</f>
        <v>0</v>
      </c>
      <c r="E58" s="20" t="n">
        <f aca="false">SUM(Wk1:Wk52!H62:H62)</f>
        <v>0</v>
      </c>
      <c r="F58" s="20" t="n">
        <f aca="false">SUM(Wk1:Wk52!M62:M62)</f>
        <v>0</v>
      </c>
      <c r="G58" s="20" t="n">
        <f aca="false">SUM(Wk1:Wk52!K62:K62)</f>
        <v>0</v>
      </c>
      <c r="H58" s="37" t="n">
        <f aca="false">COUNTIF('Weekly Summary'!$F$2:$F$53,"&gt;0")</f>
        <v>0</v>
      </c>
      <c r="I58" s="46" t="str">
        <f aca="false">IFERROR(C58/H58,"")</f>
        <v/>
      </c>
      <c r="J58" s="46" t="str">
        <f aca="false">IFERROR(D58/H58,"")</f>
        <v/>
      </c>
      <c r="K58" s="20" t="str">
        <f aca="false">IFERROR(E58/H58,"")</f>
        <v/>
      </c>
      <c r="L58" s="36" t="str">
        <f aca="false">IFERROR(D58/C58,"")</f>
        <v/>
      </c>
    </row>
    <row r="59" customFormat="false" ht="15" hidden="false" customHeight="false" outlineLevel="0" collapsed="false">
      <c r="A59" s="12" t="str">
        <f aca="false">TEXT(Setup!$C$5+2,"dddd")</f>
        <v>Wednesday</v>
      </c>
      <c r="B59" s="12" t="s">
        <v>103</v>
      </c>
      <c r="C59" s="37" t="n">
        <f aca="false">SUM(Wk1:Wk52!D63:D63)</f>
        <v>0</v>
      </c>
      <c r="D59" s="37" t="n">
        <f aca="false">SUM(Wk1:Wk52!E63:E63)</f>
        <v>0</v>
      </c>
      <c r="E59" s="20" t="n">
        <f aca="false">SUM(Wk1:Wk52!H63:H63)</f>
        <v>0</v>
      </c>
      <c r="F59" s="20" t="n">
        <f aca="false">SUM(Wk1:Wk52!M63:M63)</f>
        <v>0</v>
      </c>
      <c r="G59" s="20" t="n">
        <f aca="false">SUM(Wk1:Wk52!K63:K63)</f>
        <v>0</v>
      </c>
      <c r="H59" s="37" t="n">
        <f aca="false">COUNTIF('Weekly Summary'!$F$2:$F$53,"&gt;0")</f>
        <v>0</v>
      </c>
      <c r="I59" s="46" t="str">
        <f aca="false">IFERROR(C59/H59,"")</f>
        <v/>
      </c>
      <c r="J59" s="46" t="str">
        <f aca="false">IFERROR(D59/H59,"")</f>
        <v/>
      </c>
      <c r="K59" s="20" t="str">
        <f aca="false">IFERROR(E59/H59,"")</f>
        <v/>
      </c>
      <c r="L59" s="36" t="str">
        <f aca="false">IFERROR(D59/C59,"")</f>
        <v/>
      </c>
    </row>
    <row r="60" customFormat="false" ht="15" hidden="false" customHeight="false" outlineLevel="0" collapsed="false">
      <c r="A60" s="12" t="str">
        <f aca="false">TEXT(Setup!$C$5+2,"dddd")</f>
        <v>Wednesday</v>
      </c>
      <c r="B60" s="12" t="s">
        <v>104</v>
      </c>
      <c r="C60" s="37" t="n">
        <f aca="false">SUM(Wk1:Wk52!D64:D64)</f>
        <v>0</v>
      </c>
      <c r="D60" s="37" t="n">
        <f aca="false">SUM(Wk1:Wk52!E64:E64)</f>
        <v>0</v>
      </c>
      <c r="E60" s="20" t="n">
        <f aca="false">SUM(Wk1:Wk52!H64:H64)</f>
        <v>0</v>
      </c>
      <c r="F60" s="20" t="n">
        <f aca="false">SUM(Wk1:Wk52!M64:M64)</f>
        <v>0</v>
      </c>
      <c r="G60" s="20" t="n">
        <f aca="false">SUM(Wk1:Wk52!K64:K64)</f>
        <v>0</v>
      </c>
      <c r="H60" s="37" t="n">
        <f aca="false">COUNTIF('Weekly Summary'!$F$2:$F$53,"&gt;0")</f>
        <v>0</v>
      </c>
      <c r="I60" s="46" t="str">
        <f aca="false">IFERROR(C60/H60,"")</f>
        <v/>
      </c>
      <c r="J60" s="46" t="str">
        <f aca="false">IFERROR(D60/H60,"")</f>
        <v/>
      </c>
      <c r="K60" s="20" t="str">
        <f aca="false">IFERROR(E60/H60,"")</f>
        <v/>
      </c>
      <c r="L60" s="36" t="str">
        <f aca="false">IFERROR(D60/C60,"")</f>
        <v/>
      </c>
    </row>
    <row r="61" customFormat="false" ht="15" hidden="false" customHeight="false" outlineLevel="0" collapsed="false">
      <c r="A61" s="12" t="str">
        <f aca="false">TEXT(Setup!$C$5+2,"dddd")</f>
        <v>Wednesday</v>
      </c>
      <c r="B61" s="12" t="s">
        <v>105</v>
      </c>
      <c r="C61" s="37" t="n">
        <f aca="false">SUM(Wk1:Wk52!D65:D65)</f>
        <v>0</v>
      </c>
      <c r="D61" s="37" t="n">
        <f aca="false">SUM(Wk1:Wk52!E65:E65)</f>
        <v>0</v>
      </c>
      <c r="E61" s="20" t="n">
        <f aca="false">SUM(Wk1:Wk52!H65:H65)</f>
        <v>0</v>
      </c>
      <c r="F61" s="20" t="n">
        <f aca="false">SUM(Wk1:Wk52!M65:M65)</f>
        <v>0</v>
      </c>
      <c r="G61" s="20" t="n">
        <f aca="false">SUM(Wk1:Wk52!K65:K65)</f>
        <v>0</v>
      </c>
      <c r="H61" s="37" t="n">
        <f aca="false">COUNTIF('Weekly Summary'!$F$2:$F$53,"&gt;0")</f>
        <v>0</v>
      </c>
      <c r="I61" s="46" t="str">
        <f aca="false">IFERROR(C61/H61,"")</f>
        <v/>
      </c>
      <c r="J61" s="46" t="str">
        <f aca="false">IFERROR(D61/H61,"")</f>
        <v/>
      </c>
      <c r="K61" s="20" t="str">
        <f aca="false">IFERROR(E61/H61,"")</f>
        <v/>
      </c>
      <c r="L61" s="36" t="str">
        <f aca="false">IFERROR(D61/C61,"")</f>
        <v/>
      </c>
    </row>
    <row r="62" customFormat="false" ht="15" hidden="false" customHeight="false" outlineLevel="0" collapsed="false">
      <c r="A62" s="41" t="str">
        <f aca="false">TEXT(Setup!$C$5+3,"dddd")</f>
        <v>Thursday</v>
      </c>
      <c r="B62" s="41" t="s">
        <v>86</v>
      </c>
      <c r="C62" s="42" t="n">
        <f aca="false">SUM(Wk1:Wk52!D68:D68)</f>
        <v>0</v>
      </c>
      <c r="D62" s="42" t="n">
        <f aca="false">SUM(Wk1:Wk52!E68:E68)</f>
        <v>0</v>
      </c>
      <c r="E62" s="43" t="n">
        <f aca="false">SUM(Wk1:Wk52!H68:H68)</f>
        <v>0</v>
      </c>
      <c r="F62" s="43" t="n">
        <f aca="false">SUM(Wk1:Wk52!M68:M68)</f>
        <v>0</v>
      </c>
      <c r="G62" s="43" t="n">
        <f aca="false">SUM(Wk1:Wk52!K68:K68)</f>
        <v>0</v>
      </c>
      <c r="H62" s="42" t="n">
        <f aca="false">COUNTIF('Weekly Summary'!$F$2:$F$53,"&gt;0")</f>
        <v>0</v>
      </c>
      <c r="I62" s="44" t="str">
        <f aca="false">IFERROR(C62/H62,"")</f>
        <v/>
      </c>
      <c r="J62" s="44" t="str">
        <f aca="false">IFERROR(D62/H62,"")</f>
        <v/>
      </c>
      <c r="K62" s="43" t="str">
        <f aca="false">IFERROR(E62/H62,"")</f>
        <v/>
      </c>
      <c r="L62" s="45" t="str">
        <f aca="false">IFERROR(D62/C62,"")</f>
        <v/>
      </c>
    </row>
    <row r="63" customFormat="false" ht="15" hidden="false" customHeight="false" outlineLevel="0" collapsed="false">
      <c r="A63" s="12" t="str">
        <f aca="false">TEXT(Setup!$C$5+3,"dddd")</f>
        <v>Thursday</v>
      </c>
      <c r="B63" s="12" t="s">
        <v>87</v>
      </c>
      <c r="C63" s="37" t="n">
        <f aca="false">SUM(Wk1:Wk52!D69:D69)</f>
        <v>0</v>
      </c>
      <c r="D63" s="37" t="n">
        <f aca="false">SUM(Wk1:Wk52!E69:E69)</f>
        <v>0</v>
      </c>
      <c r="E63" s="20" t="n">
        <f aca="false">SUM(Wk1:Wk52!H69:H69)</f>
        <v>0</v>
      </c>
      <c r="F63" s="20" t="n">
        <f aca="false">SUM(Wk1:Wk52!M69:M69)</f>
        <v>0</v>
      </c>
      <c r="G63" s="20" t="n">
        <f aca="false">SUM(Wk1:Wk52!K69:K69)</f>
        <v>0</v>
      </c>
      <c r="H63" s="37" t="n">
        <f aca="false">COUNTIF('Weekly Summary'!$F$2:$F$53,"&gt;0")</f>
        <v>0</v>
      </c>
      <c r="I63" s="46" t="str">
        <f aca="false">IFERROR(C63/H63,"")</f>
        <v/>
      </c>
      <c r="J63" s="46" t="str">
        <f aca="false">IFERROR(D63/H63,"")</f>
        <v/>
      </c>
      <c r="K63" s="20" t="str">
        <f aca="false">IFERROR(E63/H63,"")</f>
        <v/>
      </c>
      <c r="L63" s="36" t="str">
        <f aca="false">IFERROR(D63/C63,"")</f>
        <v/>
      </c>
    </row>
    <row r="64" customFormat="false" ht="15" hidden="false" customHeight="false" outlineLevel="0" collapsed="false">
      <c r="A64" s="12" t="str">
        <f aca="false">TEXT(Setup!$C$5+3,"dddd")</f>
        <v>Thursday</v>
      </c>
      <c r="B64" s="12" t="s">
        <v>88</v>
      </c>
      <c r="C64" s="37" t="n">
        <f aca="false">SUM(Wk1:Wk52!D70:D70)</f>
        <v>0</v>
      </c>
      <c r="D64" s="37" t="n">
        <f aca="false">SUM(Wk1:Wk52!E70:E70)</f>
        <v>0</v>
      </c>
      <c r="E64" s="20" t="n">
        <f aca="false">SUM(Wk1:Wk52!H70:H70)</f>
        <v>0</v>
      </c>
      <c r="F64" s="20" t="n">
        <f aca="false">SUM(Wk1:Wk52!M70:M70)</f>
        <v>0</v>
      </c>
      <c r="G64" s="20" t="n">
        <f aca="false">SUM(Wk1:Wk52!K70:K70)</f>
        <v>0</v>
      </c>
      <c r="H64" s="37" t="n">
        <f aca="false">COUNTIF('Weekly Summary'!$F$2:$F$53,"&gt;0")</f>
        <v>0</v>
      </c>
      <c r="I64" s="46" t="str">
        <f aca="false">IFERROR(C64/H64,"")</f>
        <v/>
      </c>
      <c r="J64" s="46" t="str">
        <f aca="false">IFERROR(D64/H64,"")</f>
        <v/>
      </c>
      <c r="K64" s="20" t="str">
        <f aca="false">IFERROR(E64/H64,"")</f>
        <v/>
      </c>
      <c r="L64" s="36" t="str">
        <f aca="false">IFERROR(D64/C64,"")</f>
        <v/>
      </c>
    </row>
    <row r="65" customFormat="false" ht="15" hidden="false" customHeight="false" outlineLevel="0" collapsed="false">
      <c r="A65" s="12" t="str">
        <f aca="false">TEXT(Setup!$C$5+3,"dddd")</f>
        <v>Thursday</v>
      </c>
      <c r="B65" s="12" t="s">
        <v>89</v>
      </c>
      <c r="C65" s="37" t="n">
        <f aca="false">SUM(Wk1:Wk52!D71:D71)</f>
        <v>0</v>
      </c>
      <c r="D65" s="37" t="n">
        <f aca="false">SUM(Wk1:Wk52!E71:E71)</f>
        <v>0</v>
      </c>
      <c r="E65" s="20" t="n">
        <f aca="false">SUM(Wk1:Wk52!H71:H71)</f>
        <v>0</v>
      </c>
      <c r="F65" s="20" t="n">
        <f aca="false">SUM(Wk1:Wk52!M71:M71)</f>
        <v>0</v>
      </c>
      <c r="G65" s="20" t="n">
        <f aca="false">SUM(Wk1:Wk52!K71:K71)</f>
        <v>0</v>
      </c>
      <c r="H65" s="37" t="n">
        <f aca="false">COUNTIF('Weekly Summary'!$F$2:$F$53,"&gt;0")</f>
        <v>0</v>
      </c>
      <c r="I65" s="46" t="str">
        <f aca="false">IFERROR(C65/H65,"")</f>
        <v/>
      </c>
      <c r="J65" s="46" t="str">
        <f aca="false">IFERROR(D65/H65,"")</f>
        <v/>
      </c>
      <c r="K65" s="20" t="str">
        <f aca="false">IFERROR(E65/H65,"")</f>
        <v/>
      </c>
      <c r="L65" s="36" t="str">
        <f aca="false">IFERROR(D65/C65,"")</f>
        <v/>
      </c>
    </row>
    <row r="66" customFormat="false" ht="15" hidden="false" customHeight="false" outlineLevel="0" collapsed="false">
      <c r="A66" s="12" t="str">
        <f aca="false">TEXT(Setup!$C$5+3,"dddd")</f>
        <v>Thursday</v>
      </c>
      <c r="B66" s="12" t="s">
        <v>90</v>
      </c>
      <c r="C66" s="37" t="n">
        <f aca="false">SUM(Wk1:Wk52!D72:D72)</f>
        <v>0</v>
      </c>
      <c r="D66" s="37" t="n">
        <f aca="false">SUM(Wk1:Wk52!E72:E72)</f>
        <v>0</v>
      </c>
      <c r="E66" s="20" t="n">
        <f aca="false">SUM(Wk1:Wk52!H72:H72)</f>
        <v>0</v>
      </c>
      <c r="F66" s="20" t="n">
        <f aca="false">SUM(Wk1:Wk52!M72:M72)</f>
        <v>0</v>
      </c>
      <c r="G66" s="20" t="n">
        <f aca="false">SUM(Wk1:Wk52!K72:K72)</f>
        <v>0</v>
      </c>
      <c r="H66" s="37" t="n">
        <f aca="false">COUNTIF('Weekly Summary'!$F$2:$F$53,"&gt;0")</f>
        <v>0</v>
      </c>
      <c r="I66" s="46" t="str">
        <f aca="false">IFERROR(C66/H66,"")</f>
        <v/>
      </c>
      <c r="J66" s="46" t="str">
        <f aca="false">IFERROR(D66/H66,"")</f>
        <v/>
      </c>
      <c r="K66" s="20" t="str">
        <f aca="false">IFERROR(E66/H66,"")</f>
        <v/>
      </c>
      <c r="L66" s="36" t="str">
        <f aca="false">IFERROR(D66/C66,"")</f>
        <v/>
      </c>
    </row>
    <row r="67" customFormat="false" ht="15" hidden="false" customHeight="false" outlineLevel="0" collapsed="false">
      <c r="A67" s="12" t="str">
        <f aca="false">TEXT(Setup!$C$5+3,"dddd")</f>
        <v>Thursday</v>
      </c>
      <c r="B67" s="12" t="s">
        <v>91</v>
      </c>
      <c r="C67" s="37" t="n">
        <f aca="false">SUM(Wk1:Wk52!D73:D73)</f>
        <v>0</v>
      </c>
      <c r="D67" s="37" t="n">
        <f aca="false">SUM(Wk1:Wk52!E73:E73)</f>
        <v>0</v>
      </c>
      <c r="E67" s="20" t="n">
        <f aca="false">SUM(Wk1:Wk52!H73:H73)</f>
        <v>0</v>
      </c>
      <c r="F67" s="20" t="n">
        <f aca="false">SUM(Wk1:Wk52!M73:M73)</f>
        <v>0</v>
      </c>
      <c r="G67" s="20" t="n">
        <f aca="false">SUM(Wk1:Wk52!K73:K73)</f>
        <v>0</v>
      </c>
      <c r="H67" s="37" t="n">
        <f aca="false">COUNTIF('Weekly Summary'!$F$2:$F$53,"&gt;0")</f>
        <v>0</v>
      </c>
      <c r="I67" s="46" t="str">
        <f aca="false">IFERROR(C67/H67,"")</f>
        <v/>
      </c>
      <c r="J67" s="46" t="str">
        <f aca="false">IFERROR(D67/H67,"")</f>
        <v/>
      </c>
      <c r="K67" s="20" t="str">
        <f aca="false">IFERROR(E67/H67,"")</f>
        <v/>
      </c>
      <c r="L67" s="36" t="str">
        <f aca="false">IFERROR(D67/C67,"")</f>
        <v/>
      </c>
    </row>
    <row r="68" customFormat="false" ht="15" hidden="false" customHeight="false" outlineLevel="0" collapsed="false">
      <c r="A68" s="12" t="str">
        <f aca="false">TEXT(Setup!$C$5+3,"dddd")</f>
        <v>Thursday</v>
      </c>
      <c r="B68" s="12" t="s">
        <v>92</v>
      </c>
      <c r="C68" s="37" t="n">
        <f aca="false">SUM(Wk1:Wk52!D74:D74)</f>
        <v>0</v>
      </c>
      <c r="D68" s="37" t="n">
        <f aca="false">SUM(Wk1:Wk52!E74:E74)</f>
        <v>0</v>
      </c>
      <c r="E68" s="20" t="n">
        <f aca="false">SUM(Wk1:Wk52!H74:H74)</f>
        <v>0</v>
      </c>
      <c r="F68" s="20" t="n">
        <f aca="false">SUM(Wk1:Wk52!M74:M74)</f>
        <v>0</v>
      </c>
      <c r="G68" s="20" t="n">
        <f aca="false">SUM(Wk1:Wk52!K74:K74)</f>
        <v>0</v>
      </c>
      <c r="H68" s="37" t="n">
        <f aca="false">COUNTIF('Weekly Summary'!$F$2:$F$53,"&gt;0")</f>
        <v>0</v>
      </c>
      <c r="I68" s="46" t="str">
        <f aca="false">IFERROR(C68/H68,"")</f>
        <v/>
      </c>
      <c r="J68" s="46" t="str">
        <f aca="false">IFERROR(D68/H68,"")</f>
        <v/>
      </c>
      <c r="K68" s="20" t="str">
        <f aca="false">IFERROR(E68/H68,"")</f>
        <v/>
      </c>
      <c r="L68" s="36" t="str">
        <f aca="false">IFERROR(D68/C68,"")</f>
        <v/>
      </c>
    </row>
    <row r="69" customFormat="false" ht="15" hidden="false" customHeight="false" outlineLevel="0" collapsed="false">
      <c r="A69" s="12" t="str">
        <f aca="false">TEXT(Setup!$C$5+3,"dddd")</f>
        <v>Thursday</v>
      </c>
      <c r="B69" s="12" t="s">
        <v>93</v>
      </c>
      <c r="C69" s="37" t="n">
        <f aca="false">SUM(Wk1:Wk52!D75:D75)</f>
        <v>0</v>
      </c>
      <c r="D69" s="37" t="n">
        <f aca="false">SUM(Wk1:Wk52!E75:E75)</f>
        <v>0</v>
      </c>
      <c r="E69" s="20" t="n">
        <f aca="false">SUM(Wk1:Wk52!H75:H75)</f>
        <v>0</v>
      </c>
      <c r="F69" s="20" t="n">
        <f aca="false">SUM(Wk1:Wk52!M75:M75)</f>
        <v>0</v>
      </c>
      <c r="G69" s="20" t="n">
        <f aca="false">SUM(Wk1:Wk52!K75:K75)</f>
        <v>0</v>
      </c>
      <c r="H69" s="37" t="n">
        <f aca="false">COUNTIF('Weekly Summary'!$F$2:$F$53,"&gt;0")</f>
        <v>0</v>
      </c>
      <c r="I69" s="46" t="str">
        <f aca="false">IFERROR(C69/H69,"")</f>
        <v/>
      </c>
      <c r="J69" s="46" t="str">
        <f aca="false">IFERROR(D69/H69,"")</f>
        <v/>
      </c>
      <c r="K69" s="20" t="str">
        <f aca="false">IFERROR(E69/H69,"")</f>
        <v/>
      </c>
      <c r="L69" s="36" t="str">
        <f aca="false">IFERROR(D69/C69,"")</f>
        <v/>
      </c>
    </row>
    <row r="70" customFormat="false" ht="15" hidden="false" customHeight="false" outlineLevel="0" collapsed="false">
      <c r="A70" s="12" t="str">
        <f aca="false">TEXT(Setup!$C$5+3,"dddd")</f>
        <v>Thursday</v>
      </c>
      <c r="B70" s="12" t="s">
        <v>94</v>
      </c>
      <c r="C70" s="37" t="n">
        <f aca="false">SUM(Wk1:Wk52!D76:D76)</f>
        <v>0</v>
      </c>
      <c r="D70" s="37" t="n">
        <f aca="false">SUM(Wk1:Wk52!E76:E76)</f>
        <v>0</v>
      </c>
      <c r="E70" s="20" t="n">
        <f aca="false">SUM(Wk1:Wk52!H76:H76)</f>
        <v>0</v>
      </c>
      <c r="F70" s="20" t="n">
        <f aca="false">SUM(Wk1:Wk52!M76:M76)</f>
        <v>0</v>
      </c>
      <c r="G70" s="20" t="n">
        <f aca="false">SUM(Wk1:Wk52!K76:K76)</f>
        <v>0</v>
      </c>
      <c r="H70" s="37" t="n">
        <f aca="false">COUNTIF('Weekly Summary'!$F$2:$F$53,"&gt;0")</f>
        <v>0</v>
      </c>
      <c r="I70" s="46" t="str">
        <f aca="false">IFERROR(C70/H70,"")</f>
        <v/>
      </c>
      <c r="J70" s="46" t="str">
        <f aca="false">IFERROR(D70/H70,"")</f>
        <v/>
      </c>
      <c r="K70" s="20" t="str">
        <f aca="false">IFERROR(E70/H70,"")</f>
        <v/>
      </c>
      <c r="L70" s="36" t="str">
        <f aca="false">IFERROR(D70/C70,"")</f>
        <v/>
      </c>
    </row>
    <row r="71" customFormat="false" ht="15" hidden="false" customHeight="false" outlineLevel="0" collapsed="false">
      <c r="A71" s="12" t="str">
        <f aca="false">TEXT(Setup!$C$5+3,"dddd")</f>
        <v>Thursday</v>
      </c>
      <c r="B71" s="12" t="s">
        <v>95</v>
      </c>
      <c r="C71" s="37" t="n">
        <f aca="false">SUM(Wk1:Wk52!D77:D77)</f>
        <v>0</v>
      </c>
      <c r="D71" s="37" t="n">
        <f aca="false">SUM(Wk1:Wk52!E77:E77)</f>
        <v>0</v>
      </c>
      <c r="E71" s="20" t="n">
        <f aca="false">SUM(Wk1:Wk52!H77:H77)</f>
        <v>0</v>
      </c>
      <c r="F71" s="20" t="n">
        <f aca="false">SUM(Wk1:Wk52!M77:M77)</f>
        <v>0</v>
      </c>
      <c r="G71" s="20" t="n">
        <f aca="false">SUM(Wk1:Wk52!K77:K77)</f>
        <v>0</v>
      </c>
      <c r="H71" s="37" t="n">
        <f aca="false">COUNTIF('Weekly Summary'!$F$2:$F$53,"&gt;0")</f>
        <v>0</v>
      </c>
      <c r="I71" s="46" t="str">
        <f aca="false">IFERROR(C71/H71,"")</f>
        <v/>
      </c>
      <c r="J71" s="46" t="str">
        <f aca="false">IFERROR(D71/H71,"")</f>
        <v/>
      </c>
      <c r="K71" s="20" t="str">
        <f aca="false">IFERROR(E71/H71,"")</f>
        <v/>
      </c>
      <c r="L71" s="36" t="str">
        <f aca="false">IFERROR(D71/C71,"")</f>
        <v/>
      </c>
    </row>
    <row r="72" customFormat="false" ht="15" hidden="false" customHeight="false" outlineLevel="0" collapsed="false">
      <c r="A72" s="12" t="str">
        <f aca="false">TEXT(Setup!$C$5+3,"dddd")</f>
        <v>Thursday</v>
      </c>
      <c r="B72" s="12" t="s">
        <v>96</v>
      </c>
      <c r="C72" s="37" t="n">
        <f aca="false">SUM(Wk1:Wk52!D78:D78)</f>
        <v>0</v>
      </c>
      <c r="D72" s="37" t="n">
        <f aca="false">SUM(Wk1:Wk52!E78:E78)</f>
        <v>0</v>
      </c>
      <c r="E72" s="20" t="n">
        <f aca="false">SUM(Wk1:Wk52!H78:H78)</f>
        <v>0</v>
      </c>
      <c r="F72" s="20" t="n">
        <f aca="false">SUM(Wk1:Wk52!M78:M78)</f>
        <v>0</v>
      </c>
      <c r="G72" s="20" t="n">
        <f aca="false">SUM(Wk1:Wk52!K78:K78)</f>
        <v>0</v>
      </c>
      <c r="H72" s="37" t="n">
        <f aca="false">COUNTIF('Weekly Summary'!$F$2:$F$53,"&gt;0")</f>
        <v>0</v>
      </c>
      <c r="I72" s="46" t="str">
        <f aca="false">IFERROR(C72/H72,"")</f>
        <v/>
      </c>
      <c r="J72" s="46" t="str">
        <f aca="false">IFERROR(D72/H72,"")</f>
        <v/>
      </c>
      <c r="K72" s="20" t="str">
        <f aca="false">IFERROR(E72/H72,"")</f>
        <v/>
      </c>
      <c r="L72" s="36" t="str">
        <f aca="false">IFERROR(D72/C72,"")</f>
        <v/>
      </c>
    </row>
    <row r="73" customFormat="false" ht="15" hidden="false" customHeight="false" outlineLevel="0" collapsed="false">
      <c r="A73" s="12" t="str">
        <f aca="false">TEXT(Setup!$C$5+3,"dddd")</f>
        <v>Thursday</v>
      </c>
      <c r="B73" s="12" t="s">
        <v>97</v>
      </c>
      <c r="C73" s="37" t="n">
        <f aca="false">SUM(Wk1:Wk52!D79:D79)</f>
        <v>0</v>
      </c>
      <c r="D73" s="37" t="n">
        <f aca="false">SUM(Wk1:Wk52!E79:E79)</f>
        <v>0</v>
      </c>
      <c r="E73" s="20" t="n">
        <f aca="false">SUM(Wk1:Wk52!H79:H79)</f>
        <v>0</v>
      </c>
      <c r="F73" s="20" t="n">
        <f aca="false">SUM(Wk1:Wk52!M79:M79)</f>
        <v>0</v>
      </c>
      <c r="G73" s="20" t="n">
        <f aca="false">SUM(Wk1:Wk52!K79:K79)</f>
        <v>0</v>
      </c>
      <c r="H73" s="37" t="n">
        <f aca="false">COUNTIF('Weekly Summary'!$F$2:$F$53,"&gt;0")</f>
        <v>0</v>
      </c>
      <c r="I73" s="46" t="str">
        <f aca="false">IFERROR(C73/H73,"")</f>
        <v/>
      </c>
      <c r="J73" s="46" t="str">
        <f aca="false">IFERROR(D73/H73,"")</f>
        <v/>
      </c>
      <c r="K73" s="20" t="str">
        <f aca="false">IFERROR(E73/H73,"")</f>
        <v/>
      </c>
      <c r="L73" s="36" t="str">
        <f aca="false">IFERROR(D73/C73,"")</f>
        <v/>
      </c>
    </row>
    <row r="74" customFormat="false" ht="15" hidden="false" customHeight="false" outlineLevel="0" collapsed="false">
      <c r="A74" s="12" t="str">
        <f aca="false">TEXT(Setup!$C$5+3,"dddd")</f>
        <v>Thursday</v>
      </c>
      <c r="B74" s="12" t="s">
        <v>98</v>
      </c>
      <c r="C74" s="37" t="n">
        <f aca="false">SUM(Wk1:Wk52!D80:D80)</f>
        <v>0</v>
      </c>
      <c r="D74" s="37" t="n">
        <f aca="false">SUM(Wk1:Wk52!E80:E80)</f>
        <v>0</v>
      </c>
      <c r="E74" s="20" t="n">
        <f aca="false">SUM(Wk1:Wk52!H80:H80)</f>
        <v>0</v>
      </c>
      <c r="F74" s="20" t="n">
        <f aca="false">SUM(Wk1:Wk52!M80:M80)</f>
        <v>0</v>
      </c>
      <c r="G74" s="20" t="n">
        <f aca="false">SUM(Wk1:Wk52!K80:K80)</f>
        <v>0</v>
      </c>
      <c r="H74" s="37" t="n">
        <f aca="false">COUNTIF('Weekly Summary'!$F$2:$F$53,"&gt;0")</f>
        <v>0</v>
      </c>
      <c r="I74" s="46" t="str">
        <f aca="false">IFERROR(C74/H74,"")</f>
        <v/>
      </c>
      <c r="J74" s="46" t="str">
        <f aca="false">IFERROR(D74/H74,"")</f>
        <v/>
      </c>
      <c r="K74" s="20" t="str">
        <f aca="false">IFERROR(E74/H74,"")</f>
        <v/>
      </c>
      <c r="L74" s="36" t="str">
        <f aca="false">IFERROR(D74/C74,"")</f>
        <v/>
      </c>
    </row>
    <row r="75" customFormat="false" ht="15" hidden="false" customHeight="false" outlineLevel="0" collapsed="false">
      <c r="A75" s="12" t="str">
        <f aca="false">TEXT(Setup!$C$5+3,"dddd")</f>
        <v>Thursday</v>
      </c>
      <c r="B75" s="12" t="s">
        <v>99</v>
      </c>
      <c r="C75" s="37" t="n">
        <f aca="false">SUM(Wk1:Wk52!D81:D81)</f>
        <v>0</v>
      </c>
      <c r="D75" s="37" t="n">
        <f aca="false">SUM(Wk1:Wk52!E81:E81)</f>
        <v>0</v>
      </c>
      <c r="E75" s="20" t="n">
        <f aca="false">SUM(Wk1:Wk52!H81:H81)</f>
        <v>0</v>
      </c>
      <c r="F75" s="20" t="n">
        <f aca="false">SUM(Wk1:Wk52!M81:M81)</f>
        <v>0</v>
      </c>
      <c r="G75" s="20" t="n">
        <f aca="false">SUM(Wk1:Wk52!K81:K81)</f>
        <v>0</v>
      </c>
      <c r="H75" s="37" t="n">
        <f aca="false">COUNTIF('Weekly Summary'!$F$2:$F$53,"&gt;0")</f>
        <v>0</v>
      </c>
      <c r="I75" s="46" t="str">
        <f aca="false">IFERROR(C75/H75,"")</f>
        <v/>
      </c>
      <c r="J75" s="46" t="str">
        <f aca="false">IFERROR(D75/H75,"")</f>
        <v/>
      </c>
      <c r="K75" s="20" t="str">
        <f aca="false">IFERROR(E75/H75,"")</f>
        <v/>
      </c>
      <c r="L75" s="36" t="str">
        <f aca="false">IFERROR(D75/C75,"")</f>
        <v/>
      </c>
    </row>
    <row r="76" customFormat="false" ht="15" hidden="false" customHeight="false" outlineLevel="0" collapsed="false">
      <c r="A76" s="12" t="str">
        <f aca="false">TEXT(Setup!$C$5+3,"dddd")</f>
        <v>Thursday</v>
      </c>
      <c r="B76" s="12" t="s">
        <v>100</v>
      </c>
      <c r="C76" s="37" t="n">
        <f aca="false">SUM(Wk1:Wk52!D82:D82)</f>
        <v>0</v>
      </c>
      <c r="D76" s="37" t="n">
        <f aca="false">SUM(Wk1:Wk52!E82:E82)</f>
        <v>0</v>
      </c>
      <c r="E76" s="20" t="n">
        <f aca="false">SUM(Wk1:Wk52!H82:H82)</f>
        <v>0</v>
      </c>
      <c r="F76" s="20" t="n">
        <f aca="false">SUM(Wk1:Wk52!M82:M82)</f>
        <v>0</v>
      </c>
      <c r="G76" s="20" t="n">
        <f aca="false">SUM(Wk1:Wk52!K82:K82)</f>
        <v>0</v>
      </c>
      <c r="H76" s="37" t="n">
        <f aca="false">COUNTIF('Weekly Summary'!$F$2:$F$53,"&gt;0")</f>
        <v>0</v>
      </c>
      <c r="I76" s="46" t="str">
        <f aca="false">IFERROR(C76/H76,"")</f>
        <v/>
      </c>
      <c r="J76" s="46" t="str">
        <f aca="false">IFERROR(D76/H76,"")</f>
        <v/>
      </c>
      <c r="K76" s="20" t="str">
        <f aca="false">IFERROR(E76/H76,"")</f>
        <v/>
      </c>
      <c r="L76" s="36" t="str">
        <f aca="false">IFERROR(D76/C76,"")</f>
        <v/>
      </c>
    </row>
    <row r="77" customFormat="false" ht="15" hidden="false" customHeight="false" outlineLevel="0" collapsed="false">
      <c r="A77" s="12" t="str">
        <f aca="false">TEXT(Setup!$C$5+3,"dddd")</f>
        <v>Thursday</v>
      </c>
      <c r="B77" s="12" t="s">
        <v>101</v>
      </c>
      <c r="C77" s="37" t="n">
        <f aca="false">SUM(Wk1:Wk52!D83:D83)</f>
        <v>0</v>
      </c>
      <c r="D77" s="37" t="n">
        <f aca="false">SUM(Wk1:Wk52!E83:E83)</f>
        <v>0</v>
      </c>
      <c r="E77" s="20" t="n">
        <f aca="false">SUM(Wk1:Wk52!H83:H83)</f>
        <v>0</v>
      </c>
      <c r="F77" s="20" t="n">
        <f aca="false">SUM(Wk1:Wk52!M83:M83)</f>
        <v>0</v>
      </c>
      <c r="G77" s="20" t="n">
        <f aca="false">SUM(Wk1:Wk52!K83:K83)</f>
        <v>0</v>
      </c>
      <c r="H77" s="37" t="n">
        <f aca="false">COUNTIF('Weekly Summary'!$F$2:$F$53,"&gt;0")</f>
        <v>0</v>
      </c>
      <c r="I77" s="46" t="str">
        <f aca="false">IFERROR(C77/H77,"")</f>
        <v/>
      </c>
      <c r="J77" s="46" t="str">
        <f aca="false">IFERROR(D77/H77,"")</f>
        <v/>
      </c>
      <c r="K77" s="20" t="str">
        <f aca="false">IFERROR(E77/H77,"")</f>
        <v/>
      </c>
      <c r="L77" s="36" t="str">
        <f aca="false">IFERROR(D77/C77,"")</f>
        <v/>
      </c>
    </row>
    <row r="78" customFormat="false" ht="15" hidden="false" customHeight="false" outlineLevel="0" collapsed="false">
      <c r="A78" s="12" t="str">
        <f aca="false">TEXT(Setup!$C$5+3,"dddd")</f>
        <v>Thursday</v>
      </c>
      <c r="B78" s="12" t="s">
        <v>102</v>
      </c>
      <c r="C78" s="37" t="n">
        <f aca="false">SUM(Wk1:Wk52!D84:D84)</f>
        <v>0</v>
      </c>
      <c r="D78" s="37" t="n">
        <f aca="false">SUM(Wk1:Wk52!E84:E84)</f>
        <v>0</v>
      </c>
      <c r="E78" s="20" t="n">
        <f aca="false">SUM(Wk1:Wk52!H84:H84)</f>
        <v>0</v>
      </c>
      <c r="F78" s="20" t="n">
        <f aca="false">SUM(Wk1:Wk52!M84:M84)</f>
        <v>0</v>
      </c>
      <c r="G78" s="20" t="n">
        <f aca="false">SUM(Wk1:Wk52!K84:K84)</f>
        <v>0</v>
      </c>
      <c r="H78" s="37" t="n">
        <f aca="false">COUNTIF('Weekly Summary'!$F$2:$F$53,"&gt;0")</f>
        <v>0</v>
      </c>
      <c r="I78" s="46" t="str">
        <f aca="false">IFERROR(C78/H78,"")</f>
        <v/>
      </c>
      <c r="J78" s="46" t="str">
        <f aca="false">IFERROR(D78/H78,"")</f>
        <v/>
      </c>
      <c r="K78" s="20" t="str">
        <f aca="false">IFERROR(E78/H78,"")</f>
        <v/>
      </c>
      <c r="L78" s="36" t="str">
        <f aca="false">IFERROR(D78/C78,"")</f>
        <v/>
      </c>
    </row>
    <row r="79" customFormat="false" ht="15" hidden="false" customHeight="false" outlineLevel="0" collapsed="false">
      <c r="A79" s="12" t="str">
        <f aca="false">TEXT(Setup!$C$5+3,"dddd")</f>
        <v>Thursday</v>
      </c>
      <c r="B79" s="12" t="s">
        <v>103</v>
      </c>
      <c r="C79" s="37" t="n">
        <f aca="false">SUM(Wk1:Wk52!D85:D85)</f>
        <v>0</v>
      </c>
      <c r="D79" s="37" t="n">
        <f aca="false">SUM(Wk1:Wk52!E85:E85)</f>
        <v>0</v>
      </c>
      <c r="E79" s="20" t="n">
        <f aca="false">SUM(Wk1:Wk52!H85:H85)</f>
        <v>0</v>
      </c>
      <c r="F79" s="20" t="n">
        <f aca="false">SUM(Wk1:Wk52!M85:M85)</f>
        <v>0</v>
      </c>
      <c r="G79" s="20" t="n">
        <f aca="false">SUM(Wk1:Wk52!K85:K85)</f>
        <v>0</v>
      </c>
      <c r="H79" s="37" t="n">
        <f aca="false">COUNTIF('Weekly Summary'!$F$2:$F$53,"&gt;0")</f>
        <v>0</v>
      </c>
      <c r="I79" s="46" t="str">
        <f aca="false">IFERROR(C79/H79,"")</f>
        <v/>
      </c>
      <c r="J79" s="46" t="str">
        <f aca="false">IFERROR(D79/H79,"")</f>
        <v/>
      </c>
      <c r="K79" s="20" t="str">
        <f aca="false">IFERROR(E79/H79,"")</f>
        <v/>
      </c>
      <c r="L79" s="36" t="str">
        <f aca="false">IFERROR(D79/C79,"")</f>
        <v/>
      </c>
    </row>
    <row r="80" customFormat="false" ht="15" hidden="false" customHeight="false" outlineLevel="0" collapsed="false">
      <c r="A80" s="12" t="str">
        <f aca="false">TEXT(Setup!$C$5+3,"dddd")</f>
        <v>Thursday</v>
      </c>
      <c r="B80" s="12" t="s">
        <v>104</v>
      </c>
      <c r="C80" s="37" t="n">
        <f aca="false">SUM(Wk1:Wk52!D86:D86)</f>
        <v>0</v>
      </c>
      <c r="D80" s="37" t="n">
        <f aca="false">SUM(Wk1:Wk52!E86:E86)</f>
        <v>0</v>
      </c>
      <c r="E80" s="20" t="n">
        <f aca="false">SUM(Wk1:Wk52!H86:H86)</f>
        <v>0</v>
      </c>
      <c r="F80" s="20" t="n">
        <f aca="false">SUM(Wk1:Wk52!M86:M86)</f>
        <v>0</v>
      </c>
      <c r="G80" s="20" t="n">
        <f aca="false">SUM(Wk1:Wk52!K86:K86)</f>
        <v>0</v>
      </c>
      <c r="H80" s="37" t="n">
        <f aca="false">COUNTIF('Weekly Summary'!$F$2:$F$53,"&gt;0")</f>
        <v>0</v>
      </c>
      <c r="I80" s="46" t="str">
        <f aca="false">IFERROR(C80/H80,"")</f>
        <v/>
      </c>
      <c r="J80" s="46" t="str">
        <f aca="false">IFERROR(D80/H80,"")</f>
        <v/>
      </c>
      <c r="K80" s="20" t="str">
        <f aca="false">IFERROR(E80/H80,"")</f>
        <v/>
      </c>
      <c r="L80" s="36" t="str">
        <f aca="false">IFERROR(D80/C80,"")</f>
        <v/>
      </c>
    </row>
    <row r="81" customFormat="false" ht="15" hidden="false" customHeight="false" outlineLevel="0" collapsed="false">
      <c r="A81" s="12" t="str">
        <f aca="false">TEXT(Setup!$C$5+3,"dddd")</f>
        <v>Thursday</v>
      </c>
      <c r="B81" s="12" t="s">
        <v>105</v>
      </c>
      <c r="C81" s="37" t="n">
        <f aca="false">SUM(Wk1:Wk52!D87:D87)</f>
        <v>0</v>
      </c>
      <c r="D81" s="37" t="n">
        <f aca="false">SUM(Wk1:Wk52!E87:E87)</f>
        <v>0</v>
      </c>
      <c r="E81" s="20" t="n">
        <f aca="false">SUM(Wk1:Wk52!H87:H87)</f>
        <v>0</v>
      </c>
      <c r="F81" s="20" t="n">
        <f aca="false">SUM(Wk1:Wk52!M87:M87)</f>
        <v>0</v>
      </c>
      <c r="G81" s="20" t="n">
        <f aca="false">SUM(Wk1:Wk52!K87:K87)</f>
        <v>0</v>
      </c>
      <c r="H81" s="37" t="n">
        <f aca="false">COUNTIF('Weekly Summary'!$F$2:$F$53,"&gt;0")</f>
        <v>0</v>
      </c>
      <c r="I81" s="46" t="str">
        <f aca="false">IFERROR(C81/H81,"")</f>
        <v/>
      </c>
      <c r="J81" s="46" t="str">
        <f aca="false">IFERROR(D81/H81,"")</f>
        <v/>
      </c>
      <c r="K81" s="20" t="str">
        <f aca="false">IFERROR(E81/H81,"")</f>
        <v/>
      </c>
      <c r="L81" s="36" t="str">
        <f aca="false">IFERROR(D81/C81,"")</f>
        <v/>
      </c>
    </row>
    <row r="82" customFormat="false" ht="15" hidden="false" customHeight="false" outlineLevel="0" collapsed="false">
      <c r="A82" s="41" t="str">
        <f aca="false">TEXT(Setup!$C$5+4,"dddd")</f>
        <v>Friday</v>
      </c>
      <c r="B82" s="41" t="s">
        <v>86</v>
      </c>
      <c r="C82" s="42" t="n">
        <f aca="false">SUM(Wk1:Wk52!D90:D90)</f>
        <v>0</v>
      </c>
      <c r="D82" s="42" t="n">
        <f aca="false">SUM(Wk1:Wk52!E90:E90)</f>
        <v>0</v>
      </c>
      <c r="E82" s="43" t="n">
        <f aca="false">SUM(Wk1:Wk52!H90:H90)</f>
        <v>0</v>
      </c>
      <c r="F82" s="43" t="n">
        <f aca="false">SUM(Wk1:Wk52!M90:M90)</f>
        <v>0</v>
      </c>
      <c r="G82" s="43" t="n">
        <f aca="false">SUM(Wk1:Wk52!K90:K90)</f>
        <v>0</v>
      </c>
      <c r="H82" s="42" t="n">
        <f aca="false">COUNTIF('Weekly Summary'!$F$2:$F$53,"&gt;0")</f>
        <v>0</v>
      </c>
      <c r="I82" s="44" t="str">
        <f aca="false">IFERROR(C82/H82,"")</f>
        <v/>
      </c>
      <c r="J82" s="44" t="str">
        <f aca="false">IFERROR(D82/H82,"")</f>
        <v/>
      </c>
      <c r="K82" s="43" t="str">
        <f aca="false">IFERROR(E82/H82,"")</f>
        <v/>
      </c>
      <c r="L82" s="45" t="str">
        <f aca="false">IFERROR(D82/C82,"")</f>
        <v/>
      </c>
    </row>
    <row r="83" customFormat="false" ht="15" hidden="false" customHeight="false" outlineLevel="0" collapsed="false">
      <c r="A83" s="12" t="str">
        <f aca="false">TEXT(Setup!$C$5+4,"dddd")</f>
        <v>Friday</v>
      </c>
      <c r="B83" s="12" t="s">
        <v>87</v>
      </c>
      <c r="C83" s="37" t="n">
        <f aca="false">SUM(Wk1:Wk52!D91:D91)</f>
        <v>0</v>
      </c>
      <c r="D83" s="37" t="n">
        <f aca="false">SUM(Wk1:Wk52!E91:E91)</f>
        <v>0</v>
      </c>
      <c r="E83" s="20" t="n">
        <f aca="false">SUM(Wk1:Wk52!H91:H91)</f>
        <v>0</v>
      </c>
      <c r="F83" s="20" t="n">
        <f aca="false">SUM(Wk1:Wk52!M91:M91)</f>
        <v>0</v>
      </c>
      <c r="G83" s="20" t="n">
        <f aca="false">SUM(Wk1:Wk52!K91:K91)</f>
        <v>0</v>
      </c>
      <c r="H83" s="37" t="n">
        <f aca="false">COUNTIF('Weekly Summary'!$F$2:$F$53,"&gt;0")</f>
        <v>0</v>
      </c>
      <c r="I83" s="46" t="str">
        <f aca="false">IFERROR(C83/H83,"")</f>
        <v/>
      </c>
      <c r="J83" s="46" t="str">
        <f aca="false">IFERROR(D83/H83,"")</f>
        <v/>
      </c>
      <c r="K83" s="20" t="str">
        <f aca="false">IFERROR(E83/H83,"")</f>
        <v/>
      </c>
      <c r="L83" s="36" t="str">
        <f aca="false">IFERROR(D83/C83,"")</f>
        <v/>
      </c>
    </row>
    <row r="84" customFormat="false" ht="15" hidden="false" customHeight="false" outlineLevel="0" collapsed="false">
      <c r="A84" s="12" t="str">
        <f aca="false">TEXT(Setup!$C$5+4,"dddd")</f>
        <v>Friday</v>
      </c>
      <c r="B84" s="12" t="s">
        <v>88</v>
      </c>
      <c r="C84" s="37" t="n">
        <f aca="false">SUM(Wk1:Wk52!D92:D92)</f>
        <v>0</v>
      </c>
      <c r="D84" s="37" t="n">
        <f aca="false">SUM(Wk1:Wk52!E92:E92)</f>
        <v>0</v>
      </c>
      <c r="E84" s="20" t="n">
        <f aca="false">SUM(Wk1:Wk52!H92:H92)</f>
        <v>0</v>
      </c>
      <c r="F84" s="20" t="n">
        <f aca="false">SUM(Wk1:Wk52!M92:M92)</f>
        <v>0</v>
      </c>
      <c r="G84" s="20" t="n">
        <f aca="false">SUM(Wk1:Wk52!K92:K92)</f>
        <v>0</v>
      </c>
      <c r="H84" s="37" t="n">
        <f aca="false">COUNTIF('Weekly Summary'!$F$2:$F$53,"&gt;0")</f>
        <v>0</v>
      </c>
      <c r="I84" s="46" t="str">
        <f aca="false">IFERROR(C84/H84,"")</f>
        <v/>
      </c>
      <c r="J84" s="46" t="str">
        <f aca="false">IFERROR(D84/H84,"")</f>
        <v/>
      </c>
      <c r="K84" s="20" t="str">
        <f aca="false">IFERROR(E84/H84,"")</f>
        <v/>
      </c>
      <c r="L84" s="36" t="str">
        <f aca="false">IFERROR(D84/C84,"")</f>
        <v/>
      </c>
    </row>
    <row r="85" customFormat="false" ht="15" hidden="false" customHeight="false" outlineLevel="0" collapsed="false">
      <c r="A85" s="12" t="str">
        <f aca="false">TEXT(Setup!$C$5+4,"dddd")</f>
        <v>Friday</v>
      </c>
      <c r="B85" s="12" t="s">
        <v>89</v>
      </c>
      <c r="C85" s="37" t="n">
        <f aca="false">SUM(Wk1:Wk52!D93:D93)</f>
        <v>0</v>
      </c>
      <c r="D85" s="37" t="n">
        <f aca="false">SUM(Wk1:Wk52!E93:E93)</f>
        <v>0</v>
      </c>
      <c r="E85" s="20" t="n">
        <f aca="false">SUM(Wk1:Wk52!H93:H93)</f>
        <v>0</v>
      </c>
      <c r="F85" s="20" t="n">
        <f aca="false">SUM(Wk1:Wk52!M93:M93)</f>
        <v>0</v>
      </c>
      <c r="G85" s="20" t="n">
        <f aca="false">SUM(Wk1:Wk52!K93:K93)</f>
        <v>0</v>
      </c>
      <c r="H85" s="37" t="n">
        <f aca="false">COUNTIF('Weekly Summary'!$F$2:$F$53,"&gt;0")</f>
        <v>0</v>
      </c>
      <c r="I85" s="46" t="str">
        <f aca="false">IFERROR(C85/H85,"")</f>
        <v/>
      </c>
      <c r="J85" s="46" t="str">
        <f aca="false">IFERROR(D85/H85,"")</f>
        <v/>
      </c>
      <c r="K85" s="20" t="str">
        <f aca="false">IFERROR(E85/H85,"")</f>
        <v/>
      </c>
      <c r="L85" s="36" t="str">
        <f aca="false">IFERROR(D85/C85,"")</f>
        <v/>
      </c>
    </row>
    <row r="86" customFormat="false" ht="15" hidden="false" customHeight="false" outlineLevel="0" collapsed="false">
      <c r="A86" s="12" t="str">
        <f aca="false">TEXT(Setup!$C$5+4,"dddd")</f>
        <v>Friday</v>
      </c>
      <c r="B86" s="12" t="s">
        <v>90</v>
      </c>
      <c r="C86" s="37" t="n">
        <f aca="false">SUM(Wk1:Wk52!D94:D94)</f>
        <v>0</v>
      </c>
      <c r="D86" s="37" t="n">
        <f aca="false">SUM(Wk1:Wk52!E94:E94)</f>
        <v>0</v>
      </c>
      <c r="E86" s="20" t="n">
        <f aca="false">SUM(Wk1:Wk52!H94:H94)</f>
        <v>0</v>
      </c>
      <c r="F86" s="20" t="n">
        <f aca="false">SUM(Wk1:Wk52!M94:M94)</f>
        <v>0</v>
      </c>
      <c r="G86" s="20" t="n">
        <f aca="false">SUM(Wk1:Wk52!K94:K94)</f>
        <v>0</v>
      </c>
      <c r="H86" s="37" t="n">
        <f aca="false">COUNTIF('Weekly Summary'!$F$2:$F$53,"&gt;0")</f>
        <v>0</v>
      </c>
      <c r="I86" s="46" t="str">
        <f aca="false">IFERROR(C86/H86,"")</f>
        <v/>
      </c>
      <c r="J86" s="46" t="str">
        <f aca="false">IFERROR(D86/H86,"")</f>
        <v/>
      </c>
      <c r="K86" s="20" t="str">
        <f aca="false">IFERROR(E86/H86,"")</f>
        <v/>
      </c>
      <c r="L86" s="36" t="str">
        <f aca="false">IFERROR(D86/C86,"")</f>
        <v/>
      </c>
    </row>
    <row r="87" customFormat="false" ht="15" hidden="false" customHeight="false" outlineLevel="0" collapsed="false">
      <c r="A87" s="12" t="str">
        <f aca="false">TEXT(Setup!$C$5+4,"dddd")</f>
        <v>Friday</v>
      </c>
      <c r="B87" s="12" t="s">
        <v>91</v>
      </c>
      <c r="C87" s="37" t="n">
        <f aca="false">SUM(Wk1:Wk52!D95:D95)</f>
        <v>0</v>
      </c>
      <c r="D87" s="37" t="n">
        <f aca="false">SUM(Wk1:Wk52!E95:E95)</f>
        <v>0</v>
      </c>
      <c r="E87" s="20" t="n">
        <f aca="false">SUM(Wk1:Wk52!H95:H95)</f>
        <v>0</v>
      </c>
      <c r="F87" s="20" t="n">
        <f aca="false">SUM(Wk1:Wk52!M95:M95)</f>
        <v>0</v>
      </c>
      <c r="G87" s="20" t="n">
        <f aca="false">SUM(Wk1:Wk52!K95:K95)</f>
        <v>0</v>
      </c>
      <c r="H87" s="37" t="n">
        <f aca="false">COUNTIF('Weekly Summary'!$F$2:$F$53,"&gt;0")</f>
        <v>0</v>
      </c>
      <c r="I87" s="46" t="str">
        <f aca="false">IFERROR(C87/H87,"")</f>
        <v/>
      </c>
      <c r="J87" s="46" t="str">
        <f aca="false">IFERROR(D87/H87,"")</f>
        <v/>
      </c>
      <c r="K87" s="20" t="str">
        <f aca="false">IFERROR(E87/H87,"")</f>
        <v/>
      </c>
      <c r="L87" s="36" t="str">
        <f aca="false">IFERROR(D87/C87,"")</f>
        <v/>
      </c>
    </row>
    <row r="88" customFormat="false" ht="15" hidden="false" customHeight="false" outlineLevel="0" collapsed="false">
      <c r="A88" s="12" t="str">
        <f aca="false">TEXT(Setup!$C$5+4,"dddd")</f>
        <v>Friday</v>
      </c>
      <c r="B88" s="12" t="s">
        <v>92</v>
      </c>
      <c r="C88" s="37" t="n">
        <f aca="false">SUM(Wk1:Wk52!D96:D96)</f>
        <v>0</v>
      </c>
      <c r="D88" s="37" t="n">
        <f aca="false">SUM(Wk1:Wk52!E96:E96)</f>
        <v>0</v>
      </c>
      <c r="E88" s="20" t="n">
        <f aca="false">SUM(Wk1:Wk52!H96:H96)</f>
        <v>0</v>
      </c>
      <c r="F88" s="20" t="n">
        <f aca="false">SUM(Wk1:Wk52!M96:M96)</f>
        <v>0</v>
      </c>
      <c r="G88" s="20" t="n">
        <f aca="false">SUM(Wk1:Wk52!K96:K96)</f>
        <v>0</v>
      </c>
      <c r="H88" s="37" t="n">
        <f aca="false">COUNTIF('Weekly Summary'!$F$2:$F$53,"&gt;0")</f>
        <v>0</v>
      </c>
      <c r="I88" s="46" t="str">
        <f aca="false">IFERROR(C88/H88,"")</f>
        <v/>
      </c>
      <c r="J88" s="46" t="str">
        <f aca="false">IFERROR(D88/H88,"")</f>
        <v/>
      </c>
      <c r="K88" s="20" t="str">
        <f aca="false">IFERROR(E88/H88,"")</f>
        <v/>
      </c>
      <c r="L88" s="36" t="str">
        <f aca="false">IFERROR(D88/C88,"")</f>
        <v/>
      </c>
    </row>
    <row r="89" customFormat="false" ht="15" hidden="false" customHeight="false" outlineLevel="0" collapsed="false">
      <c r="A89" s="12" t="str">
        <f aca="false">TEXT(Setup!$C$5+4,"dddd")</f>
        <v>Friday</v>
      </c>
      <c r="B89" s="12" t="s">
        <v>93</v>
      </c>
      <c r="C89" s="37" t="n">
        <f aca="false">SUM(Wk1:Wk52!D97:D97)</f>
        <v>0</v>
      </c>
      <c r="D89" s="37" t="n">
        <f aca="false">SUM(Wk1:Wk52!E97:E97)</f>
        <v>0</v>
      </c>
      <c r="E89" s="20" t="n">
        <f aca="false">SUM(Wk1:Wk52!H97:H97)</f>
        <v>0</v>
      </c>
      <c r="F89" s="20" t="n">
        <f aca="false">SUM(Wk1:Wk52!M97:M97)</f>
        <v>0</v>
      </c>
      <c r="G89" s="20" t="n">
        <f aca="false">SUM(Wk1:Wk52!K97:K97)</f>
        <v>0</v>
      </c>
      <c r="H89" s="37" t="n">
        <f aca="false">COUNTIF('Weekly Summary'!$F$2:$F$53,"&gt;0")</f>
        <v>0</v>
      </c>
      <c r="I89" s="46" t="str">
        <f aca="false">IFERROR(C89/H89,"")</f>
        <v/>
      </c>
      <c r="J89" s="46" t="str">
        <f aca="false">IFERROR(D89/H89,"")</f>
        <v/>
      </c>
      <c r="K89" s="20" t="str">
        <f aca="false">IFERROR(E89/H89,"")</f>
        <v/>
      </c>
      <c r="L89" s="36" t="str">
        <f aca="false">IFERROR(D89/C89,"")</f>
        <v/>
      </c>
    </row>
    <row r="90" customFormat="false" ht="15" hidden="false" customHeight="false" outlineLevel="0" collapsed="false">
      <c r="A90" s="12" t="str">
        <f aca="false">TEXT(Setup!$C$5+4,"dddd")</f>
        <v>Friday</v>
      </c>
      <c r="B90" s="12" t="s">
        <v>94</v>
      </c>
      <c r="C90" s="37" t="n">
        <f aca="false">SUM(Wk1:Wk52!D98:D98)</f>
        <v>0</v>
      </c>
      <c r="D90" s="37" t="n">
        <f aca="false">SUM(Wk1:Wk52!E98:E98)</f>
        <v>0</v>
      </c>
      <c r="E90" s="20" t="n">
        <f aca="false">SUM(Wk1:Wk52!H98:H98)</f>
        <v>0</v>
      </c>
      <c r="F90" s="20" t="n">
        <f aca="false">SUM(Wk1:Wk52!M98:M98)</f>
        <v>0</v>
      </c>
      <c r="G90" s="20" t="n">
        <f aca="false">SUM(Wk1:Wk52!K98:K98)</f>
        <v>0</v>
      </c>
      <c r="H90" s="37" t="n">
        <f aca="false">COUNTIF('Weekly Summary'!$F$2:$F$53,"&gt;0")</f>
        <v>0</v>
      </c>
      <c r="I90" s="46" t="str">
        <f aca="false">IFERROR(C90/H90,"")</f>
        <v/>
      </c>
      <c r="J90" s="46" t="str">
        <f aca="false">IFERROR(D90/H90,"")</f>
        <v/>
      </c>
      <c r="K90" s="20" t="str">
        <f aca="false">IFERROR(E90/H90,"")</f>
        <v/>
      </c>
      <c r="L90" s="36" t="str">
        <f aca="false">IFERROR(D90/C90,"")</f>
        <v/>
      </c>
    </row>
    <row r="91" customFormat="false" ht="15" hidden="false" customHeight="false" outlineLevel="0" collapsed="false">
      <c r="A91" s="12" t="str">
        <f aca="false">TEXT(Setup!$C$5+4,"dddd")</f>
        <v>Friday</v>
      </c>
      <c r="B91" s="12" t="s">
        <v>95</v>
      </c>
      <c r="C91" s="37" t="n">
        <f aca="false">SUM(Wk1:Wk52!D99:D99)</f>
        <v>0</v>
      </c>
      <c r="D91" s="37" t="n">
        <f aca="false">SUM(Wk1:Wk52!E99:E99)</f>
        <v>0</v>
      </c>
      <c r="E91" s="20" t="n">
        <f aca="false">SUM(Wk1:Wk52!H99:H99)</f>
        <v>0</v>
      </c>
      <c r="F91" s="20" t="n">
        <f aca="false">SUM(Wk1:Wk52!M99:M99)</f>
        <v>0</v>
      </c>
      <c r="G91" s="20" t="n">
        <f aca="false">SUM(Wk1:Wk52!K99:K99)</f>
        <v>0</v>
      </c>
      <c r="H91" s="37" t="n">
        <f aca="false">COUNTIF('Weekly Summary'!$F$2:$F$53,"&gt;0")</f>
        <v>0</v>
      </c>
      <c r="I91" s="46" t="str">
        <f aca="false">IFERROR(C91/H91,"")</f>
        <v/>
      </c>
      <c r="J91" s="46" t="str">
        <f aca="false">IFERROR(D91/H91,"")</f>
        <v/>
      </c>
      <c r="K91" s="20" t="str">
        <f aca="false">IFERROR(E91/H91,"")</f>
        <v/>
      </c>
      <c r="L91" s="36" t="str">
        <f aca="false">IFERROR(D91/C91,"")</f>
        <v/>
      </c>
    </row>
    <row r="92" customFormat="false" ht="15" hidden="false" customHeight="false" outlineLevel="0" collapsed="false">
      <c r="A92" s="12" t="str">
        <f aca="false">TEXT(Setup!$C$5+4,"dddd")</f>
        <v>Friday</v>
      </c>
      <c r="B92" s="12" t="s">
        <v>96</v>
      </c>
      <c r="C92" s="37" t="n">
        <f aca="false">SUM(Wk1:Wk52!D100:D100)</f>
        <v>0</v>
      </c>
      <c r="D92" s="37" t="n">
        <f aca="false">SUM(Wk1:Wk52!E100:E100)</f>
        <v>0</v>
      </c>
      <c r="E92" s="20" t="n">
        <f aca="false">SUM(Wk1:Wk52!H100:H100)</f>
        <v>0</v>
      </c>
      <c r="F92" s="20" t="n">
        <f aca="false">SUM(Wk1:Wk52!M100:M100)</f>
        <v>0</v>
      </c>
      <c r="G92" s="20" t="n">
        <f aca="false">SUM(Wk1:Wk52!K100:K100)</f>
        <v>0</v>
      </c>
      <c r="H92" s="37" t="n">
        <f aca="false">COUNTIF('Weekly Summary'!$F$2:$F$53,"&gt;0")</f>
        <v>0</v>
      </c>
      <c r="I92" s="46" t="str">
        <f aca="false">IFERROR(C92/H92,"")</f>
        <v/>
      </c>
      <c r="J92" s="46" t="str">
        <f aca="false">IFERROR(D92/H92,"")</f>
        <v/>
      </c>
      <c r="K92" s="20" t="str">
        <f aca="false">IFERROR(E92/H92,"")</f>
        <v/>
      </c>
      <c r="L92" s="36" t="str">
        <f aca="false">IFERROR(D92/C92,"")</f>
        <v/>
      </c>
    </row>
    <row r="93" customFormat="false" ht="15" hidden="false" customHeight="false" outlineLevel="0" collapsed="false">
      <c r="A93" s="12" t="str">
        <f aca="false">TEXT(Setup!$C$5+4,"dddd")</f>
        <v>Friday</v>
      </c>
      <c r="B93" s="12" t="s">
        <v>97</v>
      </c>
      <c r="C93" s="37" t="n">
        <f aca="false">SUM(Wk1:Wk52!D101:D101)</f>
        <v>0</v>
      </c>
      <c r="D93" s="37" t="n">
        <f aca="false">SUM(Wk1:Wk52!E101:E101)</f>
        <v>0</v>
      </c>
      <c r="E93" s="20" t="n">
        <f aca="false">SUM(Wk1:Wk52!H101:H101)</f>
        <v>0</v>
      </c>
      <c r="F93" s="20" t="n">
        <f aca="false">SUM(Wk1:Wk52!M101:M101)</f>
        <v>0</v>
      </c>
      <c r="G93" s="20" t="n">
        <f aca="false">SUM(Wk1:Wk52!K101:K101)</f>
        <v>0</v>
      </c>
      <c r="H93" s="37" t="n">
        <f aca="false">COUNTIF('Weekly Summary'!$F$2:$F$53,"&gt;0")</f>
        <v>0</v>
      </c>
      <c r="I93" s="46" t="str">
        <f aca="false">IFERROR(C93/H93,"")</f>
        <v/>
      </c>
      <c r="J93" s="46" t="str">
        <f aca="false">IFERROR(D93/H93,"")</f>
        <v/>
      </c>
      <c r="K93" s="20" t="str">
        <f aca="false">IFERROR(E93/H93,"")</f>
        <v/>
      </c>
      <c r="L93" s="36" t="str">
        <f aca="false">IFERROR(D93/C93,"")</f>
        <v/>
      </c>
    </row>
    <row r="94" customFormat="false" ht="15" hidden="false" customHeight="false" outlineLevel="0" collapsed="false">
      <c r="A94" s="12" t="str">
        <f aca="false">TEXT(Setup!$C$5+4,"dddd")</f>
        <v>Friday</v>
      </c>
      <c r="B94" s="12" t="s">
        <v>98</v>
      </c>
      <c r="C94" s="37" t="n">
        <f aca="false">SUM(Wk1:Wk52!D102:D102)</f>
        <v>0</v>
      </c>
      <c r="D94" s="37" t="n">
        <f aca="false">SUM(Wk1:Wk52!E102:E102)</f>
        <v>0</v>
      </c>
      <c r="E94" s="20" t="n">
        <f aca="false">SUM(Wk1:Wk52!H102:H102)</f>
        <v>0</v>
      </c>
      <c r="F94" s="20" t="n">
        <f aca="false">SUM(Wk1:Wk52!M102:M102)</f>
        <v>0</v>
      </c>
      <c r="G94" s="20" t="n">
        <f aca="false">SUM(Wk1:Wk52!K102:K102)</f>
        <v>0</v>
      </c>
      <c r="H94" s="37" t="n">
        <f aca="false">COUNTIF('Weekly Summary'!$F$2:$F$53,"&gt;0")</f>
        <v>0</v>
      </c>
      <c r="I94" s="46" t="str">
        <f aca="false">IFERROR(C94/H94,"")</f>
        <v/>
      </c>
      <c r="J94" s="46" t="str">
        <f aca="false">IFERROR(D94/H94,"")</f>
        <v/>
      </c>
      <c r="K94" s="20" t="str">
        <f aca="false">IFERROR(E94/H94,"")</f>
        <v/>
      </c>
      <c r="L94" s="36" t="str">
        <f aca="false">IFERROR(D94/C94,"")</f>
        <v/>
      </c>
    </row>
    <row r="95" customFormat="false" ht="15" hidden="false" customHeight="false" outlineLevel="0" collapsed="false">
      <c r="A95" s="12" t="str">
        <f aca="false">TEXT(Setup!$C$5+4,"dddd")</f>
        <v>Friday</v>
      </c>
      <c r="B95" s="12" t="s">
        <v>99</v>
      </c>
      <c r="C95" s="37" t="n">
        <f aca="false">SUM(Wk1:Wk52!D103:D103)</f>
        <v>0</v>
      </c>
      <c r="D95" s="37" t="n">
        <f aca="false">SUM(Wk1:Wk52!E103:E103)</f>
        <v>0</v>
      </c>
      <c r="E95" s="20" t="n">
        <f aca="false">SUM(Wk1:Wk52!H103:H103)</f>
        <v>0</v>
      </c>
      <c r="F95" s="20" t="n">
        <f aca="false">SUM(Wk1:Wk52!M103:M103)</f>
        <v>0</v>
      </c>
      <c r="G95" s="20" t="n">
        <f aca="false">SUM(Wk1:Wk52!K103:K103)</f>
        <v>0</v>
      </c>
      <c r="H95" s="37" t="n">
        <f aca="false">COUNTIF('Weekly Summary'!$F$2:$F$53,"&gt;0")</f>
        <v>0</v>
      </c>
      <c r="I95" s="46" t="str">
        <f aca="false">IFERROR(C95/H95,"")</f>
        <v/>
      </c>
      <c r="J95" s="46" t="str">
        <f aca="false">IFERROR(D95/H95,"")</f>
        <v/>
      </c>
      <c r="K95" s="20" t="str">
        <f aca="false">IFERROR(E95/H95,"")</f>
        <v/>
      </c>
      <c r="L95" s="36" t="str">
        <f aca="false">IFERROR(D95/C95,"")</f>
        <v/>
      </c>
    </row>
    <row r="96" customFormat="false" ht="15" hidden="false" customHeight="false" outlineLevel="0" collapsed="false">
      <c r="A96" s="12" t="str">
        <f aca="false">TEXT(Setup!$C$5+4,"dddd")</f>
        <v>Friday</v>
      </c>
      <c r="B96" s="12" t="s">
        <v>100</v>
      </c>
      <c r="C96" s="37" t="n">
        <f aca="false">SUM(Wk1:Wk52!D104:D104)</f>
        <v>0</v>
      </c>
      <c r="D96" s="37" t="n">
        <f aca="false">SUM(Wk1:Wk52!E104:E104)</f>
        <v>0</v>
      </c>
      <c r="E96" s="20" t="n">
        <f aca="false">SUM(Wk1:Wk52!H104:H104)</f>
        <v>0</v>
      </c>
      <c r="F96" s="20" t="n">
        <f aca="false">SUM(Wk1:Wk52!M104:M104)</f>
        <v>0</v>
      </c>
      <c r="G96" s="20" t="n">
        <f aca="false">SUM(Wk1:Wk52!K104:K104)</f>
        <v>0</v>
      </c>
      <c r="H96" s="37" t="n">
        <f aca="false">COUNTIF('Weekly Summary'!$F$2:$F$53,"&gt;0")</f>
        <v>0</v>
      </c>
      <c r="I96" s="46" t="str">
        <f aca="false">IFERROR(C96/H96,"")</f>
        <v/>
      </c>
      <c r="J96" s="46" t="str">
        <f aca="false">IFERROR(D96/H96,"")</f>
        <v/>
      </c>
      <c r="K96" s="20" t="str">
        <f aca="false">IFERROR(E96/H96,"")</f>
        <v/>
      </c>
      <c r="L96" s="36" t="str">
        <f aca="false">IFERROR(D96/C96,"")</f>
        <v/>
      </c>
    </row>
    <row r="97" customFormat="false" ht="15" hidden="false" customHeight="false" outlineLevel="0" collapsed="false">
      <c r="A97" s="12" t="str">
        <f aca="false">TEXT(Setup!$C$5+4,"dddd")</f>
        <v>Friday</v>
      </c>
      <c r="B97" s="12" t="s">
        <v>101</v>
      </c>
      <c r="C97" s="37" t="n">
        <f aca="false">SUM(Wk1:Wk52!D105:D105)</f>
        <v>0</v>
      </c>
      <c r="D97" s="37" t="n">
        <f aca="false">SUM(Wk1:Wk52!E105:E105)</f>
        <v>0</v>
      </c>
      <c r="E97" s="20" t="n">
        <f aca="false">SUM(Wk1:Wk52!H105:H105)</f>
        <v>0</v>
      </c>
      <c r="F97" s="20" t="n">
        <f aca="false">SUM(Wk1:Wk52!M105:M105)</f>
        <v>0</v>
      </c>
      <c r="G97" s="20" t="n">
        <f aca="false">SUM(Wk1:Wk52!K105:K105)</f>
        <v>0</v>
      </c>
      <c r="H97" s="37" t="n">
        <f aca="false">COUNTIF('Weekly Summary'!$F$2:$F$53,"&gt;0")</f>
        <v>0</v>
      </c>
      <c r="I97" s="46" t="str">
        <f aca="false">IFERROR(C97/H97,"")</f>
        <v/>
      </c>
      <c r="J97" s="46" t="str">
        <f aca="false">IFERROR(D97/H97,"")</f>
        <v/>
      </c>
      <c r="K97" s="20" t="str">
        <f aca="false">IFERROR(E97/H97,"")</f>
        <v/>
      </c>
      <c r="L97" s="36" t="str">
        <f aca="false">IFERROR(D97/C97,"")</f>
        <v/>
      </c>
    </row>
    <row r="98" customFormat="false" ht="15" hidden="false" customHeight="false" outlineLevel="0" collapsed="false">
      <c r="A98" s="12" t="str">
        <f aca="false">TEXT(Setup!$C$5+4,"dddd")</f>
        <v>Friday</v>
      </c>
      <c r="B98" s="12" t="s">
        <v>102</v>
      </c>
      <c r="C98" s="37" t="n">
        <f aca="false">SUM(Wk1:Wk52!D106:D106)</f>
        <v>0</v>
      </c>
      <c r="D98" s="37" t="n">
        <f aca="false">SUM(Wk1:Wk52!E106:E106)</f>
        <v>0</v>
      </c>
      <c r="E98" s="20" t="n">
        <f aca="false">SUM(Wk1:Wk52!H106:H106)</f>
        <v>0</v>
      </c>
      <c r="F98" s="20" t="n">
        <f aca="false">SUM(Wk1:Wk52!M106:M106)</f>
        <v>0</v>
      </c>
      <c r="G98" s="20" t="n">
        <f aca="false">SUM(Wk1:Wk52!K106:K106)</f>
        <v>0</v>
      </c>
      <c r="H98" s="37" t="n">
        <f aca="false">COUNTIF('Weekly Summary'!$F$2:$F$53,"&gt;0")</f>
        <v>0</v>
      </c>
      <c r="I98" s="46" t="str">
        <f aca="false">IFERROR(C98/H98,"")</f>
        <v/>
      </c>
      <c r="J98" s="46" t="str">
        <f aca="false">IFERROR(D98/H98,"")</f>
        <v/>
      </c>
      <c r="K98" s="20" t="str">
        <f aca="false">IFERROR(E98/H98,"")</f>
        <v/>
      </c>
      <c r="L98" s="36" t="str">
        <f aca="false">IFERROR(D98/C98,"")</f>
        <v/>
      </c>
    </row>
    <row r="99" customFormat="false" ht="15" hidden="false" customHeight="false" outlineLevel="0" collapsed="false">
      <c r="A99" s="12" t="str">
        <f aca="false">TEXT(Setup!$C$5+4,"dddd")</f>
        <v>Friday</v>
      </c>
      <c r="B99" s="12" t="s">
        <v>103</v>
      </c>
      <c r="C99" s="37" t="n">
        <f aca="false">SUM(Wk1:Wk52!D107:D107)</f>
        <v>0</v>
      </c>
      <c r="D99" s="37" t="n">
        <f aca="false">SUM(Wk1:Wk52!E107:E107)</f>
        <v>0</v>
      </c>
      <c r="E99" s="20" t="n">
        <f aca="false">SUM(Wk1:Wk52!H107:H107)</f>
        <v>0</v>
      </c>
      <c r="F99" s="20" t="n">
        <f aca="false">SUM(Wk1:Wk52!M107:M107)</f>
        <v>0</v>
      </c>
      <c r="G99" s="20" t="n">
        <f aca="false">SUM(Wk1:Wk52!K107:K107)</f>
        <v>0</v>
      </c>
      <c r="H99" s="37" t="n">
        <f aca="false">COUNTIF('Weekly Summary'!$F$2:$F$53,"&gt;0")</f>
        <v>0</v>
      </c>
      <c r="I99" s="46" t="str">
        <f aca="false">IFERROR(C99/H99,"")</f>
        <v/>
      </c>
      <c r="J99" s="46" t="str">
        <f aca="false">IFERROR(D99/H99,"")</f>
        <v/>
      </c>
      <c r="K99" s="20" t="str">
        <f aca="false">IFERROR(E99/H99,"")</f>
        <v/>
      </c>
      <c r="L99" s="36" t="str">
        <f aca="false">IFERROR(D99/C99,"")</f>
        <v/>
      </c>
    </row>
    <row r="100" customFormat="false" ht="15" hidden="false" customHeight="false" outlineLevel="0" collapsed="false">
      <c r="A100" s="12" t="str">
        <f aca="false">TEXT(Setup!$C$5+4,"dddd")</f>
        <v>Friday</v>
      </c>
      <c r="B100" s="12" t="s">
        <v>104</v>
      </c>
      <c r="C100" s="37" t="n">
        <f aca="false">SUM(Wk1:Wk52!D108:D108)</f>
        <v>0</v>
      </c>
      <c r="D100" s="37" t="n">
        <f aca="false">SUM(Wk1:Wk52!E108:E108)</f>
        <v>0</v>
      </c>
      <c r="E100" s="20" t="n">
        <f aca="false">SUM(Wk1:Wk52!H108:H108)</f>
        <v>0</v>
      </c>
      <c r="F100" s="20" t="n">
        <f aca="false">SUM(Wk1:Wk52!M108:M108)</f>
        <v>0</v>
      </c>
      <c r="G100" s="20" t="n">
        <f aca="false">SUM(Wk1:Wk52!K108:K108)</f>
        <v>0</v>
      </c>
      <c r="H100" s="37" t="n">
        <f aca="false">COUNTIF('Weekly Summary'!$F$2:$F$53,"&gt;0")</f>
        <v>0</v>
      </c>
      <c r="I100" s="46" t="str">
        <f aca="false">IFERROR(C100/H100,"")</f>
        <v/>
      </c>
      <c r="J100" s="46" t="str">
        <f aca="false">IFERROR(D100/H100,"")</f>
        <v/>
      </c>
      <c r="K100" s="20" t="str">
        <f aca="false">IFERROR(E100/H100,"")</f>
        <v/>
      </c>
      <c r="L100" s="36" t="str">
        <f aca="false">IFERROR(D100/C100,"")</f>
        <v/>
      </c>
    </row>
    <row r="101" customFormat="false" ht="15" hidden="false" customHeight="false" outlineLevel="0" collapsed="false">
      <c r="A101" s="12" t="str">
        <f aca="false">TEXT(Setup!$C$5+4,"dddd")</f>
        <v>Friday</v>
      </c>
      <c r="B101" s="12" t="s">
        <v>105</v>
      </c>
      <c r="C101" s="37" t="n">
        <f aca="false">SUM(Wk1:Wk52!D109:D109)</f>
        <v>0</v>
      </c>
      <c r="D101" s="37" t="n">
        <f aca="false">SUM(Wk1:Wk52!E109:E109)</f>
        <v>0</v>
      </c>
      <c r="E101" s="20" t="n">
        <f aca="false">SUM(Wk1:Wk52!H109:H109)</f>
        <v>0</v>
      </c>
      <c r="F101" s="20" t="n">
        <f aca="false">SUM(Wk1:Wk52!M109:M109)</f>
        <v>0</v>
      </c>
      <c r="G101" s="20" t="n">
        <f aca="false">SUM(Wk1:Wk52!K109:K109)</f>
        <v>0</v>
      </c>
      <c r="H101" s="37" t="n">
        <f aca="false">COUNTIF('Weekly Summary'!$F$2:$F$53,"&gt;0")</f>
        <v>0</v>
      </c>
      <c r="I101" s="46" t="str">
        <f aca="false">IFERROR(C101/H101,"")</f>
        <v/>
      </c>
      <c r="J101" s="46" t="str">
        <f aca="false">IFERROR(D101/H101,"")</f>
        <v/>
      </c>
      <c r="K101" s="20" t="str">
        <f aca="false">IFERROR(E101/H101,"")</f>
        <v/>
      </c>
      <c r="L101" s="36" t="str">
        <f aca="false">IFERROR(D101/C101,"")</f>
        <v/>
      </c>
    </row>
    <row r="102" customFormat="false" ht="15" hidden="false" customHeight="false" outlineLevel="0" collapsed="false">
      <c r="A102" s="41" t="str">
        <f aca="false">TEXT(Setup!$C$5+5,"dddd")</f>
        <v>Saturday</v>
      </c>
      <c r="B102" s="41" t="s">
        <v>86</v>
      </c>
      <c r="C102" s="42" t="n">
        <f aca="false">SUM(Wk1:Wk52!D112:D112)</f>
        <v>0</v>
      </c>
      <c r="D102" s="42" t="n">
        <f aca="false">SUM(Wk1:Wk52!E112:E112)</f>
        <v>0</v>
      </c>
      <c r="E102" s="43" t="n">
        <f aca="false">SUM(Wk1:Wk52!H112:H112)</f>
        <v>0</v>
      </c>
      <c r="F102" s="43" t="n">
        <f aca="false">SUM(Wk1:Wk52!M112:M112)</f>
        <v>0</v>
      </c>
      <c r="G102" s="43" t="n">
        <f aca="false">SUM(Wk1:Wk52!K112:K112)</f>
        <v>0</v>
      </c>
      <c r="H102" s="42" t="n">
        <f aca="false">COUNTIF('Weekly Summary'!$F$2:$F$53,"&gt;0")</f>
        <v>0</v>
      </c>
      <c r="I102" s="44" t="str">
        <f aca="false">IFERROR(C102/H102,"")</f>
        <v/>
      </c>
      <c r="J102" s="44" t="str">
        <f aca="false">IFERROR(D102/H102,"")</f>
        <v/>
      </c>
      <c r="K102" s="43" t="str">
        <f aca="false">IFERROR(E102/H102,"")</f>
        <v/>
      </c>
      <c r="L102" s="45" t="str">
        <f aca="false">IFERROR(D102/C102,"")</f>
        <v/>
      </c>
    </row>
    <row r="103" customFormat="false" ht="15" hidden="false" customHeight="false" outlineLevel="0" collapsed="false">
      <c r="A103" s="12" t="str">
        <f aca="false">TEXT(Setup!$C$5+5,"dddd")</f>
        <v>Saturday</v>
      </c>
      <c r="B103" s="12" t="s">
        <v>87</v>
      </c>
      <c r="C103" s="37" t="n">
        <f aca="false">SUM(Wk1:Wk52!D113:D113)</f>
        <v>0</v>
      </c>
      <c r="D103" s="37" t="n">
        <f aca="false">SUM(Wk1:Wk52!E113:E113)</f>
        <v>0</v>
      </c>
      <c r="E103" s="20" t="n">
        <f aca="false">SUM(Wk1:Wk52!H113:H113)</f>
        <v>0</v>
      </c>
      <c r="F103" s="20" t="n">
        <f aca="false">SUM(Wk1:Wk52!M113:M113)</f>
        <v>0</v>
      </c>
      <c r="G103" s="20" t="n">
        <f aca="false">SUM(Wk1:Wk52!K113:K113)</f>
        <v>0</v>
      </c>
      <c r="H103" s="37" t="n">
        <f aca="false">COUNTIF('Weekly Summary'!$F$2:$F$53,"&gt;0")</f>
        <v>0</v>
      </c>
      <c r="I103" s="46" t="str">
        <f aca="false">IFERROR(C103/H103,"")</f>
        <v/>
      </c>
      <c r="J103" s="46" t="str">
        <f aca="false">IFERROR(D103/H103,"")</f>
        <v/>
      </c>
      <c r="K103" s="20" t="str">
        <f aca="false">IFERROR(E103/H103,"")</f>
        <v/>
      </c>
      <c r="L103" s="36" t="str">
        <f aca="false">IFERROR(D103/C103,"")</f>
        <v/>
      </c>
    </row>
    <row r="104" customFormat="false" ht="15" hidden="false" customHeight="false" outlineLevel="0" collapsed="false">
      <c r="A104" s="12" t="str">
        <f aca="false">TEXT(Setup!$C$5+5,"dddd")</f>
        <v>Saturday</v>
      </c>
      <c r="B104" s="12" t="s">
        <v>88</v>
      </c>
      <c r="C104" s="37" t="n">
        <f aca="false">SUM(Wk1:Wk52!D114:D114)</f>
        <v>0</v>
      </c>
      <c r="D104" s="37" t="n">
        <f aca="false">SUM(Wk1:Wk52!E114:E114)</f>
        <v>0</v>
      </c>
      <c r="E104" s="20" t="n">
        <f aca="false">SUM(Wk1:Wk52!H114:H114)</f>
        <v>0</v>
      </c>
      <c r="F104" s="20" t="n">
        <f aca="false">SUM(Wk1:Wk52!M114:M114)</f>
        <v>0</v>
      </c>
      <c r="G104" s="20" t="n">
        <f aca="false">SUM(Wk1:Wk52!K114:K114)</f>
        <v>0</v>
      </c>
      <c r="H104" s="37" t="n">
        <f aca="false">COUNTIF('Weekly Summary'!$F$2:$F$53,"&gt;0")</f>
        <v>0</v>
      </c>
      <c r="I104" s="46" t="str">
        <f aca="false">IFERROR(C104/H104,"")</f>
        <v/>
      </c>
      <c r="J104" s="46" t="str">
        <f aca="false">IFERROR(D104/H104,"")</f>
        <v/>
      </c>
      <c r="K104" s="20" t="str">
        <f aca="false">IFERROR(E104/H104,"")</f>
        <v/>
      </c>
      <c r="L104" s="36" t="str">
        <f aca="false">IFERROR(D104/C104,"")</f>
        <v/>
      </c>
    </row>
    <row r="105" customFormat="false" ht="15" hidden="false" customHeight="false" outlineLevel="0" collapsed="false">
      <c r="A105" s="12" t="str">
        <f aca="false">TEXT(Setup!$C$5+5,"dddd")</f>
        <v>Saturday</v>
      </c>
      <c r="B105" s="12" t="s">
        <v>89</v>
      </c>
      <c r="C105" s="37" t="n">
        <f aca="false">SUM(Wk1:Wk52!D115:D115)</f>
        <v>0</v>
      </c>
      <c r="D105" s="37" t="n">
        <f aca="false">SUM(Wk1:Wk52!E115:E115)</f>
        <v>0</v>
      </c>
      <c r="E105" s="20" t="n">
        <f aca="false">SUM(Wk1:Wk52!H115:H115)</f>
        <v>0</v>
      </c>
      <c r="F105" s="20" t="n">
        <f aca="false">SUM(Wk1:Wk52!M115:M115)</f>
        <v>0</v>
      </c>
      <c r="G105" s="20" t="n">
        <f aca="false">SUM(Wk1:Wk52!K115:K115)</f>
        <v>0</v>
      </c>
      <c r="H105" s="37" t="n">
        <f aca="false">COUNTIF('Weekly Summary'!$F$2:$F$53,"&gt;0")</f>
        <v>0</v>
      </c>
      <c r="I105" s="46" t="str">
        <f aca="false">IFERROR(C105/H105,"")</f>
        <v/>
      </c>
      <c r="J105" s="46" t="str">
        <f aca="false">IFERROR(D105/H105,"")</f>
        <v/>
      </c>
      <c r="K105" s="20" t="str">
        <f aca="false">IFERROR(E105/H105,"")</f>
        <v/>
      </c>
      <c r="L105" s="36" t="str">
        <f aca="false">IFERROR(D105/C105,"")</f>
        <v/>
      </c>
    </row>
    <row r="106" customFormat="false" ht="15" hidden="false" customHeight="false" outlineLevel="0" collapsed="false">
      <c r="A106" s="12" t="str">
        <f aca="false">TEXT(Setup!$C$5+5,"dddd")</f>
        <v>Saturday</v>
      </c>
      <c r="B106" s="12" t="s">
        <v>90</v>
      </c>
      <c r="C106" s="37" t="n">
        <f aca="false">SUM(Wk1:Wk52!D116:D116)</f>
        <v>0</v>
      </c>
      <c r="D106" s="37" t="n">
        <f aca="false">SUM(Wk1:Wk52!E116:E116)</f>
        <v>0</v>
      </c>
      <c r="E106" s="20" t="n">
        <f aca="false">SUM(Wk1:Wk52!H116:H116)</f>
        <v>0</v>
      </c>
      <c r="F106" s="20" t="n">
        <f aca="false">SUM(Wk1:Wk52!M116:M116)</f>
        <v>0</v>
      </c>
      <c r="G106" s="20" t="n">
        <f aca="false">SUM(Wk1:Wk52!K116:K116)</f>
        <v>0</v>
      </c>
      <c r="H106" s="37" t="n">
        <f aca="false">COUNTIF('Weekly Summary'!$F$2:$F$53,"&gt;0")</f>
        <v>0</v>
      </c>
      <c r="I106" s="46" t="str">
        <f aca="false">IFERROR(C106/H106,"")</f>
        <v/>
      </c>
      <c r="J106" s="46" t="str">
        <f aca="false">IFERROR(D106/H106,"")</f>
        <v/>
      </c>
      <c r="K106" s="20" t="str">
        <f aca="false">IFERROR(E106/H106,"")</f>
        <v/>
      </c>
      <c r="L106" s="36" t="str">
        <f aca="false">IFERROR(D106/C106,"")</f>
        <v/>
      </c>
    </row>
    <row r="107" customFormat="false" ht="15" hidden="false" customHeight="false" outlineLevel="0" collapsed="false">
      <c r="A107" s="12" t="str">
        <f aca="false">TEXT(Setup!$C$5+5,"dddd")</f>
        <v>Saturday</v>
      </c>
      <c r="B107" s="12" t="s">
        <v>91</v>
      </c>
      <c r="C107" s="37" t="n">
        <f aca="false">SUM(Wk1:Wk52!D117:D117)</f>
        <v>0</v>
      </c>
      <c r="D107" s="37" t="n">
        <f aca="false">SUM(Wk1:Wk52!E117:E117)</f>
        <v>0</v>
      </c>
      <c r="E107" s="20" t="n">
        <f aca="false">SUM(Wk1:Wk52!H117:H117)</f>
        <v>0</v>
      </c>
      <c r="F107" s="20" t="n">
        <f aca="false">SUM(Wk1:Wk52!M117:M117)</f>
        <v>0</v>
      </c>
      <c r="G107" s="20" t="n">
        <f aca="false">SUM(Wk1:Wk52!K117:K117)</f>
        <v>0</v>
      </c>
      <c r="H107" s="37" t="n">
        <f aca="false">COUNTIF('Weekly Summary'!$F$2:$F$53,"&gt;0")</f>
        <v>0</v>
      </c>
      <c r="I107" s="46" t="str">
        <f aca="false">IFERROR(C107/H107,"")</f>
        <v/>
      </c>
      <c r="J107" s="46" t="str">
        <f aca="false">IFERROR(D107/H107,"")</f>
        <v/>
      </c>
      <c r="K107" s="20" t="str">
        <f aca="false">IFERROR(E107/H107,"")</f>
        <v/>
      </c>
      <c r="L107" s="36" t="str">
        <f aca="false">IFERROR(D107/C107,"")</f>
        <v/>
      </c>
    </row>
    <row r="108" customFormat="false" ht="15" hidden="false" customHeight="false" outlineLevel="0" collapsed="false">
      <c r="A108" s="12" t="str">
        <f aca="false">TEXT(Setup!$C$5+5,"dddd")</f>
        <v>Saturday</v>
      </c>
      <c r="B108" s="12" t="s">
        <v>92</v>
      </c>
      <c r="C108" s="37" t="n">
        <f aca="false">SUM(Wk1:Wk52!D118:D118)</f>
        <v>0</v>
      </c>
      <c r="D108" s="37" t="n">
        <f aca="false">SUM(Wk1:Wk52!E118:E118)</f>
        <v>0</v>
      </c>
      <c r="E108" s="20" t="n">
        <f aca="false">SUM(Wk1:Wk52!H118:H118)</f>
        <v>0</v>
      </c>
      <c r="F108" s="20" t="n">
        <f aca="false">SUM(Wk1:Wk52!M118:M118)</f>
        <v>0</v>
      </c>
      <c r="G108" s="20" t="n">
        <f aca="false">SUM(Wk1:Wk52!K118:K118)</f>
        <v>0</v>
      </c>
      <c r="H108" s="37" t="n">
        <f aca="false">COUNTIF('Weekly Summary'!$F$2:$F$53,"&gt;0")</f>
        <v>0</v>
      </c>
      <c r="I108" s="46" t="str">
        <f aca="false">IFERROR(C108/H108,"")</f>
        <v/>
      </c>
      <c r="J108" s="46" t="str">
        <f aca="false">IFERROR(D108/H108,"")</f>
        <v/>
      </c>
      <c r="K108" s="20" t="str">
        <f aca="false">IFERROR(E108/H108,"")</f>
        <v/>
      </c>
      <c r="L108" s="36" t="str">
        <f aca="false">IFERROR(D108/C108,"")</f>
        <v/>
      </c>
    </row>
    <row r="109" customFormat="false" ht="15" hidden="false" customHeight="false" outlineLevel="0" collapsed="false">
      <c r="A109" s="12" t="str">
        <f aca="false">TEXT(Setup!$C$5+5,"dddd")</f>
        <v>Saturday</v>
      </c>
      <c r="B109" s="12" t="s">
        <v>93</v>
      </c>
      <c r="C109" s="37" t="n">
        <f aca="false">SUM(Wk1:Wk52!D119:D119)</f>
        <v>0</v>
      </c>
      <c r="D109" s="37" t="n">
        <f aca="false">SUM(Wk1:Wk52!E119:E119)</f>
        <v>0</v>
      </c>
      <c r="E109" s="20" t="n">
        <f aca="false">SUM(Wk1:Wk52!H119:H119)</f>
        <v>0</v>
      </c>
      <c r="F109" s="20" t="n">
        <f aca="false">SUM(Wk1:Wk52!M119:M119)</f>
        <v>0</v>
      </c>
      <c r="G109" s="20" t="n">
        <f aca="false">SUM(Wk1:Wk52!K119:K119)</f>
        <v>0</v>
      </c>
      <c r="H109" s="37" t="n">
        <f aca="false">COUNTIF('Weekly Summary'!$F$2:$F$53,"&gt;0")</f>
        <v>0</v>
      </c>
      <c r="I109" s="46" t="str">
        <f aca="false">IFERROR(C109/H109,"")</f>
        <v/>
      </c>
      <c r="J109" s="46" t="str">
        <f aca="false">IFERROR(D109/H109,"")</f>
        <v/>
      </c>
      <c r="K109" s="20" t="str">
        <f aca="false">IFERROR(E109/H109,"")</f>
        <v/>
      </c>
      <c r="L109" s="36" t="str">
        <f aca="false">IFERROR(D109/C109,"")</f>
        <v/>
      </c>
    </row>
    <row r="110" customFormat="false" ht="15" hidden="false" customHeight="false" outlineLevel="0" collapsed="false">
      <c r="A110" s="12" t="str">
        <f aca="false">TEXT(Setup!$C$5+5,"dddd")</f>
        <v>Saturday</v>
      </c>
      <c r="B110" s="12" t="s">
        <v>94</v>
      </c>
      <c r="C110" s="37" t="n">
        <f aca="false">SUM(Wk1:Wk52!D120:D120)</f>
        <v>0</v>
      </c>
      <c r="D110" s="37" t="n">
        <f aca="false">SUM(Wk1:Wk52!E120:E120)</f>
        <v>0</v>
      </c>
      <c r="E110" s="20" t="n">
        <f aca="false">SUM(Wk1:Wk52!H120:H120)</f>
        <v>0</v>
      </c>
      <c r="F110" s="20" t="n">
        <f aca="false">SUM(Wk1:Wk52!M120:M120)</f>
        <v>0</v>
      </c>
      <c r="G110" s="20" t="n">
        <f aca="false">SUM(Wk1:Wk52!K120:K120)</f>
        <v>0</v>
      </c>
      <c r="H110" s="37" t="n">
        <f aca="false">COUNTIF('Weekly Summary'!$F$2:$F$53,"&gt;0")</f>
        <v>0</v>
      </c>
      <c r="I110" s="46" t="str">
        <f aca="false">IFERROR(C110/H110,"")</f>
        <v/>
      </c>
      <c r="J110" s="46" t="str">
        <f aca="false">IFERROR(D110/H110,"")</f>
        <v/>
      </c>
      <c r="K110" s="20" t="str">
        <f aca="false">IFERROR(E110/H110,"")</f>
        <v/>
      </c>
      <c r="L110" s="36" t="str">
        <f aca="false">IFERROR(D110/C110,"")</f>
        <v/>
      </c>
    </row>
    <row r="111" customFormat="false" ht="15" hidden="false" customHeight="false" outlineLevel="0" collapsed="false">
      <c r="A111" s="12" t="str">
        <f aca="false">TEXT(Setup!$C$5+5,"dddd")</f>
        <v>Saturday</v>
      </c>
      <c r="B111" s="12" t="s">
        <v>95</v>
      </c>
      <c r="C111" s="37" t="n">
        <f aca="false">SUM(Wk1:Wk52!D121:D121)</f>
        <v>0</v>
      </c>
      <c r="D111" s="37" t="n">
        <f aca="false">SUM(Wk1:Wk52!E121:E121)</f>
        <v>0</v>
      </c>
      <c r="E111" s="20" t="n">
        <f aca="false">SUM(Wk1:Wk52!H121:H121)</f>
        <v>0</v>
      </c>
      <c r="F111" s="20" t="n">
        <f aca="false">SUM(Wk1:Wk52!M121:M121)</f>
        <v>0</v>
      </c>
      <c r="G111" s="20" t="n">
        <f aca="false">SUM(Wk1:Wk52!K121:K121)</f>
        <v>0</v>
      </c>
      <c r="H111" s="37" t="n">
        <f aca="false">COUNTIF('Weekly Summary'!$F$2:$F$53,"&gt;0")</f>
        <v>0</v>
      </c>
      <c r="I111" s="46" t="str">
        <f aca="false">IFERROR(C111/H111,"")</f>
        <v/>
      </c>
      <c r="J111" s="46" t="str">
        <f aca="false">IFERROR(D111/H111,"")</f>
        <v/>
      </c>
      <c r="K111" s="20" t="str">
        <f aca="false">IFERROR(E111/H111,"")</f>
        <v/>
      </c>
      <c r="L111" s="36" t="str">
        <f aca="false">IFERROR(D111/C111,"")</f>
        <v/>
      </c>
    </row>
    <row r="112" customFormat="false" ht="15" hidden="false" customHeight="false" outlineLevel="0" collapsed="false">
      <c r="A112" s="12" t="str">
        <f aca="false">TEXT(Setup!$C$5+5,"dddd")</f>
        <v>Saturday</v>
      </c>
      <c r="B112" s="12" t="s">
        <v>96</v>
      </c>
      <c r="C112" s="37" t="n">
        <f aca="false">SUM(Wk1:Wk52!D122:D122)</f>
        <v>0</v>
      </c>
      <c r="D112" s="37" t="n">
        <f aca="false">SUM(Wk1:Wk52!E122:E122)</f>
        <v>0</v>
      </c>
      <c r="E112" s="20" t="n">
        <f aca="false">SUM(Wk1:Wk52!H122:H122)</f>
        <v>0</v>
      </c>
      <c r="F112" s="20" t="n">
        <f aca="false">SUM(Wk1:Wk52!M122:M122)</f>
        <v>0</v>
      </c>
      <c r="G112" s="20" t="n">
        <f aca="false">SUM(Wk1:Wk52!K122:K122)</f>
        <v>0</v>
      </c>
      <c r="H112" s="37" t="n">
        <f aca="false">COUNTIF('Weekly Summary'!$F$2:$F$53,"&gt;0")</f>
        <v>0</v>
      </c>
      <c r="I112" s="46" t="str">
        <f aca="false">IFERROR(C112/H112,"")</f>
        <v/>
      </c>
      <c r="J112" s="46" t="str">
        <f aca="false">IFERROR(D112/H112,"")</f>
        <v/>
      </c>
      <c r="K112" s="20" t="str">
        <f aca="false">IFERROR(E112/H112,"")</f>
        <v/>
      </c>
      <c r="L112" s="36" t="str">
        <f aca="false">IFERROR(D112/C112,"")</f>
        <v/>
      </c>
    </row>
    <row r="113" customFormat="false" ht="15" hidden="false" customHeight="false" outlineLevel="0" collapsed="false">
      <c r="A113" s="12" t="str">
        <f aca="false">TEXT(Setup!$C$5+5,"dddd")</f>
        <v>Saturday</v>
      </c>
      <c r="B113" s="12" t="s">
        <v>97</v>
      </c>
      <c r="C113" s="37" t="n">
        <f aca="false">SUM(Wk1:Wk52!D123:D123)</f>
        <v>0</v>
      </c>
      <c r="D113" s="37" t="n">
        <f aca="false">SUM(Wk1:Wk52!E123:E123)</f>
        <v>0</v>
      </c>
      <c r="E113" s="20" t="n">
        <f aca="false">SUM(Wk1:Wk52!H123:H123)</f>
        <v>0</v>
      </c>
      <c r="F113" s="20" t="n">
        <f aca="false">SUM(Wk1:Wk52!M123:M123)</f>
        <v>0</v>
      </c>
      <c r="G113" s="20" t="n">
        <f aca="false">SUM(Wk1:Wk52!K123:K123)</f>
        <v>0</v>
      </c>
      <c r="H113" s="37" t="n">
        <f aca="false">COUNTIF('Weekly Summary'!$F$2:$F$53,"&gt;0")</f>
        <v>0</v>
      </c>
      <c r="I113" s="46" t="str">
        <f aca="false">IFERROR(C113/H113,"")</f>
        <v/>
      </c>
      <c r="J113" s="46" t="str">
        <f aca="false">IFERROR(D113/H113,"")</f>
        <v/>
      </c>
      <c r="K113" s="20" t="str">
        <f aca="false">IFERROR(E113/H113,"")</f>
        <v/>
      </c>
      <c r="L113" s="36" t="str">
        <f aca="false">IFERROR(D113/C113,"")</f>
        <v/>
      </c>
    </row>
    <row r="114" customFormat="false" ht="15" hidden="false" customHeight="false" outlineLevel="0" collapsed="false">
      <c r="A114" s="12" t="str">
        <f aca="false">TEXT(Setup!$C$5+5,"dddd")</f>
        <v>Saturday</v>
      </c>
      <c r="B114" s="12" t="s">
        <v>98</v>
      </c>
      <c r="C114" s="37" t="n">
        <f aca="false">SUM(Wk1:Wk52!D124:D124)</f>
        <v>0</v>
      </c>
      <c r="D114" s="37" t="n">
        <f aca="false">SUM(Wk1:Wk52!E124:E124)</f>
        <v>0</v>
      </c>
      <c r="E114" s="20" t="n">
        <f aca="false">SUM(Wk1:Wk52!H124:H124)</f>
        <v>0</v>
      </c>
      <c r="F114" s="20" t="n">
        <f aca="false">SUM(Wk1:Wk52!M124:M124)</f>
        <v>0</v>
      </c>
      <c r="G114" s="20" t="n">
        <f aca="false">SUM(Wk1:Wk52!K124:K124)</f>
        <v>0</v>
      </c>
      <c r="H114" s="37" t="n">
        <f aca="false">COUNTIF('Weekly Summary'!$F$2:$F$53,"&gt;0")</f>
        <v>0</v>
      </c>
      <c r="I114" s="46" t="str">
        <f aca="false">IFERROR(C114/H114,"")</f>
        <v/>
      </c>
      <c r="J114" s="46" t="str">
        <f aca="false">IFERROR(D114/H114,"")</f>
        <v/>
      </c>
      <c r="K114" s="20" t="str">
        <f aca="false">IFERROR(E114/H114,"")</f>
        <v/>
      </c>
      <c r="L114" s="36" t="str">
        <f aca="false">IFERROR(D114/C114,"")</f>
        <v/>
      </c>
    </row>
    <row r="115" customFormat="false" ht="15" hidden="false" customHeight="false" outlineLevel="0" collapsed="false">
      <c r="A115" s="12" t="str">
        <f aca="false">TEXT(Setup!$C$5+5,"dddd")</f>
        <v>Saturday</v>
      </c>
      <c r="B115" s="12" t="s">
        <v>99</v>
      </c>
      <c r="C115" s="37" t="n">
        <f aca="false">SUM(Wk1:Wk52!D125:D125)</f>
        <v>0</v>
      </c>
      <c r="D115" s="37" t="n">
        <f aca="false">SUM(Wk1:Wk52!E125:E125)</f>
        <v>0</v>
      </c>
      <c r="E115" s="20" t="n">
        <f aca="false">SUM(Wk1:Wk52!H125:H125)</f>
        <v>0</v>
      </c>
      <c r="F115" s="20" t="n">
        <f aca="false">SUM(Wk1:Wk52!M125:M125)</f>
        <v>0</v>
      </c>
      <c r="G115" s="20" t="n">
        <f aca="false">SUM(Wk1:Wk52!K125:K125)</f>
        <v>0</v>
      </c>
      <c r="H115" s="37" t="n">
        <f aca="false">COUNTIF('Weekly Summary'!$F$2:$F$53,"&gt;0")</f>
        <v>0</v>
      </c>
      <c r="I115" s="46" t="str">
        <f aca="false">IFERROR(C115/H115,"")</f>
        <v/>
      </c>
      <c r="J115" s="46" t="str">
        <f aca="false">IFERROR(D115/H115,"")</f>
        <v/>
      </c>
      <c r="K115" s="20" t="str">
        <f aca="false">IFERROR(E115/H115,"")</f>
        <v/>
      </c>
      <c r="L115" s="36" t="str">
        <f aca="false">IFERROR(D115/C115,"")</f>
        <v/>
      </c>
    </row>
    <row r="116" customFormat="false" ht="15" hidden="false" customHeight="false" outlineLevel="0" collapsed="false">
      <c r="A116" s="12" t="str">
        <f aca="false">TEXT(Setup!$C$5+5,"dddd")</f>
        <v>Saturday</v>
      </c>
      <c r="B116" s="12" t="s">
        <v>100</v>
      </c>
      <c r="C116" s="37" t="n">
        <f aca="false">SUM(Wk1:Wk52!D126:D126)</f>
        <v>0</v>
      </c>
      <c r="D116" s="37" t="n">
        <f aca="false">SUM(Wk1:Wk52!E126:E126)</f>
        <v>0</v>
      </c>
      <c r="E116" s="20" t="n">
        <f aca="false">SUM(Wk1:Wk52!H126:H126)</f>
        <v>0</v>
      </c>
      <c r="F116" s="20" t="n">
        <f aca="false">SUM(Wk1:Wk52!M126:M126)</f>
        <v>0</v>
      </c>
      <c r="G116" s="20" t="n">
        <f aca="false">SUM(Wk1:Wk52!K126:K126)</f>
        <v>0</v>
      </c>
      <c r="H116" s="37" t="n">
        <f aca="false">COUNTIF('Weekly Summary'!$F$2:$F$53,"&gt;0")</f>
        <v>0</v>
      </c>
      <c r="I116" s="46" t="str">
        <f aca="false">IFERROR(C116/H116,"")</f>
        <v/>
      </c>
      <c r="J116" s="46" t="str">
        <f aca="false">IFERROR(D116/H116,"")</f>
        <v/>
      </c>
      <c r="K116" s="20" t="str">
        <f aca="false">IFERROR(E116/H116,"")</f>
        <v/>
      </c>
      <c r="L116" s="36" t="str">
        <f aca="false">IFERROR(D116/C116,"")</f>
        <v/>
      </c>
    </row>
    <row r="117" customFormat="false" ht="15" hidden="false" customHeight="false" outlineLevel="0" collapsed="false">
      <c r="A117" s="12" t="str">
        <f aca="false">TEXT(Setup!$C$5+5,"dddd")</f>
        <v>Saturday</v>
      </c>
      <c r="B117" s="12" t="s">
        <v>101</v>
      </c>
      <c r="C117" s="37" t="n">
        <f aca="false">SUM(Wk1:Wk52!D127:D127)</f>
        <v>0</v>
      </c>
      <c r="D117" s="37" t="n">
        <f aca="false">SUM(Wk1:Wk52!E127:E127)</f>
        <v>0</v>
      </c>
      <c r="E117" s="20" t="n">
        <f aca="false">SUM(Wk1:Wk52!H127:H127)</f>
        <v>0</v>
      </c>
      <c r="F117" s="20" t="n">
        <f aca="false">SUM(Wk1:Wk52!M127:M127)</f>
        <v>0</v>
      </c>
      <c r="G117" s="20" t="n">
        <f aca="false">SUM(Wk1:Wk52!K127:K127)</f>
        <v>0</v>
      </c>
      <c r="H117" s="37" t="n">
        <f aca="false">COUNTIF('Weekly Summary'!$F$2:$F$53,"&gt;0")</f>
        <v>0</v>
      </c>
      <c r="I117" s="46" t="str">
        <f aca="false">IFERROR(C117/H117,"")</f>
        <v/>
      </c>
      <c r="J117" s="46" t="str">
        <f aca="false">IFERROR(D117/H117,"")</f>
        <v/>
      </c>
      <c r="K117" s="20" t="str">
        <f aca="false">IFERROR(E117/H117,"")</f>
        <v/>
      </c>
      <c r="L117" s="36" t="str">
        <f aca="false">IFERROR(D117/C117,"")</f>
        <v/>
      </c>
    </row>
    <row r="118" customFormat="false" ht="15" hidden="false" customHeight="false" outlineLevel="0" collapsed="false">
      <c r="A118" s="12" t="str">
        <f aca="false">TEXT(Setup!$C$5+5,"dddd")</f>
        <v>Saturday</v>
      </c>
      <c r="B118" s="12" t="s">
        <v>102</v>
      </c>
      <c r="C118" s="37" t="n">
        <f aca="false">SUM(Wk1:Wk52!D128:D128)</f>
        <v>0</v>
      </c>
      <c r="D118" s="37" t="n">
        <f aca="false">SUM(Wk1:Wk52!E128:E128)</f>
        <v>0</v>
      </c>
      <c r="E118" s="20" t="n">
        <f aca="false">SUM(Wk1:Wk52!H128:H128)</f>
        <v>0</v>
      </c>
      <c r="F118" s="20" t="n">
        <f aca="false">SUM(Wk1:Wk52!M128:M128)</f>
        <v>0</v>
      </c>
      <c r="G118" s="20" t="n">
        <f aca="false">SUM(Wk1:Wk52!K128:K128)</f>
        <v>0</v>
      </c>
      <c r="H118" s="37" t="n">
        <f aca="false">COUNTIF('Weekly Summary'!$F$2:$F$53,"&gt;0")</f>
        <v>0</v>
      </c>
      <c r="I118" s="46" t="str">
        <f aca="false">IFERROR(C118/H118,"")</f>
        <v/>
      </c>
      <c r="J118" s="46" t="str">
        <f aca="false">IFERROR(D118/H118,"")</f>
        <v/>
      </c>
      <c r="K118" s="20" t="str">
        <f aca="false">IFERROR(E118/H118,"")</f>
        <v/>
      </c>
      <c r="L118" s="36" t="str">
        <f aca="false">IFERROR(D118/C118,"")</f>
        <v/>
      </c>
    </row>
    <row r="119" customFormat="false" ht="15" hidden="false" customHeight="false" outlineLevel="0" collapsed="false">
      <c r="A119" s="12" t="str">
        <f aca="false">TEXT(Setup!$C$5+5,"dddd")</f>
        <v>Saturday</v>
      </c>
      <c r="B119" s="12" t="s">
        <v>103</v>
      </c>
      <c r="C119" s="37" t="n">
        <f aca="false">SUM(Wk1:Wk52!D129:D129)</f>
        <v>0</v>
      </c>
      <c r="D119" s="37" t="n">
        <f aca="false">SUM(Wk1:Wk52!E129:E129)</f>
        <v>0</v>
      </c>
      <c r="E119" s="20" t="n">
        <f aca="false">SUM(Wk1:Wk52!H129:H129)</f>
        <v>0</v>
      </c>
      <c r="F119" s="20" t="n">
        <f aca="false">SUM(Wk1:Wk52!M129:M129)</f>
        <v>0</v>
      </c>
      <c r="G119" s="20" t="n">
        <f aca="false">SUM(Wk1:Wk52!K129:K129)</f>
        <v>0</v>
      </c>
      <c r="H119" s="37" t="n">
        <f aca="false">COUNTIF('Weekly Summary'!$F$2:$F$53,"&gt;0")</f>
        <v>0</v>
      </c>
      <c r="I119" s="46" t="str">
        <f aca="false">IFERROR(C119/H119,"")</f>
        <v/>
      </c>
      <c r="J119" s="46" t="str">
        <f aca="false">IFERROR(D119/H119,"")</f>
        <v/>
      </c>
      <c r="K119" s="20" t="str">
        <f aca="false">IFERROR(E119/H119,"")</f>
        <v/>
      </c>
      <c r="L119" s="36" t="str">
        <f aca="false">IFERROR(D119/C119,"")</f>
        <v/>
      </c>
    </row>
    <row r="120" customFormat="false" ht="15" hidden="false" customHeight="false" outlineLevel="0" collapsed="false">
      <c r="A120" s="12" t="str">
        <f aca="false">TEXT(Setup!$C$5+5,"dddd")</f>
        <v>Saturday</v>
      </c>
      <c r="B120" s="12" t="s">
        <v>104</v>
      </c>
      <c r="C120" s="37" t="n">
        <f aca="false">SUM(Wk1:Wk52!D130:D130)</f>
        <v>0</v>
      </c>
      <c r="D120" s="37" t="n">
        <f aca="false">SUM(Wk1:Wk52!E130:E130)</f>
        <v>0</v>
      </c>
      <c r="E120" s="20" t="n">
        <f aca="false">SUM(Wk1:Wk52!H130:H130)</f>
        <v>0</v>
      </c>
      <c r="F120" s="20" t="n">
        <f aca="false">SUM(Wk1:Wk52!M130:M130)</f>
        <v>0</v>
      </c>
      <c r="G120" s="20" t="n">
        <f aca="false">SUM(Wk1:Wk52!K130:K130)</f>
        <v>0</v>
      </c>
      <c r="H120" s="37" t="n">
        <f aca="false">COUNTIF('Weekly Summary'!$F$2:$F$53,"&gt;0")</f>
        <v>0</v>
      </c>
      <c r="I120" s="46" t="str">
        <f aca="false">IFERROR(C120/H120,"")</f>
        <v/>
      </c>
      <c r="J120" s="46" t="str">
        <f aca="false">IFERROR(D120/H120,"")</f>
        <v/>
      </c>
      <c r="K120" s="20" t="str">
        <f aca="false">IFERROR(E120/H120,"")</f>
        <v/>
      </c>
      <c r="L120" s="36" t="str">
        <f aca="false">IFERROR(D120/C120,"")</f>
        <v/>
      </c>
    </row>
    <row r="121" customFormat="false" ht="15" hidden="false" customHeight="false" outlineLevel="0" collapsed="false">
      <c r="A121" s="12" t="str">
        <f aca="false">TEXT(Setup!$C$5+5,"dddd")</f>
        <v>Saturday</v>
      </c>
      <c r="B121" s="12" t="s">
        <v>105</v>
      </c>
      <c r="C121" s="37" t="n">
        <f aca="false">SUM(Wk1:Wk52!D131:D131)</f>
        <v>0</v>
      </c>
      <c r="D121" s="37" t="n">
        <f aca="false">SUM(Wk1:Wk52!E131:E131)</f>
        <v>0</v>
      </c>
      <c r="E121" s="20" t="n">
        <f aca="false">SUM(Wk1:Wk52!H131:H131)</f>
        <v>0</v>
      </c>
      <c r="F121" s="20" t="n">
        <f aca="false">SUM(Wk1:Wk52!M131:M131)</f>
        <v>0</v>
      </c>
      <c r="G121" s="20" t="n">
        <f aca="false">SUM(Wk1:Wk52!K131:K131)</f>
        <v>0</v>
      </c>
      <c r="H121" s="37" t="n">
        <f aca="false">COUNTIF('Weekly Summary'!$F$2:$F$53,"&gt;0")</f>
        <v>0</v>
      </c>
      <c r="I121" s="46" t="str">
        <f aca="false">IFERROR(C121/H121,"")</f>
        <v/>
      </c>
      <c r="J121" s="46" t="str">
        <f aca="false">IFERROR(D121/H121,"")</f>
        <v/>
      </c>
      <c r="K121" s="20" t="str">
        <f aca="false">IFERROR(E121/H121,"")</f>
        <v/>
      </c>
      <c r="L121" s="36" t="str">
        <f aca="false">IFERROR(D121/C121,"")</f>
        <v/>
      </c>
    </row>
    <row r="122" customFormat="false" ht="15" hidden="false" customHeight="false" outlineLevel="0" collapsed="false">
      <c r="A122" s="41" t="str">
        <f aca="false">TEXT(Setup!$C$5+6,"dddd")</f>
        <v>Sunday</v>
      </c>
      <c r="B122" s="41" t="s">
        <v>86</v>
      </c>
      <c r="C122" s="42" t="n">
        <f aca="false">SUM(Wk1:Wk52!D134:D134)</f>
        <v>0</v>
      </c>
      <c r="D122" s="42" t="n">
        <f aca="false">SUM(Wk1:Wk52!E134:E134)</f>
        <v>0</v>
      </c>
      <c r="E122" s="43" t="n">
        <f aca="false">SUM(Wk1:Wk52!H134:H134)</f>
        <v>0</v>
      </c>
      <c r="F122" s="43" t="n">
        <f aca="false">SUM(Wk1:Wk52!M134:M134)</f>
        <v>0</v>
      </c>
      <c r="G122" s="43" t="n">
        <f aca="false">SUM(Wk1:Wk52!K134:K134)</f>
        <v>0</v>
      </c>
      <c r="H122" s="42" t="n">
        <f aca="false">COUNTIF('Weekly Summary'!$F$2:$F$53,"&gt;0")</f>
        <v>0</v>
      </c>
      <c r="I122" s="44" t="str">
        <f aca="false">IFERROR(C122/H122,"")</f>
        <v/>
      </c>
      <c r="J122" s="44" t="str">
        <f aca="false">IFERROR(D122/H122,"")</f>
        <v/>
      </c>
      <c r="K122" s="43" t="str">
        <f aca="false">IFERROR(E122/H122,"")</f>
        <v/>
      </c>
      <c r="L122" s="45" t="str">
        <f aca="false">IFERROR(D122/C122,"")</f>
        <v/>
      </c>
    </row>
    <row r="123" customFormat="false" ht="15" hidden="false" customHeight="false" outlineLevel="0" collapsed="false">
      <c r="A123" s="12" t="str">
        <f aca="false">TEXT(Setup!$C$5+6,"dddd")</f>
        <v>Sunday</v>
      </c>
      <c r="B123" s="12" t="s">
        <v>87</v>
      </c>
      <c r="C123" s="37" t="n">
        <f aca="false">SUM(Wk1:Wk52!D135:D135)</f>
        <v>0</v>
      </c>
      <c r="D123" s="37" t="n">
        <f aca="false">SUM(Wk1:Wk52!E135:E135)</f>
        <v>0</v>
      </c>
      <c r="E123" s="20" t="n">
        <f aca="false">SUM(Wk1:Wk52!H135:H135)</f>
        <v>0</v>
      </c>
      <c r="F123" s="20" t="n">
        <f aca="false">SUM(Wk1:Wk52!M135:M135)</f>
        <v>0</v>
      </c>
      <c r="G123" s="20" t="n">
        <f aca="false">SUM(Wk1:Wk52!K135:K135)</f>
        <v>0</v>
      </c>
      <c r="H123" s="37" t="n">
        <f aca="false">COUNTIF('Weekly Summary'!$F$2:$F$53,"&gt;0")</f>
        <v>0</v>
      </c>
      <c r="I123" s="46" t="str">
        <f aca="false">IFERROR(C123/H123,"")</f>
        <v/>
      </c>
      <c r="J123" s="46" t="str">
        <f aca="false">IFERROR(D123/H123,"")</f>
        <v/>
      </c>
      <c r="K123" s="20" t="str">
        <f aca="false">IFERROR(E123/H123,"")</f>
        <v/>
      </c>
      <c r="L123" s="36" t="str">
        <f aca="false">IFERROR(D123/C123,"")</f>
        <v/>
      </c>
    </row>
    <row r="124" customFormat="false" ht="15" hidden="false" customHeight="false" outlineLevel="0" collapsed="false">
      <c r="A124" s="12" t="str">
        <f aca="false">TEXT(Setup!$C$5+6,"dddd")</f>
        <v>Sunday</v>
      </c>
      <c r="B124" s="12" t="s">
        <v>88</v>
      </c>
      <c r="C124" s="37" t="n">
        <f aca="false">SUM(Wk1:Wk52!D136:D136)</f>
        <v>0</v>
      </c>
      <c r="D124" s="37" t="n">
        <f aca="false">SUM(Wk1:Wk52!E136:E136)</f>
        <v>0</v>
      </c>
      <c r="E124" s="20" t="n">
        <f aca="false">SUM(Wk1:Wk52!H136:H136)</f>
        <v>0</v>
      </c>
      <c r="F124" s="20" t="n">
        <f aca="false">SUM(Wk1:Wk52!M136:M136)</f>
        <v>0</v>
      </c>
      <c r="G124" s="20" t="n">
        <f aca="false">SUM(Wk1:Wk52!K136:K136)</f>
        <v>0</v>
      </c>
      <c r="H124" s="37" t="n">
        <f aca="false">COUNTIF('Weekly Summary'!$F$2:$F$53,"&gt;0")</f>
        <v>0</v>
      </c>
      <c r="I124" s="46" t="str">
        <f aca="false">IFERROR(C124/H124,"")</f>
        <v/>
      </c>
      <c r="J124" s="46" t="str">
        <f aca="false">IFERROR(D124/H124,"")</f>
        <v/>
      </c>
      <c r="K124" s="20" t="str">
        <f aca="false">IFERROR(E124/H124,"")</f>
        <v/>
      </c>
      <c r="L124" s="36" t="str">
        <f aca="false">IFERROR(D124/C124,"")</f>
        <v/>
      </c>
    </row>
    <row r="125" customFormat="false" ht="15" hidden="false" customHeight="false" outlineLevel="0" collapsed="false">
      <c r="A125" s="12" t="str">
        <f aca="false">TEXT(Setup!$C$5+6,"dddd")</f>
        <v>Sunday</v>
      </c>
      <c r="B125" s="12" t="s">
        <v>89</v>
      </c>
      <c r="C125" s="37" t="n">
        <f aca="false">SUM(Wk1:Wk52!D137:D137)</f>
        <v>0</v>
      </c>
      <c r="D125" s="37" t="n">
        <f aca="false">SUM(Wk1:Wk52!E137:E137)</f>
        <v>0</v>
      </c>
      <c r="E125" s="20" t="n">
        <f aca="false">SUM(Wk1:Wk52!H137:H137)</f>
        <v>0</v>
      </c>
      <c r="F125" s="20" t="n">
        <f aca="false">SUM(Wk1:Wk52!M137:M137)</f>
        <v>0</v>
      </c>
      <c r="G125" s="20" t="n">
        <f aca="false">SUM(Wk1:Wk52!K137:K137)</f>
        <v>0</v>
      </c>
      <c r="H125" s="37" t="n">
        <f aca="false">COUNTIF('Weekly Summary'!$F$2:$F$53,"&gt;0")</f>
        <v>0</v>
      </c>
      <c r="I125" s="46" t="str">
        <f aca="false">IFERROR(C125/H125,"")</f>
        <v/>
      </c>
      <c r="J125" s="46" t="str">
        <f aca="false">IFERROR(D125/H125,"")</f>
        <v/>
      </c>
      <c r="K125" s="20" t="str">
        <f aca="false">IFERROR(E125/H125,"")</f>
        <v/>
      </c>
      <c r="L125" s="36" t="str">
        <f aca="false">IFERROR(D125/C125,"")</f>
        <v/>
      </c>
    </row>
    <row r="126" customFormat="false" ht="15" hidden="false" customHeight="false" outlineLevel="0" collapsed="false">
      <c r="A126" s="12" t="str">
        <f aca="false">TEXT(Setup!$C$5+6,"dddd")</f>
        <v>Sunday</v>
      </c>
      <c r="B126" s="12" t="s">
        <v>90</v>
      </c>
      <c r="C126" s="37" t="n">
        <f aca="false">SUM(Wk1:Wk52!D138:D138)</f>
        <v>0</v>
      </c>
      <c r="D126" s="37" t="n">
        <f aca="false">SUM(Wk1:Wk52!E138:E138)</f>
        <v>0</v>
      </c>
      <c r="E126" s="20" t="n">
        <f aca="false">SUM(Wk1:Wk52!H138:H138)</f>
        <v>0</v>
      </c>
      <c r="F126" s="20" t="n">
        <f aca="false">SUM(Wk1:Wk52!M138:M138)</f>
        <v>0</v>
      </c>
      <c r="G126" s="20" t="n">
        <f aca="false">SUM(Wk1:Wk52!K138:K138)</f>
        <v>0</v>
      </c>
      <c r="H126" s="37" t="n">
        <f aca="false">COUNTIF('Weekly Summary'!$F$2:$F$53,"&gt;0")</f>
        <v>0</v>
      </c>
      <c r="I126" s="46" t="str">
        <f aca="false">IFERROR(C126/H126,"")</f>
        <v/>
      </c>
      <c r="J126" s="46" t="str">
        <f aca="false">IFERROR(D126/H126,"")</f>
        <v/>
      </c>
      <c r="K126" s="20" t="str">
        <f aca="false">IFERROR(E126/H126,"")</f>
        <v/>
      </c>
      <c r="L126" s="36" t="str">
        <f aca="false">IFERROR(D126/C126,"")</f>
        <v/>
      </c>
    </row>
    <row r="127" customFormat="false" ht="15" hidden="false" customHeight="false" outlineLevel="0" collapsed="false">
      <c r="A127" s="12" t="str">
        <f aca="false">TEXT(Setup!$C$5+6,"dddd")</f>
        <v>Sunday</v>
      </c>
      <c r="B127" s="12" t="s">
        <v>91</v>
      </c>
      <c r="C127" s="37" t="n">
        <f aca="false">SUM(Wk1:Wk52!D139:D139)</f>
        <v>0</v>
      </c>
      <c r="D127" s="37" t="n">
        <f aca="false">SUM(Wk1:Wk52!E139:E139)</f>
        <v>0</v>
      </c>
      <c r="E127" s="20" t="n">
        <f aca="false">SUM(Wk1:Wk52!H139:H139)</f>
        <v>0</v>
      </c>
      <c r="F127" s="20" t="n">
        <f aca="false">SUM(Wk1:Wk52!M139:M139)</f>
        <v>0</v>
      </c>
      <c r="G127" s="20" t="n">
        <f aca="false">SUM(Wk1:Wk52!K139:K139)</f>
        <v>0</v>
      </c>
      <c r="H127" s="37" t="n">
        <f aca="false">COUNTIF('Weekly Summary'!$F$2:$F$53,"&gt;0")</f>
        <v>0</v>
      </c>
      <c r="I127" s="46" t="str">
        <f aca="false">IFERROR(C127/H127,"")</f>
        <v/>
      </c>
      <c r="J127" s="46" t="str">
        <f aca="false">IFERROR(D127/H127,"")</f>
        <v/>
      </c>
      <c r="K127" s="20" t="str">
        <f aca="false">IFERROR(E127/H127,"")</f>
        <v/>
      </c>
      <c r="L127" s="36" t="str">
        <f aca="false">IFERROR(D127/C127,"")</f>
        <v/>
      </c>
    </row>
    <row r="128" customFormat="false" ht="15" hidden="false" customHeight="false" outlineLevel="0" collapsed="false">
      <c r="A128" s="12" t="str">
        <f aca="false">TEXT(Setup!$C$5+6,"dddd")</f>
        <v>Sunday</v>
      </c>
      <c r="B128" s="12" t="s">
        <v>92</v>
      </c>
      <c r="C128" s="37" t="n">
        <f aca="false">SUM(Wk1:Wk52!D140:D140)</f>
        <v>0</v>
      </c>
      <c r="D128" s="37" t="n">
        <f aca="false">SUM(Wk1:Wk52!E140:E140)</f>
        <v>0</v>
      </c>
      <c r="E128" s="20" t="n">
        <f aca="false">SUM(Wk1:Wk52!H140:H140)</f>
        <v>0</v>
      </c>
      <c r="F128" s="20" t="n">
        <f aca="false">SUM(Wk1:Wk52!M140:M140)</f>
        <v>0</v>
      </c>
      <c r="G128" s="20" t="n">
        <f aca="false">SUM(Wk1:Wk52!K140:K140)</f>
        <v>0</v>
      </c>
      <c r="H128" s="37" t="n">
        <f aca="false">COUNTIF('Weekly Summary'!$F$2:$F$53,"&gt;0")</f>
        <v>0</v>
      </c>
      <c r="I128" s="46" t="str">
        <f aca="false">IFERROR(C128/H128,"")</f>
        <v/>
      </c>
      <c r="J128" s="46" t="str">
        <f aca="false">IFERROR(D128/H128,"")</f>
        <v/>
      </c>
      <c r="K128" s="20" t="str">
        <f aca="false">IFERROR(E128/H128,"")</f>
        <v/>
      </c>
      <c r="L128" s="36" t="str">
        <f aca="false">IFERROR(D128/C128,"")</f>
        <v/>
      </c>
    </row>
    <row r="129" customFormat="false" ht="15" hidden="false" customHeight="false" outlineLevel="0" collapsed="false">
      <c r="A129" s="12" t="str">
        <f aca="false">TEXT(Setup!$C$5+6,"dddd")</f>
        <v>Sunday</v>
      </c>
      <c r="B129" s="12" t="s">
        <v>93</v>
      </c>
      <c r="C129" s="37" t="n">
        <f aca="false">SUM(Wk1:Wk52!D141:D141)</f>
        <v>0</v>
      </c>
      <c r="D129" s="37" t="n">
        <f aca="false">SUM(Wk1:Wk52!E141:E141)</f>
        <v>0</v>
      </c>
      <c r="E129" s="20" t="n">
        <f aca="false">SUM(Wk1:Wk52!H141:H141)</f>
        <v>0</v>
      </c>
      <c r="F129" s="20" t="n">
        <f aca="false">SUM(Wk1:Wk52!M141:M141)</f>
        <v>0</v>
      </c>
      <c r="G129" s="20" t="n">
        <f aca="false">SUM(Wk1:Wk52!K141:K141)</f>
        <v>0</v>
      </c>
      <c r="H129" s="37" t="n">
        <f aca="false">COUNTIF('Weekly Summary'!$F$2:$F$53,"&gt;0")</f>
        <v>0</v>
      </c>
      <c r="I129" s="46" t="str">
        <f aca="false">IFERROR(C129/H129,"")</f>
        <v/>
      </c>
      <c r="J129" s="46" t="str">
        <f aca="false">IFERROR(D129/H129,"")</f>
        <v/>
      </c>
      <c r="K129" s="20" t="str">
        <f aca="false">IFERROR(E129/H129,"")</f>
        <v/>
      </c>
      <c r="L129" s="36" t="str">
        <f aca="false">IFERROR(D129/C129,"")</f>
        <v/>
      </c>
    </row>
    <row r="130" customFormat="false" ht="15" hidden="false" customHeight="false" outlineLevel="0" collapsed="false">
      <c r="A130" s="12" t="str">
        <f aca="false">TEXT(Setup!$C$5+6,"dddd")</f>
        <v>Sunday</v>
      </c>
      <c r="B130" s="12" t="s">
        <v>94</v>
      </c>
      <c r="C130" s="37" t="n">
        <f aca="false">SUM(Wk1:Wk52!D142:D142)</f>
        <v>0</v>
      </c>
      <c r="D130" s="37" t="n">
        <f aca="false">SUM(Wk1:Wk52!E142:E142)</f>
        <v>0</v>
      </c>
      <c r="E130" s="20" t="n">
        <f aca="false">SUM(Wk1:Wk52!H142:H142)</f>
        <v>0</v>
      </c>
      <c r="F130" s="20" t="n">
        <f aca="false">SUM(Wk1:Wk52!M142:M142)</f>
        <v>0</v>
      </c>
      <c r="G130" s="20" t="n">
        <f aca="false">SUM(Wk1:Wk52!K142:K142)</f>
        <v>0</v>
      </c>
      <c r="H130" s="37" t="n">
        <f aca="false">COUNTIF('Weekly Summary'!$F$2:$F$53,"&gt;0")</f>
        <v>0</v>
      </c>
      <c r="I130" s="46" t="str">
        <f aca="false">IFERROR(C130/H130,"")</f>
        <v/>
      </c>
      <c r="J130" s="46" t="str">
        <f aca="false">IFERROR(D130/H130,"")</f>
        <v/>
      </c>
      <c r="K130" s="20" t="str">
        <f aca="false">IFERROR(E130/H130,"")</f>
        <v/>
      </c>
      <c r="L130" s="36" t="str">
        <f aca="false">IFERROR(D130/C130,"")</f>
        <v/>
      </c>
    </row>
    <row r="131" customFormat="false" ht="15" hidden="false" customHeight="false" outlineLevel="0" collapsed="false">
      <c r="A131" s="12" t="str">
        <f aca="false">TEXT(Setup!$C$5+6,"dddd")</f>
        <v>Sunday</v>
      </c>
      <c r="B131" s="12" t="s">
        <v>95</v>
      </c>
      <c r="C131" s="37" t="n">
        <f aca="false">SUM(Wk1:Wk52!D143:D143)</f>
        <v>0</v>
      </c>
      <c r="D131" s="37" t="n">
        <f aca="false">SUM(Wk1:Wk52!E143:E143)</f>
        <v>0</v>
      </c>
      <c r="E131" s="20" t="n">
        <f aca="false">SUM(Wk1:Wk52!H143:H143)</f>
        <v>0</v>
      </c>
      <c r="F131" s="20" t="n">
        <f aca="false">SUM(Wk1:Wk52!M143:M143)</f>
        <v>0</v>
      </c>
      <c r="G131" s="20" t="n">
        <f aca="false">SUM(Wk1:Wk52!K143:K143)</f>
        <v>0</v>
      </c>
      <c r="H131" s="37" t="n">
        <f aca="false">COUNTIF('Weekly Summary'!$F$2:$F$53,"&gt;0")</f>
        <v>0</v>
      </c>
      <c r="I131" s="46" t="str">
        <f aca="false">IFERROR(C131/H131,"")</f>
        <v/>
      </c>
      <c r="J131" s="46" t="str">
        <f aca="false">IFERROR(D131/H131,"")</f>
        <v/>
      </c>
      <c r="K131" s="20" t="str">
        <f aca="false">IFERROR(E131/H131,"")</f>
        <v/>
      </c>
      <c r="L131" s="36" t="str">
        <f aca="false">IFERROR(D131/C131,"")</f>
        <v/>
      </c>
    </row>
    <row r="132" customFormat="false" ht="15" hidden="false" customHeight="false" outlineLevel="0" collapsed="false">
      <c r="A132" s="12" t="str">
        <f aca="false">TEXT(Setup!$C$5+6,"dddd")</f>
        <v>Sunday</v>
      </c>
      <c r="B132" s="12" t="s">
        <v>96</v>
      </c>
      <c r="C132" s="37" t="n">
        <f aca="false">SUM(Wk1:Wk52!D144:D144)</f>
        <v>0</v>
      </c>
      <c r="D132" s="37" t="n">
        <f aca="false">SUM(Wk1:Wk52!E144:E144)</f>
        <v>0</v>
      </c>
      <c r="E132" s="20" t="n">
        <f aca="false">SUM(Wk1:Wk52!H144:H144)</f>
        <v>0</v>
      </c>
      <c r="F132" s="20" t="n">
        <f aca="false">SUM(Wk1:Wk52!M144:M144)</f>
        <v>0</v>
      </c>
      <c r="G132" s="20" t="n">
        <f aca="false">SUM(Wk1:Wk52!K144:K144)</f>
        <v>0</v>
      </c>
      <c r="H132" s="37" t="n">
        <f aca="false">COUNTIF('Weekly Summary'!$F$2:$F$53,"&gt;0")</f>
        <v>0</v>
      </c>
      <c r="I132" s="46" t="str">
        <f aca="false">IFERROR(C132/H132,"")</f>
        <v/>
      </c>
      <c r="J132" s="46" t="str">
        <f aca="false">IFERROR(D132/H132,"")</f>
        <v/>
      </c>
      <c r="K132" s="20" t="str">
        <f aca="false">IFERROR(E132/H132,"")</f>
        <v/>
      </c>
      <c r="L132" s="36" t="str">
        <f aca="false">IFERROR(D132/C132,"")</f>
        <v/>
      </c>
    </row>
    <row r="133" customFormat="false" ht="15" hidden="false" customHeight="false" outlineLevel="0" collapsed="false">
      <c r="A133" s="12" t="str">
        <f aca="false">TEXT(Setup!$C$5+6,"dddd")</f>
        <v>Sunday</v>
      </c>
      <c r="B133" s="12" t="s">
        <v>97</v>
      </c>
      <c r="C133" s="37" t="n">
        <f aca="false">SUM(Wk1:Wk52!D145:D145)</f>
        <v>0</v>
      </c>
      <c r="D133" s="37" t="n">
        <f aca="false">SUM(Wk1:Wk52!E145:E145)</f>
        <v>0</v>
      </c>
      <c r="E133" s="20" t="n">
        <f aca="false">SUM(Wk1:Wk52!H145:H145)</f>
        <v>0</v>
      </c>
      <c r="F133" s="20" t="n">
        <f aca="false">SUM(Wk1:Wk52!M145:M145)</f>
        <v>0</v>
      </c>
      <c r="G133" s="20" t="n">
        <f aca="false">SUM(Wk1:Wk52!K145:K145)</f>
        <v>0</v>
      </c>
      <c r="H133" s="37" t="n">
        <f aca="false">COUNTIF('Weekly Summary'!$F$2:$F$53,"&gt;0")</f>
        <v>0</v>
      </c>
      <c r="I133" s="46" t="str">
        <f aca="false">IFERROR(C133/H133,"")</f>
        <v/>
      </c>
      <c r="J133" s="46" t="str">
        <f aca="false">IFERROR(D133/H133,"")</f>
        <v/>
      </c>
      <c r="K133" s="20" t="str">
        <f aca="false">IFERROR(E133/H133,"")</f>
        <v/>
      </c>
      <c r="L133" s="36" t="str">
        <f aca="false">IFERROR(D133/C133,"")</f>
        <v/>
      </c>
    </row>
    <row r="134" customFormat="false" ht="15" hidden="false" customHeight="false" outlineLevel="0" collapsed="false">
      <c r="A134" s="12" t="str">
        <f aca="false">TEXT(Setup!$C$5+6,"dddd")</f>
        <v>Sunday</v>
      </c>
      <c r="B134" s="12" t="s">
        <v>98</v>
      </c>
      <c r="C134" s="37" t="n">
        <f aca="false">SUM(Wk1:Wk52!D146:D146)</f>
        <v>0</v>
      </c>
      <c r="D134" s="37" t="n">
        <f aca="false">SUM(Wk1:Wk52!E146:E146)</f>
        <v>0</v>
      </c>
      <c r="E134" s="20" t="n">
        <f aca="false">SUM(Wk1:Wk52!H146:H146)</f>
        <v>0</v>
      </c>
      <c r="F134" s="20" t="n">
        <f aca="false">SUM(Wk1:Wk52!M146:M146)</f>
        <v>0</v>
      </c>
      <c r="G134" s="20" t="n">
        <f aca="false">SUM(Wk1:Wk52!K146:K146)</f>
        <v>0</v>
      </c>
      <c r="H134" s="37" t="n">
        <f aca="false">COUNTIF('Weekly Summary'!$F$2:$F$53,"&gt;0")</f>
        <v>0</v>
      </c>
      <c r="I134" s="46" t="str">
        <f aca="false">IFERROR(C134/H134,"")</f>
        <v/>
      </c>
      <c r="J134" s="46" t="str">
        <f aca="false">IFERROR(D134/H134,"")</f>
        <v/>
      </c>
      <c r="K134" s="20" t="str">
        <f aca="false">IFERROR(E134/H134,"")</f>
        <v/>
      </c>
      <c r="L134" s="36" t="str">
        <f aca="false">IFERROR(D134/C134,"")</f>
        <v/>
      </c>
    </row>
    <row r="135" customFormat="false" ht="15" hidden="false" customHeight="false" outlineLevel="0" collapsed="false">
      <c r="A135" s="12" t="str">
        <f aca="false">TEXT(Setup!$C$5+6,"dddd")</f>
        <v>Sunday</v>
      </c>
      <c r="B135" s="12" t="s">
        <v>99</v>
      </c>
      <c r="C135" s="37" t="n">
        <f aca="false">SUM(Wk1:Wk52!D147:D147)</f>
        <v>0</v>
      </c>
      <c r="D135" s="37" t="n">
        <f aca="false">SUM(Wk1:Wk52!E147:E147)</f>
        <v>0</v>
      </c>
      <c r="E135" s="20" t="n">
        <f aca="false">SUM(Wk1:Wk52!H147:H147)</f>
        <v>0</v>
      </c>
      <c r="F135" s="20" t="n">
        <f aca="false">SUM(Wk1:Wk52!M147:M147)</f>
        <v>0</v>
      </c>
      <c r="G135" s="20" t="n">
        <f aca="false">SUM(Wk1:Wk52!K147:K147)</f>
        <v>0</v>
      </c>
      <c r="H135" s="37" t="n">
        <f aca="false">COUNTIF('Weekly Summary'!$F$2:$F$53,"&gt;0")</f>
        <v>0</v>
      </c>
      <c r="I135" s="46" t="str">
        <f aca="false">IFERROR(C135/H135,"")</f>
        <v/>
      </c>
      <c r="J135" s="46" t="str">
        <f aca="false">IFERROR(D135/H135,"")</f>
        <v/>
      </c>
      <c r="K135" s="20" t="str">
        <f aca="false">IFERROR(E135/H135,"")</f>
        <v/>
      </c>
      <c r="L135" s="36" t="str">
        <f aca="false">IFERROR(D135/C135,"")</f>
        <v/>
      </c>
    </row>
    <row r="136" customFormat="false" ht="15" hidden="false" customHeight="false" outlineLevel="0" collapsed="false">
      <c r="A136" s="12" t="str">
        <f aca="false">TEXT(Setup!$C$5+6,"dddd")</f>
        <v>Sunday</v>
      </c>
      <c r="B136" s="12" t="s">
        <v>100</v>
      </c>
      <c r="C136" s="37" t="n">
        <f aca="false">SUM(Wk1:Wk52!D148:D148)</f>
        <v>0</v>
      </c>
      <c r="D136" s="37" t="n">
        <f aca="false">SUM(Wk1:Wk52!E148:E148)</f>
        <v>0</v>
      </c>
      <c r="E136" s="20" t="n">
        <f aca="false">SUM(Wk1:Wk52!H148:H148)</f>
        <v>0</v>
      </c>
      <c r="F136" s="20" t="n">
        <f aca="false">SUM(Wk1:Wk52!M148:M148)</f>
        <v>0</v>
      </c>
      <c r="G136" s="20" t="n">
        <f aca="false">SUM(Wk1:Wk52!K148:K148)</f>
        <v>0</v>
      </c>
      <c r="H136" s="37" t="n">
        <f aca="false">COUNTIF('Weekly Summary'!$F$2:$F$53,"&gt;0")</f>
        <v>0</v>
      </c>
      <c r="I136" s="46" t="str">
        <f aca="false">IFERROR(C136/H136,"")</f>
        <v/>
      </c>
      <c r="J136" s="46" t="str">
        <f aca="false">IFERROR(D136/H136,"")</f>
        <v/>
      </c>
      <c r="K136" s="20" t="str">
        <f aca="false">IFERROR(E136/H136,"")</f>
        <v/>
      </c>
      <c r="L136" s="36" t="str">
        <f aca="false">IFERROR(D136/C136,"")</f>
        <v/>
      </c>
    </row>
    <row r="137" customFormat="false" ht="15" hidden="false" customHeight="false" outlineLevel="0" collapsed="false">
      <c r="A137" s="12" t="str">
        <f aca="false">TEXT(Setup!$C$5+6,"dddd")</f>
        <v>Sunday</v>
      </c>
      <c r="B137" s="12" t="s">
        <v>101</v>
      </c>
      <c r="C137" s="37" t="n">
        <f aca="false">SUM(Wk1:Wk52!D149:D149)</f>
        <v>0</v>
      </c>
      <c r="D137" s="37" t="n">
        <f aca="false">SUM(Wk1:Wk52!E149:E149)</f>
        <v>0</v>
      </c>
      <c r="E137" s="20" t="n">
        <f aca="false">SUM(Wk1:Wk52!H149:H149)</f>
        <v>0</v>
      </c>
      <c r="F137" s="20" t="n">
        <f aca="false">SUM(Wk1:Wk52!M149:M149)</f>
        <v>0</v>
      </c>
      <c r="G137" s="20" t="n">
        <f aca="false">SUM(Wk1:Wk52!K149:K149)</f>
        <v>0</v>
      </c>
      <c r="H137" s="37" t="n">
        <f aca="false">COUNTIF('Weekly Summary'!$F$2:$F$53,"&gt;0")</f>
        <v>0</v>
      </c>
      <c r="I137" s="46" t="str">
        <f aca="false">IFERROR(C137/H137,"")</f>
        <v/>
      </c>
      <c r="J137" s="46" t="str">
        <f aca="false">IFERROR(D137/H137,"")</f>
        <v/>
      </c>
      <c r="K137" s="20" t="str">
        <f aca="false">IFERROR(E137/H137,"")</f>
        <v/>
      </c>
      <c r="L137" s="36" t="str">
        <f aca="false">IFERROR(D137/C137,"")</f>
        <v/>
      </c>
    </row>
    <row r="138" customFormat="false" ht="15" hidden="false" customHeight="false" outlineLevel="0" collapsed="false">
      <c r="A138" s="12" t="str">
        <f aca="false">TEXT(Setup!$C$5+6,"dddd")</f>
        <v>Sunday</v>
      </c>
      <c r="B138" s="12" t="s">
        <v>102</v>
      </c>
      <c r="C138" s="37" t="n">
        <f aca="false">SUM(Wk1:Wk52!D150:D150)</f>
        <v>0</v>
      </c>
      <c r="D138" s="37" t="n">
        <f aca="false">SUM(Wk1:Wk52!E150:E150)</f>
        <v>0</v>
      </c>
      <c r="E138" s="20" t="n">
        <f aca="false">SUM(Wk1:Wk52!H150:H150)</f>
        <v>0</v>
      </c>
      <c r="F138" s="20" t="n">
        <f aca="false">SUM(Wk1:Wk52!M150:M150)</f>
        <v>0</v>
      </c>
      <c r="G138" s="20" t="n">
        <f aca="false">SUM(Wk1:Wk52!K150:K150)</f>
        <v>0</v>
      </c>
      <c r="H138" s="37" t="n">
        <f aca="false">COUNTIF('Weekly Summary'!$F$2:$F$53,"&gt;0")</f>
        <v>0</v>
      </c>
      <c r="I138" s="46" t="str">
        <f aca="false">IFERROR(C138/H138,"")</f>
        <v/>
      </c>
      <c r="J138" s="46" t="str">
        <f aca="false">IFERROR(D138/H138,"")</f>
        <v/>
      </c>
      <c r="K138" s="20" t="str">
        <f aca="false">IFERROR(E138/H138,"")</f>
        <v/>
      </c>
      <c r="L138" s="36" t="str">
        <f aca="false">IFERROR(D138/C138,"")</f>
        <v/>
      </c>
    </row>
    <row r="139" customFormat="false" ht="15" hidden="false" customHeight="false" outlineLevel="0" collapsed="false">
      <c r="A139" s="12" t="str">
        <f aca="false">TEXT(Setup!$C$5+6,"dddd")</f>
        <v>Sunday</v>
      </c>
      <c r="B139" s="12" t="s">
        <v>103</v>
      </c>
      <c r="C139" s="37" t="n">
        <f aca="false">SUM(Wk1:Wk52!D151:D151)</f>
        <v>0</v>
      </c>
      <c r="D139" s="37" t="n">
        <f aca="false">SUM(Wk1:Wk52!E151:E151)</f>
        <v>0</v>
      </c>
      <c r="E139" s="20" t="n">
        <f aca="false">SUM(Wk1:Wk52!H151:H151)</f>
        <v>0</v>
      </c>
      <c r="F139" s="20" t="n">
        <f aca="false">SUM(Wk1:Wk52!M151:M151)</f>
        <v>0</v>
      </c>
      <c r="G139" s="20" t="n">
        <f aca="false">SUM(Wk1:Wk52!K151:K151)</f>
        <v>0</v>
      </c>
      <c r="H139" s="37" t="n">
        <f aca="false">COUNTIF('Weekly Summary'!$F$2:$F$53,"&gt;0")</f>
        <v>0</v>
      </c>
      <c r="I139" s="46" t="str">
        <f aca="false">IFERROR(C139/H139,"")</f>
        <v/>
      </c>
      <c r="J139" s="46" t="str">
        <f aca="false">IFERROR(D139/H139,"")</f>
        <v/>
      </c>
      <c r="K139" s="20" t="str">
        <f aca="false">IFERROR(E139/H139,"")</f>
        <v/>
      </c>
      <c r="L139" s="36" t="str">
        <f aca="false">IFERROR(D139/C139,"")</f>
        <v/>
      </c>
    </row>
    <row r="140" customFormat="false" ht="15" hidden="false" customHeight="false" outlineLevel="0" collapsed="false">
      <c r="A140" s="12" t="str">
        <f aca="false">TEXT(Setup!$C$5+6,"dddd")</f>
        <v>Sunday</v>
      </c>
      <c r="B140" s="12" t="s">
        <v>104</v>
      </c>
      <c r="C140" s="37" t="n">
        <f aca="false">SUM(Wk1:Wk52!D152:D152)</f>
        <v>0</v>
      </c>
      <c r="D140" s="37" t="n">
        <f aca="false">SUM(Wk1:Wk52!E152:E152)</f>
        <v>0</v>
      </c>
      <c r="E140" s="20" t="n">
        <f aca="false">SUM(Wk1:Wk52!H152:H152)</f>
        <v>0</v>
      </c>
      <c r="F140" s="20" t="n">
        <f aca="false">SUM(Wk1:Wk52!M152:M152)</f>
        <v>0</v>
      </c>
      <c r="G140" s="20" t="n">
        <f aca="false">SUM(Wk1:Wk52!K152:K152)</f>
        <v>0</v>
      </c>
      <c r="H140" s="37" t="n">
        <f aca="false">COUNTIF('Weekly Summary'!$F$2:$F$53,"&gt;0")</f>
        <v>0</v>
      </c>
      <c r="I140" s="46" t="str">
        <f aca="false">IFERROR(C140/H140,"")</f>
        <v/>
      </c>
      <c r="J140" s="46" t="str">
        <f aca="false">IFERROR(D140/H140,"")</f>
        <v/>
      </c>
      <c r="K140" s="20" t="str">
        <f aca="false">IFERROR(E140/H140,"")</f>
        <v/>
      </c>
      <c r="L140" s="36" t="str">
        <f aca="false">IFERROR(D140/C140,"")</f>
        <v/>
      </c>
    </row>
    <row r="141" customFormat="false" ht="15" hidden="false" customHeight="false" outlineLevel="0" collapsed="false">
      <c r="A141" s="12" t="str">
        <f aca="false">TEXT(Setup!$C$5+6,"dddd")</f>
        <v>Sunday</v>
      </c>
      <c r="B141" s="12" t="s">
        <v>105</v>
      </c>
      <c r="C141" s="37" t="n">
        <f aca="false">SUM(Wk1:Wk52!D153:D153)</f>
        <v>0</v>
      </c>
      <c r="D141" s="37" t="n">
        <f aca="false">SUM(Wk1:Wk52!E153:E153)</f>
        <v>0</v>
      </c>
      <c r="E141" s="20" t="n">
        <f aca="false">SUM(Wk1:Wk52!H153:H153)</f>
        <v>0</v>
      </c>
      <c r="F141" s="20" t="n">
        <f aca="false">SUM(Wk1:Wk52!M153:M153)</f>
        <v>0</v>
      </c>
      <c r="G141" s="20" t="n">
        <f aca="false">SUM(Wk1:Wk52!K153:K153)</f>
        <v>0</v>
      </c>
      <c r="H141" s="37" t="n">
        <f aca="false">COUNTIF('Weekly Summary'!$F$2:$F$53,"&gt;0")</f>
        <v>0</v>
      </c>
      <c r="I141" s="46" t="str">
        <f aca="false">IFERROR(C141/H141,"")</f>
        <v/>
      </c>
      <c r="J141" s="46" t="str">
        <f aca="false">IFERROR(D141/H141,"")</f>
        <v/>
      </c>
      <c r="K141" s="20" t="str">
        <f aca="false">IFERROR(E141/H141,"")</f>
        <v/>
      </c>
      <c r="L141" s="36" t="str">
        <f aca="false">IFERROR(D141/C141,"")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642C"/>
    <pageSetUpPr fitToPage="false"/>
  </sheetPr>
  <dimension ref="A1:D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</cols>
  <sheetData>
    <row r="1" customFormat="false" ht="19.7" hidden="false" customHeight="false" outlineLevel="0" collapsed="false">
      <c r="A1" s="1" t="s">
        <v>221</v>
      </c>
    </row>
    <row r="2" customFormat="false" ht="15" hidden="false" customHeight="false" outlineLevel="0" collapsed="false">
      <c r="A2" s="5" t="s">
        <v>222</v>
      </c>
    </row>
    <row r="3" customFormat="false" ht="15" hidden="false" customHeight="false" outlineLevel="0" collapsed="false">
      <c r="A3" s="5" t="s">
        <v>223</v>
      </c>
    </row>
    <row r="5" customFormat="false" ht="15" hidden="false" customHeight="false" outlineLevel="0" collapsed="false">
      <c r="A5" s="39" t="s">
        <v>115</v>
      </c>
      <c r="B5" s="39" t="s">
        <v>68</v>
      </c>
      <c r="C5" s="39" t="s">
        <v>117</v>
      </c>
      <c r="D5" s="39" t="s">
        <v>121</v>
      </c>
    </row>
    <row r="6" customFormat="false" ht="15" hidden="false" customHeight="false" outlineLevel="0" collapsed="false">
      <c r="A6" s="12" t="s">
        <v>123</v>
      </c>
      <c r="B6" s="13" t="n">
        <f aca="false">Setup!$C$11+0</f>
        <v>45663</v>
      </c>
      <c r="C6" s="47"/>
      <c r="D6" s="48"/>
    </row>
    <row r="7" customFormat="false" ht="15" hidden="false" customHeight="false" outlineLevel="0" collapsed="false">
      <c r="A7" s="12" t="s">
        <v>123</v>
      </c>
      <c r="B7" s="13" t="n">
        <f aca="false">Setup!$C$11+1</f>
        <v>45664</v>
      </c>
      <c r="C7" s="47"/>
      <c r="D7" s="48"/>
    </row>
    <row r="8" customFormat="false" ht="15" hidden="false" customHeight="false" outlineLevel="0" collapsed="false">
      <c r="A8" s="12" t="s">
        <v>123</v>
      </c>
      <c r="B8" s="13" t="n">
        <f aca="false">Setup!$C$11+2</f>
        <v>45665</v>
      </c>
      <c r="C8" s="47"/>
      <c r="D8" s="48"/>
    </row>
    <row r="9" customFormat="false" ht="15" hidden="false" customHeight="false" outlineLevel="0" collapsed="false">
      <c r="A9" s="12" t="s">
        <v>123</v>
      </c>
      <c r="B9" s="13" t="n">
        <f aca="false">Setup!$C$11+3</f>
        <v>45666</v>
      </c>
      <c r="C9" s="47"/>
      <c r="D9" s="48"/>
    </row>
    <row r="10" customFormat="false" ht="15" hidden="false" customHeight="false" outlineLevel="0" collapsed="false">
      <c r="A10" s="12" t="s">
        <v>123</v>
      </c>
      <c r="B10" s="13" t="n">
        <f aca="false">Setup!$C$11+4</f>
        <v>45667</v>
      </c>
      <c r="C10" s="47"/>
      <c r="D10" s="48"/>
    </row>
    <row r="11" customFormat="false" ht="15" hidden="false" customHeight="false" outlineLevel="0" collapsed="false">
      <c r="A11" s="12" t="s">
        <v>123</v>
      </c>
      <c r="B11" s="13" t="n">
        <f aca="false">Setup!$C$11+5</f>
        <v>45668</v>
      </c>
      <c r="C11" s="47"/>
      <c r="D11" s="48"/>
    </row>
    <row r="12" customFormat="false" ht="15" hidden="false" customHeight="false" outlineLevel="0" collapsed="false">
      <c r="A12" s="12" t="s">
        <v>123</v>
      </c>
      <c r="B12" s="13" t="n">
        <f aca="false">Setup!$C$11+6</f>
        <v>45669</v>
      </c>
      <c r="C12" s="47"/>
      <c r="D12" s="48"/>
    </row>
    <row r="13" customFormat="false" ht="15" hidden="false" customHeight="false" outlineLevel="0" collapsed="false">
      <c r="A13" s="12" t="s">
        <v>124</v>
      </c>
      <c r="B13" s="13" t="n">
        <f aca="false">Setup!$C$11+7</f>
        <v>45670</v>
      </c>
      <c r="C13" s="47"/>
      <c r="D13" s="48"/>
    </row>
    <row r="14" customFormat="false" ht="15" hidden="false" customHeight="false" outlineLevel="0" collapsed="false">
      <c r="A14" s="12" t="s">
        <v>124</v>
      </c>
      <c r="B14" s="13" t="n">
        <f aca="false">Setup!$C$11+8</f>
        <v>45671</v>
      </c>
      <c r="C14" s="47"/>
      <c r="D14" s="48"/>
    </row>
    <row r="15" customFormat="false" ht="15" hidden="false" customHeight="false" outlineLevel="0" collapsed="false">
      <c r="A15" s="12" t="s">
        <v>124</v>
      </c>
      <c r="B15" s="13" t="n">
        <f aca="false">Setup!$C$11+9</f>
        <v>45672</v>
      </c>
      <c r="C15" s="47"/>
      <c r="D15" s="48"/>
    </row>
    <row r="16" customFormat="false" ht="15" hidden="false" customHeight="false" outlineLevel="0" collapsed="false">
      <c r="A16" s="12" t="s">
        <v>124</v>
      </c>
      <c r="B16" s="13" t="n">
        <f aca="false">Setup!$C$11+10</f>
        <v>45673</v>
      </c>
      <c r="C16" s="47"/>
      <c r="D16" s="48"/>
    </row>
    <row r="17" customFormat="false" ht="15" hidden="false" customHeight="false" outlineLevel="0" collapsed="false">
      <c r="A17" s="12" t="s">
        <v>124</v>
      </c>
      <c r="B17" s="13" t="n">
        <f aca="false">Setup!$C$11+11</f>
        <v>45674</v>
      </c>
      <c r="C17" s="47"/>
      <c r="D17" s="48"/>
    </row>
    <row r="18" customFormat="false" ht="15" hidden="false" customHeight="false" outlineLevel="0" collapsed="false">
      <c r="A18" s="12" t="s">
        <v>124</v>
      </c>
      <c r="B18" s="13" t="n">
        <f aca="false">Setup!$C$11+12</f>
        <v>45675</v>
      </c>
      <c r="C18" s="47"/>
      <c r="D18" s="48"/>
    </row>
    <row r="19" customFormat="false" ht="15" hidden="false" customHeight="false" outlineLevel="0" collapsed="false">
      <c r="A19" s="12" t="s">
        <v>124</v>
      </c>
      <c r="B19" s="13" t="n">
        <f aca="false">Setup!$C$11+13</f>
        <v>45676</v>
      </c>
      <c r="C19" s="47"/>
      <c r="D19" s="48"/>
    </row>
    <row r="20" customFormat="false" ht="15" hidden="false" customHeight="false" outlineLevel="0" collapsed="false">
      <c r="A20" s="12" t="s">
        <v>125</v>
      </c>
      <c r="B20" s="13" t="n">
        <f aca="false">Setup!$C$11+14</f>
        <v>45677</v>
      </c>
      <c r="C20" s="47"/>
      <c r="D20" s="48"/>
    </row>
    <row r="21" customFormat="false" ht="15" hidden="false" customHeight="false" outlineLevel="0" collapsed="false">
      <c r="A21" s="12" t="s">
        <v>125</v>
      </c>
      <c r="B21" s="13" t="n">
        <f aca="false">Setup!$C$11+15</f>
        <v>45678</v>
      </c>
      <c r="C21" s="47"/>
      <c r="D21" s="48"/>
    </row>
    <row r="22" customFormat="false" ht="15" hidden="false" customHeight="false" outlineLevel="0" collapsed="false">
      <c r="A22" s="12" t="s">
        <v>125</v>
      </c>
      <c r="B22" s="13" t="n">
        <f aca="false">Setup!$C$11+16</f>
        <v>45679</v>
      </c>
      <c r="C22" s="47"/>
      <c r="D22" s="48"/>
    </row>
    <row r="23" customFormat="false" ht="15" hidden="false" customHeight="false" outlineLevel="0" collapsed="false">
      <c r="A23" s="12" t="s">
        <v>125</v>
      </c>
      <c r="B23" s="13" t="n">
        <f aca="false">Setup!$C$11+17</f>
        <v>45680</v>
      </c>
      <c r="C23" s="47"/>
      <c r="D23" s="48"/>
    </row>
    <row r="24" customFormat="false" ht="15" hidden="false" customHeight="false" outlineLevel="0" collapsed="false">
      <c r="A24" s="12" t="s">
        <v>125</v>
      </c>
      <c r="B24" s="13" t="n">
        <f aca="false">Setup!$C$11+18</f>
        <v>45681</v>
      </c>
      <c r="C24" s="47"/>
      <c r="D24" s="48"/>
    </row>
    <row r="25" customFormat="false" ht="15" hidden="false" customHeight="false" outlineLevel="0" collapsed="false">
      <c r="A25" s="12" t="s">
        <v>125</v>
      </c>
      <c r="B25" s="13" t="n">
        <f aca="false">Setup!$C$11+19</f>
        <v>45682</v>
      </c>
      <c r="C25" s="47"/>
      <c r="D25" s="48"/>
    </row>
    <row r="26" customFormat="false" ht="15" hidden="false" customHeight="false" outlineLevel="0" collapsed="false">
      <c r="A26" s="12" t="s">
        <v>125</v>
      </c>
      <c r="B26" s="13" t="n">
        <f aca="false">Setup!$C$11+20</f>
        <v>45683</v>
      </c>
      <c r="C26" s="47"/>
      <c r="D26" s="48"/>
    </row>
    <row r="27" customFormat="false" ht="15" hidden="false" customHeight="false" outlineLevel="0" collapsed="false">
      <c r="A27" s="12" t="s">
        <v>126</v>
      </c>
      <c r="B27" s="13" t="n">
        <f aca="false">Setup!$C$11+21</f>
        <v>45684</v>
      </c>
      <c r="C27" s="47"/>
      <c r="D27" s="48"/>
    </row>
    <row r="28" customFormat="false" ht="15" hidden="false" customHeight="false" outlineLevel="0" collapsed="false">
      <c r="A28" s="12" t="s">
        <v>126</v>
      </c>
      <c r="B28" s="13" t="n">
        <f aca="false">Setup!$C$11+22</f>
        <v>45685</v>
      </c>
      <c r="C28" s="47"/>
      <c r="D28" s="48"/>
    </row>
    <row r="29" customFormat="false" ht="15" hidden="false" customHeight="false" outlineLevel="0" collapsed="false">
      <c r="A29" s="12" t="s">
        <v>126</v>
      </c>
      <c r="B29" s="13" t="n">
        <f aca="false">Setup!$C$11+23</f>
        <v>45686</v>
      </c>
      <c r="C29" s="47"/>
      <c r="D29" s="48"/>
    </row>
    <row r="30" customFormat="false" ht="15" hidden="false" customHeight="false" outlineLevel="0" collapsed="false">
      <c r="A30" s="12" t="s">
        <v>126</v>
      </c>
      <c r="B30" s="13" t="n">
        <f aca="false">Setup!$C$11+24</f>
        <v>45687</v>
      </c>
      <c r="C30" s="47"/>
      <c r="D30" s="48"/>
    </row>
    <row r="31" customFormat="false" ht="15" hidden="false" customHeight="false" outlineLevel="0" collapsed="false">
      <c r="A31" s="12" t="s">
        <v>126</v>
      </c>
      <c r="B31" s="13" t="n">
        <f aca="false">Setup!$C$11+25</f>
        <v>45688</v>
      </c>
      <c r="C31" s="47"/>
      <c r="D31" s="48"/>
    </row>
    <row r="32" customFormat="false" ht="15" hidden="false" customHeight="false" outlineLevel="0" collapsed="false">
      <c r="A32" s="12" t="s">
        <v>126</v>
      </c>
      <c r="B32" s="13" t="n">
        <f aca="false">Setup!$C$11+26</f>
        <v>45689</v>
      </c>
      <c r="C32" s="47"/>
      <c r="D32" s="48"/>
    </row>
    <row r="33" customFormat="false" ht="15" hidden="false" customHeight="false" outlineLevel="0" collapsed="false">
      <c r="A33" s="12" t="s">
        <v>126</v>
      </c>
      <c r="B33" s="13" t="n">
        <f aca="false">Setup!$C$11+27</f>
        <v>45690</v>
      </c>
      <c r="C33" s="47"/>
      <c r="D33" s="48"/>
    </row>
    <row r="34" customFormat="false" ht="15" hidden="false" customHeight="false" outlineLevel="0" collapsed="false">
      <c r="A34" s="12" t="s">
        <v>127</v>
      </c>
      <c r="B34" s="13" t="n">
        <f aca="false">Setup!$C$11+28</f>
        <v>45691</v>
      </c>
      <c r="C34" s="47"/>
      <c r="D34" s="48"/>
    </row>
    <row r="35" customFormat="false" ht="15" hidden="false" customHeight="false" outlineLevel="0" collapsed="false">
      <c r="A35" s="12" t="s">
        <v>127</v>
      </c>
      <c r="B35" s="13" t="n">
        <f aca="false">Setup!$C$11+29</f>
        <v>45692</v>
      </c>
      <c r="C35" s="47"/>
      <c r="D35" s="48"/>
    </row>
    <row r="36" customFormat="false" ht="15" hidden="false" customHeight="false" outlineLevel="0" collapsed="false">
      <c r="A36" s="12" t="s">
        <v>127</v>
      </c>
      <c r="B36" s="13" t="n">
        <f aca="false">Setup!$C$11+30</f>
        <v>45693</v>
      </c>
      <c r="C36" s="47"/>
      <c r="D36" s="48"/>
    </row>
    <row r="37" customFormat="false" ht="15" hidden="false" customHeight="false" outlineLevel="0" collapsed="false">
      <c r="A37" s="12" t="s">
        <v>127</v>
      </c>
      <c r="B37" s="13" t="n">
        <f aca="false">Setup!$C$11+31</f>
        <v>45694</v>
      </c>
      <c r="C37" s="47"/>
      <c r="D37" s="48"/>
    </row>
    <row r="38" customFormat="false" ht="15" hidden="false" customHeight="false" outlineLevel="0" collapsed="false">
      <c r="A38" s="12" t="s">
        <v>127</v>
      </c>
      <c r="B38" s="13" t="n">
        <f aca="false">Setup!$C$11+32</f>
        <v>45695</v>
      </c>
      <c r="C38" s="47"/>
      <c r="D38" s="48"/>
    </row>
    <row r="39" customFormat="false" ht="15" hidden="false" customHeight="false" outlineLevel="0" collapsed="false">
      <c r="A39" s="12" t="s">
        <v>127</v>
      </c>
      <c r="B39" s="13" t="n">
        <f aca="false">Setup!$C$11+33</f>
        <v>45696</v>
      </c>
      <c r="C39" s="47"/>
      <c r="D39" s="48"/>
    </row>
    <row r="40" customFormat="false" ht="15" hidden="false" customHeight="false" outlineLevel="0" collapsed="false">
      <c r="A40" s="12" t="s">
        <v>127</v>
      </c>
      <c r="B40" s="13" t="n">
        <f aca="false">Setup!$C$11+34</f>
        <v>45697</v>
      </c>
      <c r="C40" s="47"/>
      <c r="D40" s="48"/>
    </row>
    <row r="41" customFormat="false" ht="15" hidden="false" customHeight="false" outlineLevel="0" collapsed="false">
      <c r="A41" s="12" t="s">
        <v>128</v>
      </c>
      <c r="B41" s="13" t="n">
        <f aca="false">Setup!$C$11+35</f>
        <v>45698</v>
      </c>
      <c r="C41" s="47"/>
      <c r="D41" s="48"/>
    </row>
    <row r="42" customFormat="false" ht="15" hidden="false" customHeight="false" outlineLevel="0" collapsed="false">
      <c r="A42" s="12" t="s">
        <v>128</v>
      </c>
      <c r="B42" s="13" t="n">
        <f aca="false">Setup!$C$11+36</f>
        <v>45699</v>
      </c>
      <c r="C42" s="47"/>
      <c r="D42" s="48"/>
    </row>
    <row r="43" customFormat="false" ht="15" hidden="false" customHeight="false" outlineLevel="0" collapsed="false">
      <c r="A43" s="12" t="s">
        <v>128</v>
      </c>
      <c r="B43" s="13" t="n">
        <f aca="false">Setup!$C$11+37</f>
        <v>45700</v>
      </c>
      <c r="C43" s="47"/>
      <c r="D43" s="48"/>
    </row>
    <row r="44" customFormat="false" ht="15" hidden="false" customHeight="false" outlineLevel="0" collapsed="false">
      <c r="A44" s="12" t="s">
        <v>128</v>
      </c>
      <c r="B44" s="13" t="n">
        <f aca="false">Setup!$C$11+38</f>
        <v>45701</v>
      </c>
      <c r="C44" s="47"/>
      <c r="D44" s="48"/>
    </row>
    <row r="45" customFormat="false" ht="15" hidden="false" customHeight="false" outlineLevel="0" collapsed="false">
      <c r="A45" s="12" t="s">
        <v>128</v>
      </c>
      <c r="B45" s="13" t="n">
        <f aca="false">Setup!$C$11+39</f>
        <v>45702</v>
      </c>
      <c r="C45" s="47"/>
      <c r="D45" s="48"/>
    </row>
    <row r="46" customFormat="false" ht="15" hidden="false" customHeight="false" outlineLevel="0" collapsed="false">
      <c r="A46" s="12" t="s">
        <v>128</v>
      </c>
      <c r="B46" s="13" t="n">
        <f aca="false">Setup!$C$11+40</f>
        <v>45703</v>
      </c>
      <c r="C46" s="47"/>
      <c r="D46" s="48"/>
    </row>
    <row r="47" customFormat="false" ht="15" hidden="false" customHeight="false" outlineLevel="0" collapsed="false">
      <c r="A47" s="12" t="s">
        <v>128</v>
      </c>
      <c r="B47" s="13" t="n">
        <f aca="false">Setup!$C$11+41</f>
        <v>45704</v>
      </c>
      <c r="C47" s="47"/>
      <c r="D47" s="48"/>
    </row>
    <row r="48" customFormat="false" ht="15" hidden="false" customHeight="false" outlineLevel="0" collapsed="false">
      <c r="A48" s="12" t="s">
        <v>129</v>
      </c>
      <c r="B48" s="13" t="n">
        <f aca="false">Setup!$C$11+42</f>
        <v>45705</v>
      </c>
      <c r="C48" s="47"/>
      <c r="D48" s="48"/>
    </row>
    <row r="49" customFormat="false" ht="15" hidden="false" customHeight="false" outlineLevel="0" collapsed="false">
      <c r="A49" s="12" t="s">
        <v>129</v>
      </c>
      <c r="B49" s="13" t="n">
        <f aca="false">Setup!$C$11+43</f>
        <v>45706</v>
      </c>
      <c r="C49" s="47"/>
      <c r="D49" s="48"/>
    </row>
    <row r="50" customFormat="false" ht="15" hidden="false" customHeight="false" outlineLevel="0" collapsed="false">
      <c r="A50" s="12" t="s">
        <v>129</v>
      </c>
      <c r="B50" s="13" t="n">
        <f aca="false">Setup!$C$11+44</f>
        <v>45707</v>
      </c>
      <c r="C50" s="47"/>
      <c r="D50" s="48"/>
    </row>
    <row r="51" customFormat="false" ht="15" hidden="false" customHeight="false" outlineLevel="0" collapsed="false">
      <c r="A51" s="12" t="s">
        <v>129</v>
      </c>
      <c r="B51" s="13" t="n">
        <f aca="false">Setup!$C$11+45</f>
        <v>45708</v>
      </c>
      <c r="C51" s="47"/>
      <c r="D51" s="48"/>
    </row>
    <row r="52" customFormat="false" ht="15" hidden="false" customHeight="false" outlineLevel="0" collapsed="false">
      <c r="A52" s="12" t="s">
        <v>129</v>
      </c>
      <c r="B52" s="13" t="n">
        <f aca="false">Setup!$C$11+46</f>
        <v>45709</v>
      </c>
      <c r="C52" s="47"/>
      <c r="D52" s="48"/>
    </row>
    <row r="53" customFormat="false" ht="15" hidden="false" customHeight="false" outlineLevel="0" collapsed="false">
      <c r="A53" s="12" t="s">
        <v>129</v>
      </c>
      <c r="B53" s="13" t="n">
        <f aca="false">Setup!$C$11+47</f>
        <v>45710</v>
      </c>
      <c r="C53" s="47"/>
      <c r="D53" s="48"/>
    </row>
    <row r="54" customFormat="false" ht="15" hidden="false" customHeight="false" outlineLevel="0" collapsed="false">
      <c r="A54" s="12" t="s">
        <v>129</v>
      </c>
      <c r="B54" s="13" t="n">
        <f aca="false">Setup!$C$11+48</f>
        <v>45711</v>
      </c>
      <c r="C54" s="47"/>
      <c r="D54" s="48"/>
    </row>
    <row r="55" customFormat="false" ht="15" hidden="false" customHeight="false" outlineLevel="0" collapsed="false">
      <c r="A55" s="12" t="s">
        <v>130</v>
      </c>
      <c r="B55" s="13" t="n">
        <f aca="false">Setup!$C$11+49</f>
        <v>45712</v>
      </c>
      <c r="C55" s="47"/>
      <c r="D55" s="48"/>
    </row>
    <row r="56" customFormat="false" ht="15" hidden="false" customHeight="false" outlineLevel="0" collapsed="false">
      <c r="A56" s="12" t="s">
        <v>130</v>
      </c>
      <c r="B56" s="13" t="n">
        <f aca="false">Setup!$C$11+50</f>
        <v>45713</v>
      </c>
      <c r="C56" s="47"/>
      <c r="D56" s="48"/>
    </row>
    <row r="57" customFormat="false" ht="15" hidden="false" customHeight="false" outlineLevel="0" collapsed="false">
      <c r="A57" s="12" t="s">
        <v>130</v>
      </c>
      <c r="B57" s="13" t="n">
        <f aca="false">Setup!$C$11+51</f>
        <v>45714</v>
      </c>
      <c r="C57" s="47"/>
      <c r="D57" s="48"/>
    </row>
    <row r="58" customFormat="false" ht="15" hidden="false" customHeight="false" outlineLevel="0" collapsed="false">
      <c r="A58" s="12" t="s">
        <v>130</v>
      </c>
      <c r="B58" s="13" t="n">
        <f aca="false">Setup!$C$11+52</f>
        <v>45715</v>
      </c>
      <c r="C58" s="47"/>
      <c r="D58" s="48"/>
    </row>
    <row r="59" customFormat="false" ht="15" hidden="false" customHeight="false" outlineLevel="0" collapsed="false">
      <c r="A59" s="12" t="s">
        <v>130</v>
      </c>
      <c r="B59" s="13" t="n">
        <f aca="false">Setup!$C$11+53</f>
        <v>45716</v>
      </c>
      <c r="C59" s="47"/>
      <c r="D59" s="48"/>
    </row>
    <row r="60" customFormat="false" ht="15" hidden="false" customHeight="false" outlineLevel="0" collapsed="false">
      <c r="A60" s="12" t="s">
        <v>130</v>
      </c>
      <c r="B60" s="13" t="n">
        <f aca="false">Setup!$C$11+54</f>
        <v>45717</v>
      </c>
      <c r="C60" s="47"/>
      <c r="D60" s="48"/>
    </row>
    <row r="61" customFormat="false" ht="15" hidden="false" customHeight="false" outlineLevel="0" collapsed="false">
      <c r="A61" s="12" t="s">
        <v>130</v>
      </c>
      <c r="B61" s="13" t="n">
        <f aca="false">Setup!$C$11+55</f>
        <v>45718</v>
      </c>
      <c r="C61" s="47"/>
      <c r="D61" s="48"/>
    </row>
    <row r="62" customFormat="false" ht="15" hidden="false" customHeight="false" outlineLevel="0" collapsed="false">
      <c r="A62" s="12" t="s">
        <v>131</v>
      </c>
      <c r="B62" s="13" t="n">
        <f aca="false">Setup!$C$11+56</f>
        <v>45719</v>
      </c>
      <c r="C62" s="47"/>
      <c r="D62" s="48"/>
    </row>
    <row r="63" customFormat="false" ht="15" hidden="false" customHeight="false" outlineLevel="0" collapsed="false">
      <c r="A63" s="12" t="s">
        <v>131</v>
      </c>
      <c r="B63" s="13" t="n">
        <f aca="false">Setup!$C$11+57</f>
        <v>45720</v>
      </c>
      <c r="C63" s="47"/>
      <c r="D63" s="48"/>
    </row>
    <row r="64" customFormat="false" ht="15" hidden="false" customHeight="false" outlineLevel="0" collapsed="false">
      <c r="A64" s="12" t="s">
        <v>131</v>
      </c>
      <c r="B64" s="13" t="n">
        <f aca="false">Setup!$C$11+58</f>
        <v>45721</v>
      </c>
      <c r="C64" s="47"/>
      <c r="D64" s="48"/>
    </row>
    <row r="65" customFormat="false" ht="15" hidden="false" customHeight="false" outlineLevel="0" collapsed="false">
      <c r="A65" s="12" t="s">
        <v>131</v>
      </c>
      <c r="B65" s="13" t="n">
        <f aca="false">Setup!$C$11+59</f>
        <v>45722</v>
      </c>
      <c r="C65" s="47"/>
      <c r="D65" s="48"/>
    </row>
    <row r="66" customFormat="false" ht="15" hidden="false" customHeight="false" outlineLevel="0" collapsed="false">
      <c r="A66" s="12" t="s">
        <v>131</v>
      </c>
      <c r="B66" s="13" t="n">
        <f aca="false">Setup!$C$11+60</f>
        <v>45723</v>
      </c>
      <c r="C66" s="47"/>
      <c r="D66" s="48"/>
    </row>
    <row r="67" customFormat="false" ht="15" hidden="false" customHeight="false" outlineLevel="0" collapsed="false">
      <c r="A67" s="12" t="s">
        <v>131</v>
      </c>
      <c r="B67" s="13" t="n">
        <f aca="false">Setup!$C$11+61</f>
        <v>45724</v>
      </c>
      <c r="C67" s="47"/>
      <c r="D67" s="48"/>
    </row>
    <row r="68" customFormat="false" ht="15" hidden="false" customHeight="false" outlineLevel="0" collapsed="false">
      <c r="A68" s="12" t="s">
        <v>131</v>
      </c>
      <c r="B68" s="13" t="n">
        <f aca="false">Setup!$C$11+62</f>
        <v>45725</v>
      </c>
      <c r="C68" s="47"/>
      <c r="D68" s="48"/>
    </row>
    <row r="69" customFormat="false" ht="15" hidden="false" customHeight="false" outlineLevel="0" collapsed="false">
      <c r="A69" s="12" t="s">
        <v>132</v>
      </c>
      <c r="B69" s="13" t="n">
        <f aca="false">Setup!$C$11+63</f>
        <v>45726</v>
      </c>
      <c r="C69" s="47"/>
      <c r="D69" s="48"/>
    </row>
    <row r="70" customFormat="false" ht="15" hidden="false" customHeight="false" outlineLevel="0" collapsed="false">
      <c r="A70" s="12" t="s">
        <v>132</v>
      </c>
      <c r="B70" s="13" t="n">
        <f aca="false">Setup!$C$11+64</f>
        <v>45727</v>
      </c>
      <c r="C70" s="47"/>
      <c r="D70" s="48"/>
    </row>
    <row r="71" customFormat="false" ht="15" hidden="false" customHeight="false" outlineLevel="0" collapsed="false">
      <c r="A71" s="12" t="s">
        <v>132</v>
      </c>
      <c r="B71" s="13" t="n">
        <f aca="false">Setup!$C$11+65</f>
        <v>45728</v>
      </c>
      <c r="C71" s="47"/>
      <c r="D71" s="48"/>
    </row>
    <row r="72" customFormat="false" ht="15" hidden="false" customHeight="false" outlineLevel="0" collapsed="false">
      <c r="A72" s="12" t="s">
        <v>132</v>
      </c>
      <c r="B72" s="13" t="n">
        <f aca="false">Setup!$C$11+66</f>
        <v>45729</v>
      </c>
      <c r="C72" s="47"/>
      <c r="D72" s="48"/>
    </row>
    <row r="73" customFormat="false" ht="15" hidden="false" customHeight="false" outlineLevel="0" collapsed="false">
      <c r="A73" s="12" t="s">
        <v>132</v>
      </c>
      <c r="B73" s="13" t="n">
        <f aca="false">Setup!$C$11+67</f>
        <v>45730</v>
      </c>
      <c r="C73" s="47"/>
      <c r="D73" s="48"/>
    </row>
    <row r="74" customFormat="false" ht="15" hidden="false" customHeight="false" outlineLevel="0" collapsed="false">
      <c r="A74" s="12" t="s">
        <v>132</v>
      </c>
      <c r="B74" s="13" t="n">
        <f aca="false">Setup!$C$11+68</f>
        <v>45731</v>
      </c>
      <c r="C74" s="47"/>
      <c r="D74" s="48"/>
    </row>
    <row r="75" customFormat="false" ht="15" hidden="false" customHeight="false" outlineLevel="0" collapsed="false">
      <c r="A75" s="12" t="s">
        <v>132</v>
      </c>
      <c r="B75" s="13" t="n">
        <f aca="false">Setup!$C$11+69</f>
        <v>45732</v>
      </c>
      <c r="C75" s="47"/>
      <c r="D75" s="48"/>
    </row>
    <row r="76" customFormat="false" ht="15" hidden="false" customHeight="false" outlineLevel="0" collapsed="false">
      <c r="A76" s="12" t="s">
        <v>133</v>
      </c>
      <c r="B76" s="13" t="n">
        <f aca="false">Setup!$C$11+70</f>
        <v>45733</v>
      </c>
      <c r="C76" s="47"/>
      <c r="D76" s="48"/>
    </row>
    <row r="77" customFormat="false" ht="15" hidden="false" customHeight="false" outlineLevel="0" collapsed="false">
      <c r="A77" s="12" t="s">
        <v>133</v>
      </c>
      <c r="B77" s="13" t="n">
        <f aca="false">Setup!$C$11+71</f>
        <v>45734</v>
      </c>
      <c r="C77" s="47"/>
      <c r="D77" s="48"/>
    </row>
    <row r="78" customFormat="false" ht="15" hidden="false" customHeight="false" outlineLevel="0" collapsed="false">
      <c r="A78" s="12" t="s">
        <v>133</v>
      </c>
      <c r="B78" s="13" t="n">
        <f aca="false">Setup!$C$11+72</f>
        <v>45735</v>
      </c>
      <c r="C78" s="47"/>
      <c r="D78" s="48"/>
    </row>
    <row r="79" customFormat="false" ht="15" hidden="false" customHeight="false" outlineLevel="0" collapsed="false">
      <c r="A79" s="12" t="s">
        <v>133</v>
      </c>
      <c r="B79" s="13" t="n">
        <f aca="false">Setup!$C$11+73</f>
        <v>45736</v>
      </c>
      <c r="C79" s="47"/>
      <c r="D79" s="48"/>
    </row>
    <row r="80" customFormat="false" ht="15" hidden="false" customHeight="false" outlineLevel="0" collapsed="false">
      <c r="A80" s="12" t="s">
        <v>133</v>
      </c>
      <c r="B80" s="13" t="n">
        <f aca="false">Setup!$C$11+74</f>
        <v>45737</v>
      </c>
      <c r="C80" s="47"/>
      <c r="D80" s="48"/>
    </row>
    <row r="81" customFormat="false" ht="15" hidden="false" customHeight="false" outlineLevel="0" collapsed="false">
      <c r="A81" s="12" t="s">
        <v>133</v>
      </c>
      <c r="B81" s="13" t="n">
        <f aca="false">Setup!$C$11+75</f>
        <v>45738</v>
      </c>
      <c r="C81" s="47"/>
      <c r="D81" s="48"/>
    </row>
    <row r="82" customFormat="false" ht="15" hidden="false" customHeight="false" outlineLevel="0" collapsed="false">
      <c r="A82" s="12" t="s">
        <v>133</v>
      </c>
      <c r="B82" s="13" t="n">
        <f aca="false">Setup!$C$11+76</f>
        <v>45739</v>
      </c>
      <c r="C82" s="47"/>
      <c r="D82" s="48"/>
    </row>
    <row r="83" customFormat="false" ht="15" hidden="false" customHeight="false" outlineLevel="0" collapsed="false">
      <c r="A83" s="12" t="s">
        <v>134</v>
      </c>
      <c r="B83" s="13" t="n">
        <f aca="false">Setup!$C$11+77</f>
        <v>45740</v>
      </c>
      <c r="C83" s="47"/>
      <c r="D83" s="48"/>
    </row>
    <row r="84" customFormat="false" ht="15" hidden="false" customHeight="false" outlineLevel="0" collapsed="false">
      <c r="A84" s="12" t="s">
        <v>134</v>
      </c>
      <c r="B84" s="13" t="n">
        <f aca="false">Setup!$C$11+78</f>
        <v>45741</v>
      </c>
      <c r="C84" s="47"/>
      <c r="D84" s="48"/>
    </row>
    <row r="85" customFormat="false" ht="15" hidden="false" customHeight="false" outlineLevel="0" collapsed="false">
      <c r="A85" s="12" t="s">
        <v>134</v>
      </c>
      <c r="B85" s="13" t="n">
        <f aca="false">Setup!$C$11+79</f>
        <v>45742</v>
      </c>
      <c r="C85" s="47"/>
      <c r="D85" s="48"/>
    </row>
    <row r="86" customFormat="false" ht="15" hidden="false" customHeight="false" outlineLevel="0" collapsed="false">
      <c r="A86" s="12" t="s">
        <v>134</v>
      </c>
      <c r="B86" s="13" t="n">
        <f aca="false">Setup!$C$11+80</f>
        <v>45743</v>
      </c>
      <c r="C86" s="47"/>
      <c r="D86" s="48"/>
    </row>
    <row r="87" customFormat="false" ht="15" hidden="false" customHeight="false" outlineLevel="0" collapsed="false">
      <c r="A87" s="12" t="s">
        <v>134</v>
      </c>
      <c r="B87" s="13" t="n">
        <f aca="false">Setup!$C$11+81</f>
        <v>45744</v>
      </c>
      <c r="C87" s="47"/>
      <c r="D87" s="48"/>
    </row>
    <row r="88" customFormat="false" ht="15" hidden="false" customHeight="false" outlineLevel="0" collapsed="false">
      <c r="A88" s="12" t="s">
        <v>134</v>
      </c>
      <c r="B88" s="13" t="n">
        <f aca="false">Setup!$C$11+82</f>
        <v>45745</v>
      </c>
      <c r="C88" s="47"/>
      <c r="D88" s="48"/>
    </row>
    <row r="89" customFormat="false" ht="15" hidden="false" customHeight="false" outlineLevel="0" collapsed="false">
      <c r="A89" s="12" t="s">
        <v>134</v>
      </c>
      <c r="B89" s="13" t="n">
        <f aca="false">Setup!$C$11+83</f>
        <v>45746</v>
      </c>
      <c r="C89" s="47"/>
      <c r="D89" s="48"/>
    </row>
    <row r="90" customFormat="false" ht="15" hidden="false" customHeight="false" outlineLevel="0" collapsed="false">
      <c r="A90" s="12" t="s">
        <v>135</v>
      </c>
      <c r="B90" s="13" t="n">
        <f aca="false">Setup!$C$11+84</f>
        <v>45747</v>
      </c>
      <c r="C90" s="47"/>
      <c r="D90" s="48"/>
    </row>
    <row r="91" customFormat="false" ht="15" hidden="false" customHeight="false" outlineLevel="0" collapsed="false">
      <c r="A91" s="12" t="s">
        <v>135</v>
      </c>
      <c r="B91" s="13" t="n">
        <f aca="false">Setup!$C$11+85</f>
        <v>45748</v>
      </c>
      <c r="C91" s="47"/>
      <c r="D91" s="48"/>
    </row>
    <row r="92" customFormat="false" ht="15" hidden="false" customHeight="false" outlineLevel="0" collapsed="false">
      <c r="A92" s="12" t="s">
        <v>135</v>
      </c>
      <c r="B92" s="13" t="n">
        <f aca="false">Setup!$C$11+86</f>
        <v>45749</v>
      </c>
      <c r="C92" s="47"/>
      <c r="D92" s="48"/>
    </row>
    <row r="93" customFormat="false" ht="15" hidden="false" customHeight="false" outlineLevel="0" collapsed="false">
      <c r="A93" s="12" t="s">
        <v>135</v>
      </c>
      <c r="B93" s="13" t="n">
        <f aca="false">Setup!$C$11+87</f>
        <v>45750</v>
      </c>
      <c r="C93" s="47"/>
      <c r="D93" s="48"/>
    </row>
    <row r="94" customFormat="false" ht="15" hidden="false" customHeight="false" outlineLevel="0" collapsed="false">
      <c r="A94" s="12" t="s">
        <v>135</v>
      </c>
      <c r="B94" s="13" t="n">
        <f aca="false">Setup!$C$11+88</f>
        <v>45751</v>
      </c>
      <c r="C94" s="47"/>
      <c r="D94" s="48"/>
    </row>
    <row r="95" customFormat="false" ht="15" hidden="false" customHeight="false" outlineLevel="0" collapsed="false">
      <c r="A95" s="12" t="s">
        <v>135</v>
      </c>
      <c r="B95" s="13" t="n">
        <f aca="false">Setup!$C$11+89</f>
        <v>45752</v>
      </c>
      <c r="C95" s="47"/>
      <c r="D95" s="48"/>
    </row>
    <row r="96" customFormat="false" ht="15" hidden="false" customHeight="false" outlineLevel="0" collapsed="false">
      <c r="A96" s="12" t="s">
        <v>135</v>
      </c>
      <c r="B96" s="13" t="n">
        <f aca="false">Setup!$C$11+90</f>
        <v>45753</v>
      </c>
      <c r="C96" s="47"/>
      <c r="D96" s="48"/>
    </row>
    <row r="97" customFormat="false" ht="15" hidden="false" customHeight="false" outlineLevel="0" collapsed="false">
      <c r="A97" s="12" t="s">
        <v>136</v>
      </c>
      <c r="B97" s="13" t="n">
        <f aca="false">Setup!$C$11+91</f>
        <v>45754</v>
      </c>
      <c r="C97" s="47"/>
      <c r="D97" s="48"/>
    </row>
    <row r="98" customFormat="false" ht="15" hidden="false" customHeight="false" outlineLevel="0" collapsed="false">
      <c r="A98" s="12" t="s">
        <v>136</v>
      </c>
      <c r="B98" s="13" t="n">
        <f aca="false">Setup!$C$11+92</f>
        <v>45755</v>
      </c>
      <c r="C98" s="47"/>
      <c r="D98" s="48"/>
    </row>
    <row r="99" customFormat="false" ht="15" hidden="false" customHeight="false" outlineLevel="0" collapsed="false">
      <c r="A99" s="12" t="s">
        <v>136</v>
      </c>
      <c r="B99" s="13" t="n">
        <f aca="false">Setup!$C$11+93</f>
        <v>45756</v>
      </c>
      <c r="C99" s="47"/>
      <c r="D99" s="48"/>
    </row>
    <row r="100" customFormat="false" ht="15" hidden="false" customHeight="false" outlineLevel="0" collapsed="false">
      <c r="A100" s="12" t="s">
        <v>136</v>
      </c>
      <c r="B100" s="13" t="n">
        <f aca="false">Setup!$C$11+94</f>
        <v>45757</v>
      </c>
      <c r="C100" s="47"/>
      <c r="D100" s="48"/>
    </row>
    <row r="101" customFormat="false" ht="15" hidden="false" customHeight="false" outlineLevel="0" collapsed="false">
      <c r="A101" s="12" t="s">
        <v>136</v>
      </c>
      <c r="B101" s="13" t="n">
        <f aca="false">Setup!$C$11+95</f>
        <v>45758</v>
      </c>
      <c r="C101" s="47"/>
      <c r="D101" s="48"/>
    </row>
    <row r="102" customFormat="false" ht="15" hidden="false" customHeight="false" outlineLevel="0" collapsed="false">
      <c r="A102" s="12" t="s">
        <v>136</v>
      </c>
      <c r="B102" s="13" t="n">
        <f aca="false">Setup!$C$11+96</f>
        <v>45759</v>
      </c>
      <c r="C102" s="47"/>
      <c r="D102" s="48"/>
    </row>
    <row r="103" customFormat="false" ht="15" hidden="false" customHeight="false" outlineLevel="0" collapsed="false">
      <c r="A103" s="12" t="s">
        <v>136</v>
      </c>
      <c r="B103" s="13" t="n">
        <f aca="false">Setup!$C$11+97</f>
        <v>45760</v>
      </c>
      <c r="C103" s="47"/>
      <c r="D103" s="48"/>
    </row>
    <row r="104" customFormat="false" ht="15" hidden="false" customHeight="false" outlineLevel="0" collapsed="false">
      <c r="A104" s="12" t="s">
        <v>137</v>
      </c>
      <c r="B104" s="13" t="n">
        <f aca="false">Setup!$C$11+98</f>
        <v>45761</v>
      </c>
      <c r="C104" s="47"/>
      <c r="D104" s="48"/>
    </row>
    <row r="105" customFormat="false" ht="15" hidden="false" customHeight="false" outlineLevel="0" collapsed="false">
      <c r="A105" s="12" t="s">
        <v>137</v>
      </c>
      <c r="B105" s="13" t="n">
        <f aca="false">Setup!$C$11+99</f>
        <v>45762</v>
      </c>
      <c r="C105" s="47"/>
      <c r="D105" s="48"/>
    </row>
    <row r="106" customFormat="false" ht="15" hidden="false" customHeight="false" outlineLevel="0" collapsed="false">
      <c r="A106" s="12" t="s">
        <v>137</v>
      </c>
      <c r="B106" s="13" t="n">
        <f aca="false">Setup!$C$11+100</f>
        <v>45763</v>
      </c>
      <c r="C106" s="47"/>
      <c r="D106" s="48"/>
    </row>
    <row r="107" customFormat="false" ht="15" hidden="false" customHeight="false" outlineLevel="0" collapsed="false">
      <c r="A107" s="12" t="s">
        <v>137</v>
      </c>
      <c r="B107" s="13" t="n">
        <f aca="false">Setup!$C$11+101</f>
        <v>45764</v>
      </c>
      <c r="C107" s="47"/>
      <c r="D107" s="48"/>
    </row>
    <row r="108" customFormat="false" ht="15" hidden="false" customHeight="false" outlineLevel="0" collapsed="false">
      <c r="A108" s="12" t="s">
        <v>137</v>
      </c>
      <c r="B108" s="13" t="n">
        <f aca="false">Setup!$C$11+102</f>
        <v>45765</v>
      </c>
      <c r="C108" s="47"/>
      <c r="D108" s="48"/>
    </row>
    <row r="109" customFormat="false" ht="15" hidden="false" customHeight="false" outlineLevel="0" collapsed="false">
      <c r="A109" s="12" t="s">
        <v>137</v>
      </c>
      <c r="B109" s="13" t="n">
        <f aca="false">Setup!$C$11+103</f>
        <v>45766</v>
      </c>
      <c r="C109" s="47"/>
      <c r="D109" s="48"/>
    </row>
    <row r="110" customFormat="false" ht="15" hidden="false" customHeight="false" outlineLevel="0" collapsed="false">
      <c r="A110" s="12" t="s">
        <v>137</v>
      </c>
      <c r="B110" s="13" t="n">
        <f aca="false">Setup!$C$11+104</f>
        <v>45767</v>
      </c>
      <c r="C110" s="47"/>
      <c r="D110" s="48"/>
    </row>
    <row r="111" customFormat="false" ht="15" hidden="false" customHeight="false" outlineLevel="0" collapsed="false">
      <c r="A111" s="12" t="s">
        <v>138</v>
      </c>
      <c r="B111" s="13" t="n">
        <f aca="false">Setup!$C$11+105</f>
        <v>45768</v>
      </c>
      <c r="C111" s="47"/>
      <c r="D111" s="48"/>
    </row>
    <row r="112" customFormat="false" ht="15" hidden="false" customHeight="false" outlineLevel="0" collapsed="false">
      <c r="A112" s="12" t="s">
        <v>138</v>
      </c>
      <c r="B112" s="13" t="n">
        <f aca="false">Setup!$C$11+106</f>
        <v>45769</v>
      </c>
      <c r="C112" s="47"/>
      <c r="D112" s="48"/>
    </row>
    <row r="113" customFormat="false" ht="15" hidden="false" customHeight="false" outlineLevel="0" collapsed="false">
      <c r="A113" s="12" t="s">
        <v>138</v>
      </c>
      <c r="B113" s="13" t="n">
        <f aca="false">Setup!$C$11+107</f>
        <v>45770</v>
      </c>
      <c r="C113" s="47"/>
      <c r="D113" s="48"/>
    </row>
    <row r="114" customFormat="false" ht="15" hidden="false" customHeight="false" outlineLevel="0" collapsed="false">
      <c r="A114" s="12" t="s">
        <v>138</v>
      </c>
      <c r="B114" s="13" t="n">
        <f aca="false">Setup!$C$11+108</f>
        <v>45771</v>
      </c>
      <c r="C114" s="47"/>
      <c r="D114" s="48"/>
    </row>
    <row r="115" customFormat="false" ht="15" hidden="false" customHeight="false" outlineLevel="0" collapsed="false">
      <c r="A115" s="12" t="s">
        <v>138</v>
      </c>
      <c r="B115" s="13" t="n">
        <f aca="false">Setup!$C$11+109</f>
        <v>45772</v>
      </c>
      <c r="C115" s="47"/>
      <c r="D115" s="48"/>
    </row>
    <row r="116" customFormat="false" ht="15" hidden="false" customHeight="false" outlineLevel="0" collapsed="false">
      <c r="A116" s="12" t="s">
        <v>138</v>
      </c>
      <c r="B116" s="13" t="n">
        <f aca="false">Setup!$C$11+110</f>
        <v>45773</v>
      </c>
      <c r="C116" s="47"/>
      <c r="D116" s="48"/>
    </row>
    <row r="117" customFormat="false" ht="15" hidden="false" customHeight="false" outlineLevel="0" collapsed="false">
      <c r="A117" s="12" t="s">
        <v>138</v>
      </c>
      <c r="B117" s="13" t="n">
        <f aca="false">Setup!$C$11+111</f>
        <v>45774</v>
      </c>
      <c r="C117" s="47"/>
      <c r="D117" s="48"/>
    </row>
    <row r="118" customFormat="false" ht="15" hidden="false" customHeight="false" outlineLevel="0" collapsed="false">
      <c r="A118" s="12" t="s">
        <v>139</v>
      </c>
      <c r="B118" s="13" t="n">
        <f aca="false">Setup!$C$11+112</f>
        <v>45775</v>
      </c>
      <c r="C118" s="47"/>
      <c r="D118" s="48"/>
    </row>
    <row r="119" customFormat="false" ht="15" hidden="false" customHeight="false" outlineLevel="0" collapsed="false">
      <c r="A119" s="12" t="s">
        <v>139</v>
      </c>
      <c r="B119" s="13" t="n">
        <f aca="false">Setup!$C$11+113</f>
        <v>45776</v>
      </c>
      <c r="C119" s="47"/>
      <c r="D119" s="48"/>
    </row>
    <row r="120" customFormat="false" ht="15" hidden="false" customHeight="false" outlineLevel="0" collapsed="false">
      <c r="A120" s="12" t="s">
        <v>139</v>
      </c>
      <c r="B120" s="13" t="n">
        <f aca="false">Setup!$C$11+114</f>
        <v>45777</v>
      </c>
      <c r="C120" s="47"/>
      <c r="D120" s="48"/>
    </row>
    <row r="121" customFormat="false" ht="15" hidden="false" customHeight="false" outlineLevel="0" collapsed="false">
      <c r="A121" s="12" t="s">
        <v>139</v>
      </c>
      <c r="B121" s="13" t="n">
        <f aca="false">Setup!$C$11+115</f>
        <v>45778</v>
      </c>
      <c r="C121" s="47"/>
      <c r="D121" s="48"/>
    </row>
    <row r="122" customFormat="false" ht="15" hidden="false" customHeight="false" outlineLevel="0" collapsed="false">
      <c r="A122" s="12" t="s">
        <v>139</v>
      </c>
      <c r="B122" s="13" t="n">
        <f aca="false">Setup!$C$11+116</f>
        <v>45779</v>
      </c>
      <c r="C122" s="47"/>
      <c r="D122" s="48"/>
    </row>
    <row r="123" customFormat="false" ht="15" hidden="false" customHeight="false" outlineLevel="0" collapsed="false">
      <c r="A123" s="12" t="s">
        <v>139</v>
      </c>
      <c r="B123" s="13" t="n">
        <f aca="false">Setup!$C$11+117</f>
        <v>45780</v>
      </c>
      <c r="C123" s="47"/>
      <c r="D123" s="48"/>
    </row>
    <row r="124" customFormat="false" ht="15" hidden="false" customHeight="false" outlineLevel="0" collapsed="false">
      <c r="A124" s="12" t="s">
        <v>139</v>
      </c>
      <c r="B124" s="13" t="n">
        <f aca="false">Setup!$C$11+118</f>
        <v>45781</v>
      </c>
      <c r="C124" s="47"/>
      <c r="D124" s="48"/>
    </row>
    <row r="125" customFormat="false" ht="15" hidden="false" customHeight="false" outlineLevel="0" collapsed="false">
      <c r="A125" s="12" t="s">
        <v>140</v>
      </c>
      <c r="B125" s="13" t="n">
        <f aca="false">Setup!$C$11+119</f>
        <v>45782</v>
      </c>
      <c r="C125" s="47"/>
      <c r="D125" s="48"/>
    </row>
    <row r="126" customFormat="false" ht="15" hidden="false" customHeight="false" outlineLevel="0" collapsed="false">
      <c r="A126" s="12" t="s">
        <v>140</v>
      </c>
      <c r="B126" s="13" t="n">
        <f aca="false">Setup!$C$11+120</f>
        <v>45783</v>
      </c>
      <c r="C126" s="47"/>
      <c r="D126" s="48"/>
    </row>
    <row r="127" customFormat="false" ht="15" hidden="false" customHeight="false" outlineLevel="0" collapsed="false">
      <c r="A127" s="12" t="s">
        <v>140</v>
      </c>
      <c r="B127" s="13" t="n">
        <f aca="false">Setup!$C$11+121</f>
        <v>45784</v>
      </c>
      <c r="C127" s="47"/>
      <c r="D127" s="48"/>
    </row>
    <row r="128" customFormat="false" ht="15" hidden="false" customHeight="false" outlineLevel="0" collapsed="false">
      <c r="A128" s="12" t="s">
        <v>140</v>
      </c>
      <c r="B128" s="13" t="n">
        <f aca="false">Setup!$C$11+122</f>
        <v>45785</v>
      </c>
      <c r="C128" s="47"/>
      <c r="D128" s="48"/>
    </row>
    <row r="129" customFormat="false" ht="15" hidden="false" customHeight="false" outlineLevel="0" collapsed="false">
      <c r="A129" s="12" t="s">
        <v>140</v>
      </c>
      <c r="B129" s="13" t="n">
        <f aca="false">Setup!$C$11+123</f>
        <v>45786</v>
      </c>
      <c r="C129" s="47"/>
      <c r="D129" s="48"/>
    </row>
    <row r="130" customFormat="false" ht="15" hidden="false" customHeight="false" outlineLevel="0" collapsed="false">
      <c r="A130" s="12" t="s">
        <v>140</v>
      </c>
      <c r="B130" s="13" t="n">
        <f aca="false">Setup!$C$11+124</f>
        <v>45787</v>
      </c>
      <c r="C130" s="47"/>
      <c r="D130" s="48"/>
    </row>
    <row r="131" customFormat="false" ht="15" hidden="false" customHeight="false" outlineLevel="0" collapsed="false">
      <c r="A131" s="12" t="s">
        <v>140</v>
      </c>
      <c r="B131" s="13" t="n">
        <f aca="false">Setup!$C$11+125</f>
        <v>45788</v>
      </c>
      <c r="C131" s="47"/>
      <c r="D131" s="48"/>
    </row>
    <row r="132" customFormat="false" ht="15" hidden="false" customHeight="false" outlineLevel="0" collapsed="false">
      <c r="A132" s="12" t="s">
        <v>141</v>
      </c>
      <c r="B132" s="13" t="n">
        <f aca="false">Setup!$C$11+126</f>
        <v>45789</v>
      </c>
      <c r="C132" s="47"/>
      <c r="D132" s="48"/>
    </row>
    <row r="133" customFormat="false" ht="15" hidden="false" customHeight="false" outlineLevel="0" collapsed="false">
      <c r="A133" s="12" t="s">
        <v>141</v>
      </c>
      <c r="B133" s="13" t="n">
        <f aca="false">Setup!$C$11+127</f>
        <v>45790</v>
      </c>
      <c r="C133" s="47"/>
      <c r="D133" s="48"/>
    </row>
    <row r="134" customFormat="false" ht="15" hidden="false" customHeight="false" outlineLevel="0" collapsed="false">
      <c r="A134" s="12" t="s">
        <v>141</v>
      </c>
      <c r="B134" s="13" t="n">
        <f aca="false">Setup!$C$11+128</f>
        <v>45791</v>
      </c>
      <c r="C134" s="47"/>
      <c r="D134" s="48"/>
    </row>
    <row r="135" customFormat="false" ht="15" hidden="false" customHeight="false" outlineLevel="0" collapsed="false">
      <c r="A135" s="12" t="s">
        <v>141</v>
      </c>
      <c r="B135" s="13" t="n">
        <f aca="false">Setup!$C$11+129</f>
        <v>45792</v>
      </c>
      <c r="C135" s="47"/>
      <c r="D135" s="48"/>
    </row>
    <row r="136" customFormat="false" ht="15" hidden="false" customHeight="false" outlineLevel="0" collapsed="false">
      <c r="A136" s="12" t="s">
        <v>141</v>
      </c>
      <c r="B136" s="13" t="n">
        <f aca="false">Setup!$C$11+130</f>
        <v>45793</v>
      </c>
      <c r="C136" s="47"/>
      <c r="D136" s="48"/>
    </row>
    <row r="137" customFormat="false" ht="15" hidden="false" customHeight="false" outlineLevel="0" collapsed="false">
      <c r="A137" s="12" t="s">
        <v>141</v>
      </c>
      <c r="B137" s="13" t="n">
        <f aca="false">Setup!$C$11+131</f>
        <v>45794</v>
      </c>
      <c r="C137" s="47"/>
      <c r="D137" s="48"/>
    </row>
    <row r="138" customFormat="false" ht="15" hidden="false" customHeight="false" outlineLevel="0" collapsed="false">
      <c r="A138" s="12" t="s">
        <v>141</v>
      </c>
      <c r="B138" s="13" t="n">
        <f aca="false">Setup!$C$11+132</f>
        <v>45795</v>
      </c>
      <c r="C138" s="47"/>
      <c r="D138" s="48"/>
    </row>
    <row r="139" customFormat="false" ht="15" hidden="false" customHeight="false" outlineLevel="0" collapsed="false">
      <c r="A139" s="12" t="s">
        <v>142</v>
      </c>
      <c r="B139" s="13" t="n">
        <f aca="false">Setup!$C$11+133</f>
        <v>45796</v>
      </c>
      <c r="C139" s="47"/>
      <c r="D139" s="48"/>
    </row>
    <row r="140" customFormat="false" ht="15" hidden="false" customHeight="false" outlineLevel="0" collapsed="false">
      <c r="A140" s="12" t="s">
        <v>142</v>
      </c>
      <c r="B140" s="13" t="n">
        <f aca="false">Setup!$C$11+134</f>
        <v>45797</v>
      </c>
      <c r="C140" s="47"/>
      <c r="D140" s="48"/>
    </row>
    <row r="141" customFormat="false" ht="15" hidden="false" customHeight="false" outlineLevel="0" collapsed="false">
      <c r="A141" s="12" t="s">
        <v>142</v>
      </c>
      <c r="B141" s="13" t="n">
        <f aca="false">Setup!$C$11+135</f>
        <v>45798</v>
      </c>
      <c r="C141" s="47"/>
      <c r="D141" s="48"/>
    </row>
    <row r="142" customFormat="false" ht="15" hidden="false" customHeight="false" outlineLevel="0" collapsed="false">
      <c r="A142" s="12" t="s">
        <v>142</v>
      </c>
      <c r="B142" s="13" t="n">
        <f aca="false">Setup!$C$11+136</f>
        <v>45799</v>
      </c>
      <c r="C142" s="47"/>
      <c r="D142" s="48"/>
    </row>
    <row r="143" customFormat="false" ht="15" hidden="false" customHeight="false" outlineLevel="0" collapsed="false">
      <c r="A143" s="12" t="s">
        <v>142</v>
      </c>
      <c r="B143" s="13" t="n">
        <f aca="false">Setup!$C$11+137</f>
        <v>45800</v>
      </c>
      <c r="C143" s="47"/>
      <c r="D143" s="48"/>
    </row>
    <row r="144" customFormat="false" ht="15" hidden="false" customHeight="false" outlineLevel="0" collapsed="false">
      <c r="A144" s="12" t="s">
        <v>142</v>
      </c>
      <c r="B144" s="13" t="n">
        <f aca="false">Setup!$C$11+138</f>
        <v>45801</v>
      </c>
      <c r="C144" s="47"/>
      <c r="D144" s="48"/>
    </row>
    <row r="145" customFormat="false" ht="15" hidden="false" customHeight="false" outlineLevel="0" collapsed="false">
      <c r="A145" s="12" t="s">
        <v>142</v>
      </c>
      <c r="B145" s="13" t="n">
        <f aca="false">Setup!$C$11+139</f>
        <v>45802</v>
      </c>
      <c r="C145" s="47"/>
      <c r="D145" s="48"/>
    </row>
    <row r="146" customFormat="false" ht="15" hidden="false" customHeight="false" outlineLevel="0" collapsed="false">
      <c r="A146" s="12" t="s">
        <v>143</v>
      </c>
      <c r="B146" s="13" t="n">
        <f aca="false">Setup!$C$11+140</f>
        <v>45803</v>
      </c>
      <c r="C146" s="47"/>
      <c r="D146" s="48"/>
    </row>
    <row r="147" customFormat="false" ht="15" hidden="false" customHeight="false" outlineLevel="0" collapsed="false">
      <c r="A147" s="12" t="s">
        <v>143</v>
      </c>
      <c r="B147" s="13" t="n">
        <f aca="false">Setup!$C$11+141</f>
        <v>45804</v>
      </c>
      <c r="C147" s="47"/>
      <c r="D147" s="48"/>
    </row>
    <row r="148" customFormat="false" ht="15" hidden="false" customHeight="false" outlineLevel="0" collapsed="false">
      <c r="A148" s="12" t="s">
        <v>143</v>
      </c>
      <c r="B148" s="13" t="n">
        <f aca="false">Setup!$C$11+142</f>
        <v>45805</v>
      </c>
      <c r="C148" s="47"/>
      <c r="D148" s="48"/>
    </row>
    <row r="149" customFormat="false" ht="15" hidden="false" customHeight="false" outlineLevel="0" collapsed="false">
      <c r="A149" s="12" t="s">
        <v>143</v>
      </c>
      <c r="B149" s="13" t="n">
        <f aca="false">Setup!$C$11+143</f>
        <v>45806</v>
      </c>
      <c r="C149" s="47"/>
      <c r="D149" s="48"/>
    </row>
    <row r="150" customFormat="false" ht="15" hidden="false" customHeight="false" outlineLevel="0" collapsed="false">
      <c r="A150" s="12" t="s">
        <v>143</v>
      </c>
      <c r="B150" s="13" t="n">
        <f aca="false">Setup!$C$11+144</f>
        <v>45807</v>
      </c>
      <c r="C150" s="47"/>
      <c r="D150" s="48"/>
    </row>
    <row r="151" customFormat="false" ht="15" hidden="false" customHeight="false" outlineLevel="0" collapsed="false">
      <c r="A151" s="12" t="s">
        <v>143</v>
      </c>
      <c r="B151" s="13" t="n">
        <f aca="false">Setup!$C$11+145</f>
        <v>45808</v>
      </c>
      <c r="C151" s="47"/>
      <c r="D151" s="48"/>
    </row>
    <row r="152" customFormat="false" ht="15" hidden="false" customHeight="false" outlineLevel="0" collapsed="false">
      <c r="A152" s="12" t="s">
        <v>143</v>
      </c>
      <c r="B152" s="13" t="n">
        <f aca="false">Setup!$C$11+146</f>
        <v>45809</v>
      </c>
      <c r="C152" s="47"/>
      <c r="D152" s="48"/>
    </row>
    <row r="153" customFormat="false" ht="15" hidden="false" customHeight="false" outlineLevel="0" collapsed="false">
      <c r="A153" s="12" t="s">
        <v>144</v>
      </c>
      <c r="B153" s="13" t="n">
        <f aca="false">Setup!$C$11+147</f>
        <v>45810</v>
      </c>
      <c r="C153" s="47"/>
      <c r="D153" s="48"/>
    </row>
    <row r="154" customFormat="false" ht="15" hidden="false" customHeight="false" outlineLevel="0" collapsed="false">
      <c r="A154" s="12" t="s">
        <v>144</v>
      </c>
      <c r="B154" s="13" t="n">
        <f aca="false">Setup!$C$11+148</f>
        <v>45811</v>
      </c>
      <c r="C154" s="47"/>
      <c r="D154" s="48"/>
    </row>
    <row r="155" customFormat="false" ht="15" hidden="false" customHeight="false" outlineLevel="0" collapsed="false">
      <c r="A155" s="12" t="s">
        <v>144</v>
      </c>
      <c r="B155" s="13" t="n">
        <f aca="false">Setup!$C$11+149</f>
        <v>45812</v>
      </c>
      <c r="C155" s="47"/>
      <c r="D155" s="48"/>
    </row>
    <row r="156" customFormat="false" ht="15" hidden="false" customHeight="false" outlineLevel="0" collapsed="false">
      <c r="A156" s="12" t="s">
        <v>144</v>
      </c>
      <c r="B156" s="13" t="n">
        <f aca="false">Setup!$C$11+150</f>
        <v>45813</v>
      </c>
      <c r="C156" s="47"/>
      <c r="D156" s="48"/>
    </row>
    <row r="157" customFormat="false" ht="15" hidden="false" customHeight="false" outlineLevel="0" collapsed="false">
      <c r="A157" s="12" t="s">
        <v>144</v>
      </c>
      <c r="B157" s="13" t="n">
        <f aca="false">Setup!$C$11+151</f>
        <v>45814</v>
      </c>
      <c r="C157" s="47"/>
      <c r="D157" s="48"/>
    </row>
    <row r="158" customFormat="false" ht="15" hidden="false" customHeight="false" outlineLevel="0" collapsed="false">
      <c r="A158" s="12" t="s">
        <v>144</v>
      </c>
      <c r="B158" s="13" t="n">
        <f aca="false">Setup!$C$11+152</f>
        <v>45815</v>
      </c>
      <c r="C158" s="47"/>
      <c r="D158" s="48"/>
    </row>
    <row r="159" customFormat="false" ht="15" hidden="false" customHeight="false" outlineLevel="0" collapsed="false">
      <c r="A159" s="12" t="s">
        <v>144</v>
      </c>
      <c r="B159" s="13" t="n">
        <f aca="false">Setup!$C$11+153</f>
        <v>45816</v>
      </c>
      <c r="C159" s="47"/>
      <c r="D159" s="48"/>
    </row>
    <row r="160" customFormat="false" ht="15" hidden="false" customHeight="false" outlineLevel="0" collapsed="false">
      <c r="A160" s="12" t="s">
        <v>145</v>
      </c>
      <c r="B160" s="13" t="n">
        <f aca="false">Setup!$C$11+154</f>
        <v>45817</v>
      </c>
      <c r="C160" s="47"/>
      <c r="D160" s="48"/>
    </row>
    <row r="161" customFormat="false" ht="15" hidden="false" customHeight="false" outlineLevel="0" collapsed="false">
      <c r="A161" s="12" t="s">
        <v>145</v>
      </c>
      <c r="B161" s="13" t="n">
        <f aca="false">Setup!$C$11+155</f>
        <v>45818</v>
      </c>
      <c r="C161" s="47"/>
      <c r="D161" s="48"/>
    </row>
    <row r="162" customFormat="false" ht="15" hidden="false" customHeight="false" outlineLevel="0" collapsed="false">
      <c r="A162" s="12" t="s">
        <v>145</v>
      </c>
      <c r="B162" s="13" t="n">
        <f aca="false">Setup!$C$11+156</f>
        <v>45819</v>
      </c>
      <c r="C162" s="47"/>
      <c r="D162" s="48"/>
    </row>
    <row r="163" customFormat="false" ht="15" hidden="false" customHeight="false" outlineLevel="0" collapsed="false">
      <c r="A163" s="12" t="s">
        <v>145</v>
      </c>
      <c r="B163" s="13" t="n">
        <f aca="false">Setup!$C$11+157</f>
        <v>45820</v>
      </c>
      <c r="C163" s="47"/>
      <c r="D163" s="48"/>
    </row>
    <row r="164" customFormat="false" ht="15" hidden="false" customHeight="false" outlineLevel="0" collapsed="false">
      <c r="A164" s="12" t="s">
        <v>145</v>
      </c>
      <c r="B164" s="13" t="n">
        <f aca="false">Setup!$C$11+158</f>
        <v>45821</v>
      </c>
      <c r="C164" s="47"/>
      <c r="D164" s="48"/>
    </row>
    <row r="165" customFormat="false" ht="15" hidden="false" customHeight="false" outlineLevel="0" collapsed="false">
      <c r="A165" s="12" t="s">
        <v>145</v>
      </c>
      <c r="B165" s="13" t="n">
        <f aca="false">Setup!$C$11+159</f>
        <v>45822</v>
      </c>
      <c r="C165" s="47"/>
      <c r="D165" s="48"/>
    </row>
    <row r="166" customFormat="false" ht="15" hidden="false" customHeight="false" outlineLevel="0" collapsed="false">
      <c r="A166" s="12" t="s">
        <v>145</v>
      </c>
      <c r="B166" s="13" t="n">
        <f aca="false">Setup!$C$11+160</f>
        <v>45823</v>
      </c>
      <c r="C166" s="47"/>
      <c r="D166" s="48"/>
    </row>
    <row r="167" customFormat="false" ht="15" hidden="false" customHeight="false" outlineLevel="0" collapsed="false">
      <c r="A167" s="12" t="s">
        <v>146</v>
      </c>
      <c r="B167" s="13" t="n">
        <f aca="false">Setup!$C$11+161</f>
        <v>45824</v>
      </c>
      <c r="C167" s="47"/>
      <c r="D167" s="48"/>
    </row>
    <row r="168" customFormat="false" ht="15" hidden="false" customHeight="false" outlineLevel="0" collapsed="false">
      <c r="A168" s="12" t="s">
        <v>146</v>
      </c>
      <c r="B168" s="13" t="n">
        <f aca="false">Setup!$C$11+162</f>
        <v>45825</v>
      </c>
      <c r="C168" s="47"/>
      <c r="D168" s="48"/>
    </row>
    <row r="169" customFormat="false" ht="15" hidden="false" customHeight="false" outlineLevel="0" collapsed="false">
      <c r="A169" s="12" t="s">
        <v>146</v>
      </c>
      <c r="B169" s="13" t="n">
        <f aca="false">Setup!$C$11+163</f>
        <v>45826</v>
      </c>
      <c r="C169" s="47"/>
      <c r="D169" s="48"/>
    </row>
    <row r="170" customFormat="false" ht="15" hidden="false" customHeight="false" outlineLevel="0" collapsed="false">
      <c r="A170" s="12" t="s">
        <v>146</v>
      </c>
      <c r="B170" s="13" t="n">
        <f aca="false">Setup!$C$11+164</f>
        <v>45827</v>
      </c>
      <c r="C170" s="47"/>
      <c r="D170" s="48"/>
    </row>
    <row r="171" customFormat="false" ht="15" hidden="false" customHeight="false" outlineLevel="0" collapsed="false">
      <c r="A171" s="12" t="s">
        <v>146</v>
      </c>
      <c r="B171" s="13" t="n">
        <f aca="false">Setup!$C$11+165</f>
        <v>45828</v>
      </c>
      <c r="C171" s="47"/>
      <c r="D171" s="48"/>
    </row>
    <row r="172" customFormat="false" ht="15" hidden="false" customHeight="false" outlineLevel="0" collapsed="false">
      <c r="A172" s="12" t="s">
        <v>146</v>
      </c>
      <c r="B172" s="13" t="n">
        <f aca="false">Setup!$C$11+166</f>
        <v>45829</v>
      </c>
      <c r="C172" s="47"/>
      <c r="D172" s="48"/>
    </row>
    <row r="173" customFormat="false" ht="15" hidden="false" customHeight="false" outlineLevel="0" collapsed="false">
      <c r="A173" s="12" t="s">
        <v>146</v>
      </c>
      <c r="B173" s="13" t="n">
        <f aca="false">Setup!$C$11+167</f>
        <v>45830</v>
      </c>
      <c r="C173" s="47"/>
      <c r="D173" s="48"/>
    </row>
    <row r="174" customFormat="false" ht="15" hidden="false" customHeight="false" outlineLevel="0" collapsed="false">
      <c r="A174" s="12" t="s">
        <v>147</v>
      </c>
      <c r="B174" s="13" t="n">
        <f aca="false">Setup!$C$11+168</f>
        <v>45831</v>
      </c>
      <c r="C174" s="47"/>
      <c r="D174" s="48"/>
    </row>
    <row r="175" customFormat="false" ht="15" hidden="false" customHeight="false" outlineLevel="0" collapsed="false">
      <c r="A175" s="12" t="s">
        <v>147</v>
      </c>
      <c r="B175" s="13" t="n">
        <f aca="false">Setup!$C$11+169</f>
        <v>45832</v>
      </c>
      <c r="C175" s="47"/>
      <c r="D175" s="48"/>
    </row>
    <row r="176" customFormat="false" ht="15" hidden="false" customHeight="false" outlineLevel="0" collapsed="false">
      <c r="A176" s="12" t="s">
        <v>147</v>
      </c>
      <c r="B176" s="13" t="n">
        <f aca="false">Setup!$C$11+170</f>
        <v>45833</v>
      </c>
      <c r="C176" s="47"/>
      <c r="D176" s="48"/>
    </row>
    <row r="177" customFormat="false" ht="15" hidden="false" customHeight="false" outlineLevel="0" collapsed="false">
      <c r="A177" s="12" t="s">
        <v>147</v>
      </c>
      <c r="B177" s="13" t="n">
        <f aca="false">Setup!$C$11+171</f>
        <v>45834</v>
      </c>
      <c r="C177" s="47"/>
      <c r="D177" s="48"/>
    </row>
    <row r="178" customFormat="false" ht="15" hidden="false" customHeight="false" outlineLevel="0" collapsed="false">
      <c r="A178" s="12" t="s">
        <v>147</v>
      </c>
      <c r="B178" s="13" t="n">
        <f aca="false">Setup!$C$11+172</f>
        <v>45835</v>
      </c>
      <c r="C178" s="47"/>
      <c r="D178" s="48"/>
    </row>
    <row r="179" customFormat="false" ht="15" hidden="false" customHeight="false" outlineLevel="0" collapsed="false">
      <c r="A179" s="12" t="s">
        <v>147</v>
      </c>
      <c r="B179" s="13" t="n">
        <f aca="false">Setup!$C$11+173</f>
        <v>45836</v>
      </c>
      <c r="C179" s="47"/>
      <c r="D179" s="48"/>
    </row>
    <row r="180" customFormat="false" ht="15" hidden="false" customHeight="false" outlineLevel="0" collapsed="false">
      <c r="A180" s="12" t="s">
        <v>147</v>
      </c>
      <c r="B180" s="13" t="n">
        <f aca="false">Setup!$C$11+174</f>
        <v>45837</v>
      </c>
      <c r="C180" s="47"/>
      <c r="D180" s="48"/>
    </row>
    <row r="181" customFormat="false" ht="15" hidden="false" customHeight="false" outlineLevel="0" collapsed="false">
      <c r="A181" s="12" t="s">
        <v>148</v>
      </c>
      <c r="B181" s="13" t="n">
        <f aca="false">Setup!$C$11+175</f>
        <v>45838</v>
      </c>
      <c r="C181" s="47"/>
      <c r="D181" s="48"/>
    </row>
    <row r="182" customFormat="false" ht="15" hidden="false" customHeight="false" outlineLevel="0" collapsed="false">
      <c r="A182" s="12" t="s">
        <v>148</v>
      </c>
      <c r="B182" s="13" t="n">
        <f aca="false">Setup!$C$11+176</f>
        <v>45839</v>
      </c>
      <c r="C182" s="47"/>
      <c r="D182" s="48"/>
    </row>
    <row r="183" customFormat="false" ht="15" hidden="false" customHeight="false" outlineLevel="0" collapsed="false">
      <c r="A183" s="12" t="s">
        <v>148</v>
      </c>
      <c r="B183" s="13" t="n">
        <f aca="false">Setup!$C$11+177</f>
        <v>45840</v>
      </c>
      <c r="C183" s="47"/>
      <c r="D183" s="48"/>
    </row>
    <row r="184" customFormat="false" ht="15" hidden="false" customHeight="false" outlineLevel="0" collapsed="false">
      <c r="A184" s="12" t="s">
        <v>148</v>
      </c>
      <c r="B184" s="13" t="n">
        <f aca="false">Setup!$C$11+178</f>
        <v>45841</v>
      </c>
      <c r="C184" s="47"/>
      <c r="D184" s="48"/>
    </row>
    <row r="185" customFormat="false" ht="15" hidden="false" customHeight="false" outlineLevel="0" collapsed="false">
      <c r="A185" s="12" t="s">
        <v>148</v>
      </c>
      <c r="B185" s="13" t="n">
        <f aca="false">Setup!$C$11+179</f>
        <v>45842</v>
      </c>
      <c r="C185" s="47"/>
      <c r="D185" s="48"/>
    </row>
    <row r="186" customFormat="false" ht="15" hidden="false" customHeight="false" outlineLevel="0" collapsed="false">
      <c r="A186" s="12" t="s">
        <v>148</v>
      </c>
      <c r="B186" s="13" t="n">
        <f aca="false">Setup!$C$11+180</f>
        <v>45843</v>
      </c>
      <c r="C186" s="47"/>
      <c r="D186" s="48"/>
    </row>
    <row r="187" customFormat="false" ht="15" hidden="false" customHeight="false" outlineLevel="0" collapsed="false">
      <c r="A187" s="12" t="s">
        <v>148</v>
      </c>
      <c r="B187" s="13" t="n">
        <f aca="false">Setup!$C$11+181</f>
        <v>45844</v>
      </c>
      <c r="C187" s="47"/>
      <c r="D187" s="48"/>
    </row>
    <row r="188" customFormat="false" ht="15" hidden="false" customHeight="false" outlineLevel="0" collapsed="false">
      <c r="A188" s="12" t="s">
        <v>149</v>
      </c>
      <c r="B188" s="13" t="n">
        <f aca="false">Setup!$C$11+182</f>
        <v>45845</v>
      </c>
      <c r="C188" s="47"/>
      <c r="D188" s="48"/>
    </row>
    <row r="189" customFormat="false" ht="15" hidden="false" customHeight="false" outlineLevel="0" collapsed="false">
      <c r="A189" s="12" t="s">
        <v>149</v>
      </c>
      <c r="B189" s="13" t="n">
        <f aca="false">Setup!$C$11+183</f>
        <v>45846</v>
      </c>
      <c r="C189" s="47"/>
      <c r="D189" s="48"/>
    </row>
    <row r="190" customFormat="false" ht="15" hidden="false" customHeight="false" outlineLevel="0" collapsed="false">
      <c r="A190" s="12" t="s">
        <v>149</v>
      </c>
      <c r="B190" s="13" t="n">
        <f aca="false">Setup!$C$11+184</f>
        <v>45847</v>
      </c>
      <c r="C190" s="47"/>
      <c r="D190" s="48"/>
    </row>
    <row r="191" customFormat="false" ht="15" hidden="false" customHeight="false" outlineLevel="0" collapsed="false">
      <c r="A191" s="12" t="s">
        <v>149</v>
      </c>
      <c r="B191" s="13" t="n">
        <f aca="false">Setup!$C$11+185</f>
        <v>45848</v>
      </c>
      <c r="C191" s="47"/>
      <c r="D191" s="48"/>
    </row>
    <row r="192" customFormat="false" ht="15" hidden="false" customHeight="false" outlineLevel="0" collapsed="false">
      <c r="A192" s="12" t="s">
        <v>149</v>
      </c>
      <c r="B192" s="13" t="n">
        <f aca="false">Setup!$C$11+186</f>
        <v>45849</v>
      </c>
      <c r="C192" s="47"/>
      <c r="D192" s="48"/>
    </row>
    <row r="193" customFormat="false" ht="15" hidden="false" customHeight="false" outlineLevel="0" collapsed="false">
      <c r="A193" s="12" t="s">
        <v>149</v>
      </c>
      <c r="B193" s="13" t="n">
        <f aca="false">Setup!$C$11+187</f>
        <v>45850</v>
      </c>
      <c r="C193" s="47"/>
      <c r="D193" s="48"/>
    </row>
    <row r="194" customFormat="false" ht="15" hidden="false" customHeight="false" outlineLevel="0" collapsed="false">
      <c r="A194" s="12" t="s">
        <v>149</v>
      </c>
      <c r="B194" s="13" t="n">
        <f aca="false">Setup!$C$11+188</f>
        <v>45851</v>
      </c>
      <c r="C194" s="47"/>
      <c r="D194" s="48"/>
    </row>
    <row r="195" customFormat="false" ht="15" hidden="false" customHeight="false" outlineLevel="0" collapsed="false">
      <c r="A195" s="12" t="s">
        <v>150</v>
      </c>
      <c r="B195" s="13" t="n">
        <f aca="false">Setup!$C$11+189</f>
        <v>45852</v>
      </c>
      <c r="C195" s="47"/>
      <c r="D195" s="48"/>
    </row>
    <row r="196" customFormat="false" ht="15" hidden="false" customHeight="false" outlineLevel="0" collapsed="false">
      <c r="A196" s="12" t="s">
        <v>150</v>
      </c>
      <c r="B196" s="13" t="n">
        <f aca="false">Setup!$C$11+190</f>
        <v>45853</v>
      </c>
      <c r="C196" s="47"/>
      <c r="D196" s="48"/>
    </row>
    <row r="197" customFormat="false" ht="15" hidden="false" customHeight="false" outlineLevel="0" collapsed="false">
      <c r="A197" s="12" t="s">
        <v>150</v>
      </c>
      <c r="B197" s="13" t="n">
        <f aca="false">Setup!$C$11+191</f>
        <v>45854</v>
      </c>
      <c r="C197" s="47"/>
      <c r="D197" s="48"/>
    </row>
    <row r="198" customFormat="false" ht="15" hidden="false" customHeight="false" outlineLevel="0" collapsed="false">
      <c r="A198" s="12" t="s">
        <v>150</v>
      </c>
      <c r="B198" s="13" t="n">
        <f aca="false">Setup!$C$11+192</f>
        <v>45855</v>
      </c>
      <c r="C198" s="47"/>
      <c r="D198" s="48"/>
    </row>
    <row r="199" customFormat="false" ht="15" hidden="false" customHeight="false" outlineLevel="0" collapsed="false">
      <c r="A199" s="12" t="s">
        <v>150</v>
      </c>
      <c r="B199" s="13" t="n">
        <f aca="false">Setup!$C$11+193</f>
        <v>45856</v>
      </c>
      <c r="C199" s="47"/>
      <c r="D199" s="48"/>
    </row>
    <row r="200" customFormat="false" ht="15" hidden="false" customHeight="false" outlineLevel="0" collapsed="false">
      <c r="A200" s="12" t="s">
        <v>150</v>
      </c>
      <c r="B200" s="13" t="n">
        <f aca="false">Setup!$C$11+194</f>
        <v>45857</v>
      </c>
      <c r="C200" s="47"/>
      <c r="D200" s="48"/>
    </row>
    <row r="201" customFormat="false" ht="15" hidden="false" customHeight="false" outlineLevel="0" collapsed="false">
      <c r="A201" s="12" t="s">
        <v>150</v>
      </c>
      <c r="B201" s="13" t="n">
        <f aca="false">Setup!$C$11+195</f>
        <v>45858</v>
      </c>
      <c r="C201" s="47"/>
      <c r="D201" s="48"/>
    </row>
    <row r="202" customFormat="false" ht="15" hidden="false" customHeight="false" outlineLevel="0" collapsed="false">
      <c r="A202" s="12" t="s">
        <v>151</v>
      </c>
      <c r="B202" s="13" t="n">
        <f aca="false">Setup!$C$11+196</f>
        <v>45859</v>
      </c>
      <c r="C202" s="47"/>
      <c r="D202" s="48"/>
    </row>
    <row r="203" customFormat="false" ht="15" hidden="false" customHeight="false" outlineLevel="0" collapsed="false">
      <c r="A203" s="12" t="s">
        <v>151</v>
      </c>
      <c r="B203" s="13" t="n">
        <f aca="false">Setup!$C$11+197</f>
        <v>45860</v>
      </c>
      <c r="C203" s="47"/>
      <c r="D203" s="48"/>
    </row>
    <row r="204" customFormat="false" ht="15" hidden="false" customHeight="false" outlineLevel="0" collapsed="false">
      <c r="A204" s="12" t="s">
        <v>151</v>
      </c>
      <c r="B204" s="13" t="n">
        <f aca="false">Setup!$C$11+198</f>
        <v>45861</v>
      </c>
      <c r="C204" s="47"/>
      <c r="D204" s="48"/>
    </row>
    <row r="205" customFormat="false" ht="15" hidden="false" customHeight="false" outlineLevel="0" collapsed="false">
      <c r="A205" s="12" t="s">
        <v>151</v>
      </c>
      <c r="B205" s="13" t="n">
        <f aca="false">Setup!$C$11+199</f>
        <v>45862</v>
      </c>
      <c r="C205" s="47"/>
      <c r="D205" s="48"/>
    </row>
    <row r="206" customFormat="false" ht="15" hidden="false" customHeight="false" outlineLevel="0" collapsed="false">
      <c r="A206" s="12" t="s">
        <v>151</v>
      </c>
      <c r="B206" s="13" t="n">
        <f aca="false">Setup!$C$11+200</f>
        <v>45863</v>
      </c>
      <c r="C206" s="47"/>
      <c r="D206" s="48"/>
    </row>
    <row r="207" customFormat="false" ht="15" hidden="false" customHeight="false" outlineLevel="0" collapsed="false">
      <c r="A207" s="12" t="s">
        <v>151</v>
      </c>
      <c r="B207" s="13" t="n">
        <f aca="false">Setup!$C$11+201</f>
        <v>45864</v>
      </c>
      <c r="C207" s="47"/>
      <c r="D207" s="48"/>
    </row>
    <row r="208" customFormat="false" ht="15" hidden="false" customHeight="false" outlineLevel="0" collapsed="false">
      <c r="A208" s="12" t="s">
        <v>151</v>
      </c>
      <c r="B208" s="13" t="n">
        <f aca="false">Setup!$C$11+202</f>
        <v>45865</v>
      </c>
      <c r="C208" s="47"/>
      <c r="D208" s="48"/>
    </row>
    <row r="209" customFormat="false" ht="15" hidden="false" customHeight="false" outlineLevel="0" collapsed="false">
      <c r="A209" s="12" t="s">
        <v>152</v>
      </c>
      <c r="B209" s="13" t="n">
        <f aca="false">Setup!$C$11+203</f>
        <v>45866</v>
      </c>
      <c r="C209" s="47"/>
      <c r="D209" s="48"/>
    </row>
    <row r="210" customFormat="false" ht="15" hidden="false" customHeight="false" outlineLevel="0" collapsed="false">
      <c r="A210" s="12" t="s">
        <v>152</v>
      </c>
      <c r="B210" s="13" t="n">
        <f aca="false">Setup!$C$11+204</f>
        <v>45867</v>
      </c>
      <c r="C210" s="47"/>
      <c r="D210" s="48"/>
    </row>
    <row r="211" customFormat="false" ht="15" hidden="false" customHeight="false" outlineLevel="0" collapsed="false">
      <c r="A211" s="12" t="s">
        <v>152</v>
      </c>
      <c r="B211" s="13" t="n">
        <f aca="false">Setup!$C$11+205</f>
        <v>45868</v>
      </c>
      <c r="C211" s="47"/>
      <c r="D211" s="48"/>
    </row>
    <row r="212" customFormat="false" ht="15" hidden="false" customHeight="false" outlineLevel="0" collapsed="false">
      <c r="A212" s="12" t="s">
        <v>152</v>
      </c>
      <c r="B212" s="13" t="n">
        <f aca="false">Setup!$C$11+206</f>
        <v>45869</v>
      </c>
      <c r="C212" s="47"/>
      <c r="D212" s="48"/>
    </row>
    <row r="213" customFormat="false" ht="15" hidden="false" customHeight="false" outlineLevel="0" collapsed="false">
      <c r="A213" s="12" t="s">
        <v>152</v>
      </c>
      <c r="B213" s="13" t="n">
        <f aca="false">Setup!$C$11+207</f>
        <v>45870</v>
      </c>
      <c r="C213" s="47"/>
      <c r="D213" s="48"/>
    </row>
    <row r="214" customFormat="false" ht="15" hidden="false" customHeight="false" outlineLevel="0" collapsed="false">
      <c r="A214" s="12" t="s">
        <v>152</v>
      </c>
      <c r="B214" s="13" t="n">
        <f aca="false">Setup!$C$11+208</f>
        <v>45871</v>
      </c>
      <c r="C214" s="47"/>
      <c r="D214" s="48"/>
    </row>
    <row r="215" customFormat="false" ht="15" hidden="false" customHeight="false" outlineLevel="0" collapsed="false">
      <c r="A215" s="12" t="s">
        <v>152</v>
      </c>
      <c r="B215" s="13" t="n">
        <f aca="false">Setup!$C$11+209</f>
        <v>45872</v>
      </c>
      <c r="C215" s="47"/>
      <c r="D215" s="48"/>
    </row>
    <row r="216" customFormat="false" ht="15" hidden="false" customHeight="false" outlineLevel="0" collapsed="false">
      <c r="A216" s="12" t="s">
        <v>153</v>
      </c>
      <c r="B216" s="13" t="n">
        <f aca="false">Setup!$C$11+210</f>
        <v>45873</v>
      </c>
      <c r="C216" s="47"/>
      <c r="D216" s="48"/>
    </row>
    <row r="217" customFormat="false" ht="15" hidden="false" customHeight="false" outlineLevel="0" collapsed="false">
      <c r="A217" s="12" t="s">
        <v>153</v>
      </c>
      <c r="B217" s="13" t="n">
        <f aca="false">Setup!$C$11+211</f>
        <v>45874</v>
      </c>
      <c r="C217" s="47"/>
      <c r="D217" s="48"/>
    </row>
    <row r="218" customFormat="false" ht="15" hidden="false" customHeight="false" outlineLevel="0" collapsed="false">
      <c r="A218" s="12" t="s">
        <v>153</v>
      </c>
      <c r="B218" s="13" t="n">
        <f aca="false">Setup!$C$11+212</f>
        <v>45875</v>
      </c>
      <c r="C218" s="47"/>
      <c r="D218" s="48"/>
    </row>
    <row r="219" customFormat="false" ht="15" hidden="false" customHeight="false" outlineLevel="0" collapsed="false">
      <c r="A219" s="12" t="s">
        <v>153</v>
      </c>
      <c r="B219" s="13" t="n">
        <f aca="false">Setup!$C$11+213</f>
        <v>45876</v>
      </c>
      <c r="C219" s="47"/>
      <c r="D219" s="48"/>
    </row>
    <row r="220" customFormat="false" ht="15" hidden="false" customHeight="false" outlineLevel="0" collapsed="false">
      <c r="A220" s="12" t="s">
        <v>153</v>
      </c>
      <c r="B220" s="13" t="n">
        <f aca="false">Setup!$C$11+214</f>
        <v>45877</v>
      </c>
      <c r="C220" s="47"/>
      <c r="D220" s="48"/>
    </row>
    <row r="221" customFormat="false" ht="15" hidden="false" customHeight="false" outlineLevel="0" collapsed="false">
      <c r="A221" s="12" t="s">
        <v>153</v>
      </c>
      <c r="B221" s="13" t="n">
        <f aca="false">Setup!$C$11+215</f>
        <v>45878</v>
      </c>
      <c r="C221" s="47"/>
      <c r="D221" s="48"/>
    </row>
    <row r="222" customFormat="false" ht="15" hidden="false" customHeight="false" outlineLevel="0" collapsed="false">
      <c r="A222" s="12" t="s">
        <v>153</v>
      </c>
      <c r="B222" s="13" t="n">
        <f aca="false">Setup!$C$11+216</f>
        <v>45879</v>
      </c>
      <c r="C222" s="47"/>
      <c r="D222" s="48"/>
    </row>
    <row r="223" customFormat="false" ht="15" hidden="false" customHeight="false" outlineLevel="0" collapsed="false">
      <c r="A223" s="12" t="s">
        <v>154</v>
      </c>
      <c r="B223" s="13" t="n">
        <f aca="false">Setup!$C$11+217</f>
        <v>45880</v>
      </c>
      <c r="C223" s="47"/>
      <c r="D223" s="48"/>
    </row>
    <row r="224" customFormat="false" ht="15" hidden="false" customHeight="false" outlineLevel="0" collapsed="false">
      <c r="A224" s="12" t="s">
        <v>154</v>
      </c>
      <c r="B224" s="13" t="n">
        <f aca="false">Setup!$C$11+218</f>
        <v>45881</v>
      </c>
      <c r="C224" s="47"/>
      <c r="D224" s="48"/>
    </row>
    <row r="225" customFormat="false" ht="15" hidden="false" customHeight="false" outlineLevel="0" collapsed="false">
      <c r="A225" s="12" t="s">
        <v>154</v>
      </c>
      <c r="B225" s="13" t="n">
        <f aca="false">Setup!$C$11+219</f>
        <v>45882</v>
      </c>
      <c r="C225" s="47"/>
      <c r="D225" s="48"/>
    </row>
    <row r="226" customFormat="false" ht="15" hidden="false" customHeight="false" outlineLevel="0" collapsed="false">
      <c r="A226" s="12" t="s">
        <v>154</v>
      </c>
      <c r="B226" s="13" t="n">
        <f aca="false">Setup!$C$11+220</f>
        <v>45883</v>
      </c>
      <c r="C226" s="47"/>
      <c r="D226" s="48"/>
    </row>
    <row r="227" customFormat="false" ht="15" hidden="false" customHeight="false" outlineLevel="0" collapsed="false">
      <c r="A227" s="12" t="s">
        <v>154</v>
      </c>
      <c r="B227" s="13" t="n">
        <f aca="false">Setup!$C$11+221</f>
        <v>45884</v>
      </c>
      <c r="C227" s="47"/>
      <c r="D227" s="48"/>
    </row>
    <row r="228" customFormat="false" ht="15" hidden="false" customHeight="false" outlineLevel="0" collapsed="false">
      <c r="A228" s="12" t="s">
        <v>154</v>
      </c>
      <c r="B228" s="13" t="n">
        <f aca="false">Setup!$C$11+222</f>
        <v>45885</v>
      </c>
      <c r="C228" s="47"/>
      <c r="D228" s="48"/>
    </row>
    <row r="229" customFormat="false" ht="15" hidden="false" customHeight="false" outlineLevel="0" collapsed="false">
      <c r="A229" s="12" t="s">
        <v>154</v>
      </c>
      <c r="B229" s="13" t="n">
        <f aca="false">Setup!$C$11+223</f>
        <v>45886</v>
      </c>
      <c r="C229" s="47"/>
      <c r="D229" s="48"/>
    </row>
    <row r="230" customFormat="false" ht="15" hidden="false" customHeight="false" outlineLevel="0" collapsed="false">
      <c r="A230" s="12" t="s">
        <v>155</v>
      </c>
      <c r="B230" s="13" t="n">
        <f aca="false">Setup!$C$11+224</f>
        <v>45887</v>
      </c>
      <c r="C230" s="47"/>
      <c r="D230" s="48"/>
    </row>
    <row r="231" customFormat="false" ht="15" hidden="false" customHeight="false" outlineLevel="0" collapsed="false">
      <c r="A231" s="12" t="s">
        <v>155</v>
      </c>
      <c r="B231" s="13" t="n">
        <f aca="false">Setup!$C$11+225</f>
        <v>45888</v>
      </c>
      <c r="C231" s="47"/>
      <c r="D231" s="48"/>
    </row>
    <row r="232" customFormat="false" ht="15" hidden="false" customHeight="false" outlineLevel="0" collapsed="false">
      <c r="A232" s="12" t="s">
        <v>155</v>
      </c>
      <c r="B232" s="13" t="n">
        <f aca="false">Setup!$C$11+226</f>
        <v>45889</v>
      </c>
      <c r="C232" s="47"/>
      <c r="D232" s="48"/>
    </row>
    <row r="233" customFormat="false" ht="15" hidden="false" customHeight="false" outlineLevel="0" collapsed="false">
      <c r="A233" s="12" t="s">
        <v>155</v>
      </c>
      <c r="B233" s="13" t="n">
        <f aca="false">Setup!$C$11+227</f>
        <v>45890</v>
      </c>
      <c r="C233" s="47"/>
      <c r="D233" s="48"/>
    </row>
    <row r="234" customFormat="false" ht="15" hidden="false" customHeight="false" outlineLevel="0" collapsed="false">
      <c r="A234" s="12" t="s">
        <v>155</v>
      </c>
      <c r="B234" s="13" t="n">
        <f aca="false">Setup!$C$11+228</f>
        <v>45891</v>
      </c>
      <c r="C234" s="47"/>
      <c r="D234" s="48"/>
    </row>
    <row r="235" customFormat="false" ht="15" hidden="false" customHeight="false" outlineLevel="0" collapsed="false">
      <c r="A235" s="12" t="s">
        <v>155</v>
      </c>
      <c r="B235" s="13" t="n">
        <f aca="false">Setup!$C$11+229</f>
        <v>45892</v>
      </c>
      <c r="C235" s="47"/>
      <c r="D235" s="48"/>
    </row>
    <row r="236" customFormat="false" ht="15" hidden="false" customHeight="false" outlineLevel="0" collapsed="false">
      <c r="A236" s="12" t="s">
        <v>155</v>
      </c>
      <c r="B236" s="13" t="n">
        <f aca="false">Setup!$C$11+230</f>
        <v>45893</v>
      </c>
      <c r="C236" s="47"/>
      <c r="D236" s="48"/>
    </row>
    <row r="237" customFormat="false" ht="15" hidden="false" customHeight="false" outlineLevel="0" collapsed="false">
      <c r="A237" s="12" t="s">
        <v>156</v>
      </c>
      <c r="B237" s="13" t="n">
        <f aca="false">Setup!$C$11+231</f>
        <v>45894</v>
      </c>
      <c r="C237" s="47"/>
      <c r="D237" s="48"/>
    </row>
    <row r="238" customFormat="false" ht="15" hidden="false" customHeight="false" outlineLevel="0" collapsed="false">
      <c r="A238" s="12" t="s">
        <v>156</v>
      </c>
      <c r="B238" s="13" t="n">
        <f aca="false">Setup!$C$11+232</f>
        <v>45895</v>
      </c>
      <c r="C238" s="47"/>
      <c r="D238" s="48"/>
    </row>
    <row r="239" customFormat="false" ht="15" hidden="false" customHeight="false" outlineLevel="0" collapsed="false">
      <c r="A239" s="12" t="s">
        <v>156</v>
      </c>
      <c r="B239" s="13" t="n">
        <f aca="false">Setup!$C$11+233</f>
        <v>45896</v>
      </c>
      <c r="C239" s="47"/>
      <c r="D239" s="48"/>
    </row>
    <row r="240" customFormat="false" ht="15" hidden="false" customHeight="false" outlineLevel="0" collapsed="false">
      <c r="A240" s="12" t="s">
        <v>156</v>
      </c>
      <c r="B240" s="13" t="n">
        <f aca="false">Setup!$C$11+234</f>
        <v>45897</v>
      </c>
      <c r="C240" s="47"/>
      <c r="D240" s="48"/>
    </row>
    <row r="241" customFormat="false" ht="15" hidden="false" customHeight="false" outlineLevel="0" collapsed="false">
      <c r="A241" s="12" t="s">
        <v>156</v>
      </c>
      <c r="B241" s="13" t="n">
        <f aca="false">Setup!$C$11+235</f>
        <v>45898</v>
      </c>
      <c r="C241" s="47"/>
      <c r="D241" s="48"/>
    </row>
    <row r="242" customFormat="false" ht="15" hidden="false" customHeight="false" outlineLevel="0" collapsed="false">
      <c r="A242" s="12" t="s">
        <v>156</v>
      </c>
      <c r="B242" s="13" t="n">
        <f aca="false">Setup!$C$11+236</f>
        <v>45899</v>
      </c>
      <c r="C242" s="47"/>
      <c r="D242" s="48"/>
    </row>
    <row r="243" customFormat="false" ht="15" hidden="false" customHeight="false" outlineLevel="0" collapsed="false">
      <c r="A243" s="12" t="s">
        <v>156</v>
      </c>
      <c r="B243" s="13" t="n">
        <f aca="false">Setup!$C$11+237</f>
        <v>45900</v>
      </c>
      <c r="C243" s="47"/>
      <c r="D243" s="48"/>
    </row>
    <row r="244" customFormat="false" ht="15" hidden="false" customHeight="false" outlineLevel="0" collapsed="false">
      <c r="A244" s="12" t="s">
        <v>157</v>
      </c>
      <c r="B244" s="13" t="n">
        <f aca="false">Setup!$C$11+238</f>
        <v>45901</v>
      </c>
      <c r="C244" s="47"/>
      <c r="D244" s="48"/>
    </row>
    <row r="245" customFormat="false" ht="15" hidden="false" customHeight="false" outlineLevel="0" collapsed="false">
      <c r="A245" s="12" t="s">
        <v>157</v>
      </c>
      <c r="B245" s="13" t="n">
        <f aca="false">Setup!$C$11+239</f>
        <v>45902</v>
      </c>
      <c r="C245" s="47"/>
      <c r="D245" s="48"/>
    </row>
    <row r="246" customFormat="false" ht="15" hidden="false" customHeight="false" outlineLevel="0" collapsed="false">
      <c r="A246" s="12" t="s">
        <v>157</v>
      </c>
      <c r="B246" s="13" t="n">
        <f aca="false">Setup!$C$11+240</f>
        <v>45903</v>
      </c>
      <c r="C246" s="47"/>
      <c r="D246" s="48"/>
    </row>
    <row r="247" customFormat="false" ht="15" hidden="false" customHeight="false" outlineLevel="0" collapsed="false">
      <c r="A247" s="12" t="s">
        <v>157</v>
      </c>
      <c r="B247" s="13" t="n">
        <f aca="false">Setup!$C$11+241</f>
        <v>45904</v>
      </c>
      <c r="C247" s="47"/>
      <c r="D247" s="48"/>
    </row>
    <row r="248" customFormat="false" ht="15" hidden="false" customHeight="false" outlineLevel="0" collapsed="false">
      <c r="A248" s="12" t="s">
        <v>157</v>
      </c>
      <c r="B248" s="13" t="n">
        <f aca="false">Setup!$C$11+242</f>
        <v>45905</v>
      </c>
      <c r="C248" s="47"/>
      <c r="D248" s="48"/>
    </row>
    <row r="249" customFormat="false" ht="15" hidden="false" customHeight="false" outlineLevel="0" collapsed="false">
      <c r="A249" s="12" t="s">
        <v>157</v>
      </c>
      <c r="B249" s="13" t="n">
        <f aca="false">Setup!$C$11+243</f>
        <v>45906</v>
      </c>
      <c r="C249" s="47"/>
      <c r="D249" s="48"/>
    </row>
    <row r="250" customFormat="false" ht="15" hidden="false" customHeight="false" outlineLevel="0" collapsed="false">
      <c r="A250" s="12" t="s">
        <v>157</v>
      </c>
      <c r="B250" s="13" t="n">
        <f aca="false">Setup!$C$11+244</f>
        <v>45907</v>
      </c>
      <c r="C250" s="47"/>
      <c r="D250" s="48"/>
    </row>
    <row r="251" customFormat="false" ht="15" hidden="false" customHeight="false" outlineLevel="0" collapsed="false">
      <c r="A251" s="12" t="s">
        <v>158</v>
      </c>
      <c r="B251" s="13" t="n">
        <f aca="false">Setup!$C$11+245</f>
        <v>45908</v>
      </c>
      <c r="C251" s="47"/>
      <c r="D251" s="48"/>
    </row>
    <row r="252" customFormat="false" ht="15" hidden="false" customHeight="false" outlineLevel="0" collapsed="false">
      <c r="A252" s="12" t="s">
        <v>158</v>
      </c>
      <c r="B252" s="13" t="n">
        <f aca="false">Setup!$C$11+246</f>
        <v>45909</v>
      </c>
      <c r="C252" s="47"/>
      <c r="D252" s="48"/>
    </row>
    <row r="253" customFormat="false" ht="15" hidden="false" customHeight="false" outlineLevel="0" collapsed="false">
      <c r="A253" s="12" t="s">
        <v>158</v>
      </c>
      <c r="B253" s="13" t="n">
        <f aca="false">Setup!$C$11+247</f>
        <v>45910</v>
      </c>
      <c r="C253" s="47"/>
      <c r="D253" s="48"/>
    </row>
    <row r="254" customFormat="false" ht="15" hidden="false" customHeight="false" outlineLevel="0" collapsed="false">
      <c r="A254" s="12" t="s">
        <v>158</v>
      </c>
      <c r="B254" s="13" t="n">
        <f aca="false">Setup!$C$11+248</f>
        <v>45911</v>
      </c>
      <c r="C254" s="47"/>
      <c r="D254" s="48"/>
    </row>
    <row r="255" customFormat="false" ht="15" hidden="false" customHeight="false" outlineLevel="0" collapsed="false">
      <c r="A255" s="12" t="s">
        <v>158</v>
      </c>
      <c r="B255" s="13" t="n">
        <f aca="false">Setup!$C$11+249</f>
        <v>45912</v>
      </c>
      <c r="C255" s="47"/>
      <c r="D255" s="48"/>
    </row>
    <row r="256" customFormat="false" ht="15" hidden="false" customHeight="false" outlineLevel="0" collapsed="false">
      <c r="A256" s="12" t="s">
        <v>158</v>
      </c>
      <c r="B256" s="13" t="n">
        <f aca="false">Setup!$C$11+250</f>
        <v>45913</v>
      </c>
      <c r="C256" s="47"/>
      <c r="D256" s="48"/>
    </row>
    <row r="257" customFormat="false" ht="15" hidden="false" customHeight="false" outlineLevel="0" collapsed="false">
      <c r="A257" s="12" t="s">
        <v>158</v>
      </c>
      <c r="B257" s="13" t="n">
        <f aca="false">Setup!$C$11+251</f>
        <v>45914</v>
      </c>
      <c r="C257" s="47"/>
      <c r="D257" s="48"/>
    </row>
    <row r="258" customFormat="false" ht="15" hidden="false" customHeight="false" outlineLevel="0" collapsed="false">
      <c r="A258" s="12" t="s">
        <v>159</v>
      </c>
      <c r="B258" s="13" t="n">
        <f aca="false">Setup!$C$11+252</f>
        <v>45915</v>
      </c>
      <c r="C258" s="47"/>
      <c r="D258" s="48"/>
    </row>
    <row r="259" customFormat="false" ht="15" hidden="false" customHeight="false" outlineLevel="0" collapsed="false">
      <c r="A259" s="12" t="s">
        <v>159</v>
      </c>
      <c r="B259" s="13" t="n">
        <f aca="false">Setup!$C$11+253</f>
        <v>45916</v>
      </c>
      <c r="C259" s="47"/>
      <c r="D259" s="48"/>
    </row>
    <row r="260" customFormat="false" ht="15" hidden="false" customHeight="false" outlineLevel="0" collapsed="false">
      <c r="A260" s="12" t="s">
        <v>159</v>
      </c>
      <c r="B260" s="13" t="n">
        <f aca="false">Setup!$C$11+254</f>
        <v>45917</v>
      </c>
      <c r="C260" s="47"/>
      <c r="D260" s="48"/>
    </row>
    <row r="261" customFormat="false" ht="15" hidden="false" customHeight="false" outlineLevel="0" collapsed="false">
      <c r="A261" s="12" t="s">
        <v>159</v>
      </c>
      <c r="B261" s="13" t="n">
        <f aca="false">Setup!$C$11+255</f>
        <v>45918</v>
      </c>
      <c r="C261" s="47"/>
      <c r="D261" s="48"/>
    </row>
    <row r="262" customFormat="false" ht="15" hidden="false" customHeight="false" outlineLevel="0" collapsed="false">
      <c r="A262" s="12" t="s">
        <v>159</v>
      </c>
      <c r="B262" s="13" t="n">
        <f aca="false">Setup!$C$11+256</f>
        <v>45919</v>
      </c>
      <c r="C262" s="47"/>
      <c r="D262" s="48"/>
    </row>
    <row r="263" customFormat="false" ht="15" hidden="false" customHeight="false" outlineLevel="0" collapsed="false">
      <c r="A263" s="12" t="s">
        <v>159</v>
      </c>
      <c r="B263" s="13" t="n">
        <f aca="false">Setup!$C$11+257</f>
        <v>45920</v>
      </c>
      <c r="C263" s="47"/>
      <c r="D263" s="48"/>
    </row>
    <row r="264" customFormat="false" ht="15" hidden="false" customHeight="false" outlineLevel="0" collapsed="false">
      <c r="A264" s="12" t="s">
        <v>159</v>
      </c>
      <c r="B264" s="13" t="n">
        <f aca="false">Setup!$C$11+258</f>
        <v>45921</v>
      </c>
      <c r="C264" s="47"/>
      <c r="D264" s="48"/>
    </row>
    <row r="265" customFormat="false" ht="15" hidden="false" customHeight="false" outlineLevel="0" collapsed="false">
      <c r="A265" s="12" t="s">
        <v>160</v>
      </c>
      <c r="B265" s="13" t="n">
        <f aca="false">Setup!$C$11+259</f>
        <v>45922</v>
      </c>
      <c r="C265" s="47"/>
      <c r="D265" s="48"/>
    </row>
    <row r="266" customFormat="false" ht="15" hidden="false" customHeight="false" outlineLevel="0" collapsed="false">
      <c r="A266" s="12" t="s">
        <v>160</v>
      </c>
      <c r="B266" s="13" t="n">
        <f aca="false">Setup!$C$11+260</f>
        <v>45923</v>
      </c>
      <c r="C266" s="47"/>
      <c r="D266" s="48"/>
    </row>
    <row r="267" customFormat="false" ht="15" hidden="false" customHeight="false" outlineLevel="0" collapsed="false">
      <c r="A267" s="12" t="s">
        <v>160</v>
      </c>
      <c r="B267" s="13" t="n">
        <f aca="false">Setup!$C$11+261</f>
        <v>45924</v>
      </c>
      <c r="C267" s="47"/>
      <c r="D267" s="48"/>
    </row>
    <row r="268" customFormat="false" ht="15" hidden="false" customHeight="false" outlineLevel="0" collapsed="false">
      <c r="A268" s="12" t="s">
        <v>160</v>
      </c>
      <c r="B268" s="13" t="n">
        <f aca="false">Setup!$C$11+262</f>
        <v>45925</v>
      </c>
      <c r="C268" s="47"/>
      <c r="D268" s="48"/>
    </row>
    <row r="269" customFormat="false" ht="15" hidden="false" customHeight="false" outlineLevel="0" collapsed="false">
      <c r="A269" s="12" t="s">
        <v>160</v>
      </c>
      <c r="B269" s="13" t="n">
        <f aca="false">Setup!$C$11+263</f>
        <v>45926</v>
      </c>
      <c r="C269" s="47"/>
      <c r="D269" s="48"/>
    </row>
    <row r="270" customFormat="false" ht="15" hidden="false" customHeight="false" outlineLevel="0" collapsed="false">
      <c r="A270" s="12" t="s">
        <v>160</v>
      </c>
      <c r="B270" s="13" t="n">
        <f aca="false">Setup!$C$11+264</f>
        <v>45927</v>
      </c>
      <c r="C270" s="47"/>
      <c r="D270" s="48"/>
    </row>
    <row r="271" customFormat="false" ht="15" hidden="false" customHeight="false" outlineLevel="0" collapsed="false">
      <c r="A271" s="12" t="s">
        <v>160</v>
      </c>
      <c r="B271" s="13" t="n">
        <f aca="false">Setup!$C$11+265</f>
        <v>45928</v>
      </c>
      <c r="C271" s="47"/>
      <c r="D271" s="48"/>
    </row>
    <row r="272" customFormat="false" ht="15" hidden="false" customHeight="false" outlineLevel="0" collapsed="false">
      <c r="A272" s="12" t="s">
        <v>161</v>
      </c>
      <c r="B272" s="13" t="n">
        <f aca="false">Setup!$C$11+266</f>
        <v>45929</v>
      </c>
      <c r="C272" s="47"/>
      <c r="D272" s="48"/>
    </row>
    <row r="273" customFormat="false" ht="15" hidden="false" customHeight="false" outlineLevel="0" collapsed="false">
      <c r="A273" s="12" t="s">
        <v>161</v>
      </c>
      <c r="B273" s="13" t="n">
        <f aca="false">Setup!$C$11+267</f>
        <v>45930</v>
      </c>
      <c r="C273" s="47"/>
      <c r="D273" s="48"/>
    </row>
    <row r="274" customFormat="false" ht="15" hidden="false" customHeight="false" outlineLevel="0" collapsed="false">
      <c r="A274" s="12" t="s">
        <v>161</v>
      </c>
      <c r="B274" s="13" t="n">
        <f aca="false">Setup!$C$11+268</f>
        <v>45931</v>
      </c>
      <c r="C274" s="47"/>
      <c r="D274" s="48"/>
    </row>
    <row r="275" customFormat="false" ht="15" hidden="false" customHeight="false" outlineLevel="0" collapsed="false">
      <c r="A275" s="12" t="s">
        <v>161</v>
      </c>
      <c r="B275" s="13" t="n">
        <f aca="false">Setup!$C$11+269</f>
        <v>45932</v>
      </c>
      <c r="C275" s="47"/>
      <c r="D275" s="48"/>
    </row>
    <row r="276" customFormat="false" ht="15" hidden="false" customHeight="false" outlineLevel="0" collapsed="false">
      <c r="A276" s="12" t="s">
        <v>161</v>
      </c>
      <c r="B276" s="13" t="n">
        <f aca="false">Setup!$C$11+270</f>
        <v>45933</v>
      </c>
      <c r="C276" s="47"/>
      <c r="D276" s="48"/>
    </row>
    <row r="277" customFormat="false" ht="15" hidden="false" customHeight="false" outlineLevel="0" collapsed="false">
      <c r="A277" s="12" t="s">
        <v>161</v>
      </c>
      <c r="B277" s="13" t="n">
        <f aca="false">Setup!$C$11+271</f>
        <v>45934</v>
      </c>
      <c r="C277" s="47"/>
      <c r="D277" s="48"/>
    </row>
    <row r="278" customFormat="false" ht="15" hidden="false" customHeight="false" outlineLevel="0" collapsed="false">
      <c r="A278" s="12" t="s">
        <v>161</v>
      </c>
      <c r="B278" s="13" t="n">
        <f aca="false">Setup!$C$11+272</f>
        <v>45935</v>
      </c>
      <c r="C278" s="47"/>
      <c r="D278" s="48"/>
    </row>
    <row r="279" customFormat="false" ht="15" hidden="false" customHeight="false" outlineLevel="0" collapsed="false">
      <c r="A279" s="12" t="s">
        <v>162</v>
      </c>
      <c r="B279" s="13" t="n">
        <f aca="false">Setup!$C$11+273</f>
        <v>45936</v>
      </c>
      <c r="C279" s="47"/>
      <c r="D279" s="48"/>
    </row>
    <row r="280" customFormat="false" ht="15" hidden="false" customHeight="false" outlineLevel="0" collapsed="false">
      <c r="A280" s="12" t="s">
        <v>162</v>
      </c>
      <c r="B280" s="13" t="n">
        <f aca="false">Setup!$C$11+274</f>
        <v>45937</v>
      </c>
      <c r="C280" s="47"/>
      <c r="D280" s="48"/>
    </row>
    <row r="281" customFormat="false" ht="15" hidden="false" customHeight="false" outlineLevel="0" collapsed="false">
      <c r="A281" s="12" t="s">
        <v>162</v>
      </c>
      <c r="B281" s="13" t="n">
        <f aca="false">Setup!$C$11+275</f>
        <v>45938</v>
      </c>
      <c r="C281" s="47"/>
      <c r="D281" s="48"/>
    </row>
    <row r="282" customFormat="false" ht="15" hidden="false" customHeight="false" outlineLevel="0" collapsed="false">
      <c r="A282" s="12" t="s">
        <v>162</v>
      </c>
      <c r="B282" s="13" t="n">
        <f aca="false">Setup!$C$11+276</f>
        <v>45939</v>
      </c>
      <c r="C282" s="47"/>
      <c r="D282" s="48"/>
    </row>
    <row r="283" customFormat="false" ht="15" hidden="false" customHeight="false" outlineLevel="0" collapsed="false">
      <c r="A283" s="12" t="s">
        <v>162</v>
      </c>
      <c r="B283" s="13" t="n">
        <f aca="false">Setup!$C$11+277</f>
        <v>45940</v>
      </c>
      <c r="C283" s="47"/>
      <c r="D283" s="48"/>
    </row>
    <row r="284" customFormat="false" ht="15" hidden="false" customHeight="false" outlineLevel="0" collapsed="false">
      <c r="A284" s="12" t="s">
        <v>162</v>
      </c>
      <c r="B284" s="13" t="n">
        <f aca="false">Setup!$C$11+278</f>
        <v>45941</v>
      </c>
      <c r="C284" s="47"/>
      <c r="D284" s="48"/>
    </row>
    <row r="285" customFormat="false" ht="15" hidden="false" customHeight="false" outlineLevel="0" collapsed="false">
      <c r="A285" s="12" t="s">
        <v>162</v>
      </c>
      <c r="B285" s="13" t="n">
        <f aca="false">Setup!$C$11+279</f>
        <v>45942</v>
      </c>
      <c r="C285" s="47"/>
      <c r="D285" s="48"/>
    </row>
    <row r="286" customFormat="false" ht="15" hidden="false" customHeight="false" outlineLevel="0" collapsed="false">
      <c r="A286" s="12" t="s">
        <v>163</v>
      </c>
      <c r="B286" s="13" t="n">
        <f aca="false">Setup!$C$11+280</f>
        <v>45943</v>
      </c>
      <c r="C286" s="47"/>
      <c r="D286" s="48"/>
    </row>
    <row r="287" customFormat="false" ht="15" hidden="false" customHeight="false" outlineLevel="0" collapsed="false">
      <c r="A287" s="12" t="s">
        <v>163</v>
      </c>
      <c r="B287" s="13" t="n">
        <f aca="false">Setup!$C$11+281</f>
        <v>45944</v>
      </c>
      <c r="C287" s="47"/>
      <c r="D287" s="48"/>
    </row>
    <row r="288" customFormat="false" ht="15" hidden="false" customHeight="false" outlineLevel="0" collapsed="false">
      <c r="A288" s="12" t="s">
        <v>163</v>
      </c>
      <c r="B288" s="13" t="n">
        <f aca="false">Setup!$C$11+282</f>
        <v>45945</v>
      </c>
      <c r="C288" s="47"/>
      <c r="D288" s="48"/>
    </row>
    <row r="289" customFormat="false" ht="15" hidden="false" customHeight="false" outlineLevel="0" collapsed="false">
      <c r="A289" s="12" t="s">
        <v>163</v>
      </c>
      <c r="B289" s="13" t="n">
        <f aca="false">Setup!$C$11+283</f>
        <v>45946</v>
      </c>
      <c r="C289" s="47"/>
      <c r="D289" s="48"/>
    </row>
    <row r="290" customFormat="false" ht="15" hidden="false" customHeight="false" outlineLevel="0" collapsed="false">
      <c r="A290" s="12" t="s">
        <v>163</v>
      </c>
      <c r="B290" s="13" t="n">
        <f aca="false">Setup!$C$11+284</f>
        <v>45947</v>
      </c>
      <c r="C290" s="47"/>
      <c r="D290" s="48"/>
    </row>
    <row r="291" customFormat="false" ht="15" hidden="false" customHeight="false" outlineLevel="0" collapsed="false">
      <c r="A291" s="12" t="s">
        <v>163</v>
      </c>
      <c r="B291" s="13" t="n">
        <f aca="false">Setup!$C$11+285</f>
        <v>45948</v>
      </c>
      <c r="C291" s="47"/>
      <c r="D291" s="48"/>
    </row>
    <row r="292" customFormat="false" ht="15" hidden="false" customHeight="false" outlineLevel="0" collapsed="false">
      <c r="A292" s="12" t="s">
        <v>163</v>
      </c>
      <c r="B292" s="13" t="n">
        <f aca="false">Setup!$C$11+286</f>
        <v>45949</v>
      </c>
      <c r="C292" s="47"/>
      <c r="D292" s="48"/>
    </row>
    <row r="293" customFormat="false" ht="15" hidden="false" customHeight="false" outlineLevel="0" collapsed="false">
      <c r="A293" s="12" t="s">
        <v>164</v>
      </c>
      <c r="B293" s="13" t="n">
        <f aca="false">Setup!$C$11+287</f>
        <v>45950</v>
      </c>
      <c r="C293" s="47"/>
      <c r="D293" s="48"/>
    </row>
    <row r="294" customFormat="false" ht="15" hidden="false" customHeight="false" outlineLevel="0" collapsed="false">
      <c r="A294" s="12" t="s">
        <v>164</v>
      </c>
      <c r="B294" s="13" t="n">
        <f aca="false">Setup!$C$11+288</f>
        <v>45951</v>
      </c>
      <c r="C294" s="47"/>
      <c r="D294" s="48"/>
    </row>
    <row r="295" customFormat="false" ht="15" hidden="false" customHeight="false" outlineLevel="0" collapsed="false">
      <c r="A295" s="12" t="s">
        <v>164</v>
      </c>
      <c r="B295" s="13" t="n">
        <f aca="false">Setup!$C$11+289</f>
        <v>45952</v>
      </c>
      <c r="C295" s="47"/>
      <c r="D295" s="48"/>
    </row>
    <row r="296" customFormat="false" ht="15" hidden="false" customHeight="false" outlineLevel="0" collapsed="false">
      <c r="A296" s="12" t="s">
        <v>164</v>
      </c>
      <c r="B296" s="13" t="n">
        <f aca="false">Setup!$C$11+290</f>
        <v>45953</v>
      </c>
      <c r="C296" s="47"/>
      <c r="D296" s="48"/>
    </row>
    <row r="297" customFormat="false" ht="15" hidden="false" customHeight="false" outlineLevel="0" collapsed="false">
      <c r="A297" s="12" t="s">
        <v>164</v>
      </c>
      <c r="B297" s="13" t="n">
        <f aca="false">Setup!$C$11+291</f>
        <v>45954</v>
      </c>
      <c r="C297" s="47"/>
      <c r="D297" s="48"/>
    </row>
    <row r="298" customFormat="false" ht="15" hidden="false" customHeight="false" outlineLevel="0" collapsed="false">
      <c r="A298" s="12" t="s">
        <v>164</v>
      </c>
      <c r="B298" s="13" t="n">
        <f aca="false">Setup!$C$11+292</f>
        <v>45955</v>
      </c>
      <c r="C298" s="47"/>
      <c r="D298" s="48"/>
    </row>
    <row r="299" customFormat="false" ht="15" hidden="false" customHeight="false" outlineLevel="0" collapsed="false">
      <c r="A299" s="12" t="s">
        <v>164</v>
      </c>
      <c r="B299" s="13" t="n">
        <f aca="false">Setup!$C$11+293</f>
        <v>45956</v>
      </c>
      <c r="C299" s="47"/>
      <c r="D299" s="48"/>
    </row>
    <row r="300" customFormat="false" ht="15" hidden="false" customHeight="false" outlineLevel="0" collapsed="false">
      <c r="A300" s="12" t="s">
        <v>165</v>
      </c>
      <c r="B300" s="13" t="n">
        <f aca="false">Setup!$C$11+294</f>
        <v>45957</v>
      </c>
      <c r="C300" s="47"/>
      <c r="D300" s="48"/>
    </row>
    <row r="301" customFormat="false" ht="15" hidden="false" customHeight="false" outlineLevel="0" collapsed="false">
      <c r="A301" s="12" t="s">
        <v>165</v>
      </c>
      <c r="B301" s="13" t="n">
        <f aca="false">Setup!$C$11+295</f>
        <v>45958</v>
      </c>
      <c r="C301" s="47"/>
      <c r="D301" s="48"/>
    </row>
    <row r="302" customFormat="false" ht="15" hidden="false" customHeight="false" outlineLevel="0" collapsed="false">
      <c r="A302" s="12" t="s">
        <v>165</v>
      </c>
      <c r="B302" s="13" t="n">
        <f aca="false">Setup!$C$11+296</f>
        <v>45959</v>
      </c>
      <c r="C302" s="47"/>
      <c r="D302" s="48"/>
    </row>
    <row r="303" customFormat="false" ht="15" hidden="false" customHeight="false" outlineLevel="0" collapsed="false">
      <c r="A303" s="12" t="s">
        <v>165</v>
      </c>
      <c r="B303" s="13" t="n">
        <f aca="false">Setup!$C$11+297</f>
        <v>45960</v>
      </c>
      <c r="C303" s="47"/>
      <c r="D303" s="48"/>
    </row>
    <row r="304" customFormat="false" ht="15" hidden="false" customHeight="false" outlineLevel="0" collapsed="false">
      <c r="A304" s="12" t="s">
        <v>165</v>
      </c>
      <c r="B304" s="13" t="n">
        <f aca="false">Setup!$C$11+298</f>
        <v>45961</v>
      </c>
      <c r="C304" s="47"/>
      <c r="D304" s="48"/>
    </row>
    <row r="305" customFormat="false" ht="15" hidden="false" customHeight="false" outlineLevel="0" collapsed="false">
      <c r="A305" s="12" t="s">
        <v>165</v>
      </c>
      <c r="B305" s="13" t="n">
        <f aca="false">Setup!$C$11+299</f>
        <v>45962</v>
      </c>
      <c r="C305" s="47"/>
      <c r="D305" s="48"/>
    </row>
    <row r="306" customFormat="false" ht="15" hidden="false" customHeight="false" outlineLevel="0" collapsed="false">
      <c r="A306" s="12" t="s">
        <v>165</v>
      </c>
      <c r="B306" s="13" t="n">
        <f aca="false">Setup!$C$11+300</f>
        <v>45963</v>
      </c>
      <c r="C306" s="47"/>
      <c r="D306" s="48"/>
    </row>
    <row r="307" customFormat="false" ht="15" hidden="false" customHeight="false" outlineLevel="0" collapsed="false">
      <c r="A307" s="12" t="s">
        <v>166</v>
      </c>
      <c r="B307" s="13" t="n">
        <f aca="false">Setup!$C$11+301</f>
        <v>45964</v>
      </c>
      <c r="C307" s="47"/>
      <c r="D307" s="48"/>
    </row>
    <row r="308" customFormat="false" ht="15" hidden="false" customHeight="false" outlineLevel="0" collapsed="false">
      <c r="A308" s="12" t="s">
        <v>166</v>
      </c>
      <c r="B308" s="13" t="n">
        <f aca="false">Setup!$C$11+302</f>
        <v>45965</v>
      </c>
      <c r="C308" s="47"/>
      <c r="D308" s="48"/>
    </row>
    <row r="309" customFormat="false" ht="15" hidden="false" customHeight="false" outlineLevel="0" collapsed="false">
      <c r="A309" s="12" t="s">
        <v>166</v>
      </c>
      <c r="B309" s="13" t="n">
        <f aca="false">Setup!$C$11+303</f>
        <v>45966</v>
      </c>
      <c r="C309" s="47"/>
      <c r="D309" s="48"/>
    </row>
    <row r="310" customFormat="false" ht="15" hidden="false" customHeight="false" outlineLevel="0" collapsed="false">
      <c r="A310" s="12" t="s">
        <v>166</v>
      </c>
      <c r="B310" s="13" t="n">
        <f aca="false">Setup!$C$11+304</f>
        <v>45967</v>
      </c>
      <c r="C310" s="47"/>
      <c r="D310" s="48"/>
    </row>
    <row r="311" customFormat="false" ht="15" hidden="false" customHeight="false" outlineLevel="0" collapsed="false">
      <c r="A311" s="12" t="s">
        <v>166</v>
      </c>
      <c r="B311" s="13" t="n">
        <f aca="false">Setup!$C$11+305</f>
        <v>45968</v>
      </c>
      <c r="C311" s="47"/>
      <c r="D311" s="48"/>
    </row>
    <row r="312" customFormat="false" ht="15" hidden="false" customHeight="false" outlineLevel="0" collapsed="false">
      <c r="A312" s="12" t="s">
        <v>166</v>
      </c>
      <c r="B312" s="13" t="n">
        <f aca="false">Setup!$C$11+306</f>
        <v>45969</v>
      </c>
      <c r="C312" s="47"/>
      <c r="D312" s="48"/>
    </row>
    <row r="313" customFormat="false" ht="15" hidden="false" customHeight="false" outlineLevel="0" collapsed="false">
      <c r="A313" s="12" t="s">
        <v>166</v>
      </c>
      <c r="B313" s="13" t="n">
        <f aca="false">Setup!$C$11+307</f>
        <v>45970</v>
      </c>
      <c r="C313" s="47"/>
      <c r="D313" s="48"/>
    </row>
    <row r="314" customFormat="false" ht="15" hidden="false" customHeight="false" outlineLevel="0" collapsed="false">
      <c r="A314" s="12" t="s">
        <v>167</v>
      </c>
      <c r="B314" s="13" t="n">
        <f aca="false">Setup!$C$11+308</f>
        <v>45971</v>
      </c>
      <c r="C314" s="47"/>
      <c r="D314" s="48"/>
    </row>
    <row r="315" customFormat="false" ht="15" hidden="false" customHeight="false" outlineLevel="0" collapsed="false">
      <c r="A315" s="12" t="s">
        <v>167</v>
      </c>
      <c r="B315" s="13" t="n">
        <f aca="false">Setup!$C$11+309</f>
        <v>45972</v>
      </c>
      <c r="C315" s="47"/>
      <c r="D315" s="48"/>
    </row>
    <row r="316" customFormat="false" ht="15" hidden="false" customHeight="false" outlineLevel="0" collapsed="false">
      <c r="A316" s="12" t="s">
        <v>167</v>
      </c>
      <c r="B316" s="13" t="n">
        <f aca="false">Setup!$C$11+310</f>
        <v>45973</v>
      </c>
      <c r="C316" s="47"/>
      <c r="D316" s="48"/>
    </row>
    <row r="317" customFormat="false" ht="15" hidden="false" customHeight="false" outlineLevel="0" collapsed="false">
      <c r="A317" s="12" t="s">
        <v>167</v>
      </c>
      <c r="B317" s="13" t="n">
        <f aca="false">Setup!$C$11+311</f>
        <v>45974</v>
      </c>
      <c r="C317" s="47"/>
      <c r="D317" s="48"/>
    </row>
    <row r="318" customFormat="false" ht="15" hidden="false" customHeight="false" outlineLevel="0" collapsed="false">
      <c r="A318" s="12" t="s">
        <v>167</v>
      </c>
      <c r="B318" s="13" t="n">
        <f aca="false">Setup!$C$11+312</f>
        <v>45975</v>
      </c>
      <c r="C318" s="47"/>
      <c r="D318" s="48"/>
    </row>
    <row r="319" customFormat="false" ht="15" hidden="false" customHeight="false" outlineLevel="0" collapsed="false">
      <c r="A319" s="12" t="s">
        <v>167</v>
      </c>
      <c r="B319" s="13" t="n">
        <f aca="false">Setup!$C$11+313</f>
        <v>45976</v>
      </c>
      <c r="C319" s="47"/>
      <c r="D319" s="48"/>
    </row>
    <row r="320" customFormat="false" ht="15" hidden="false" customHeight="false" outlineLevel="0" collapsed="false">
      <c r="A320" s="12" t="s">
        <v>167</v>
      </c>
      <c r="B320" s="13" t="n">
        <f aca="false">Setup!$C$11+314</f>
        <v>45977</v>
      </c>
      <c r="C320" s="47"/>
      <c r="D320" s="48"/>
    </row>
    <row r="321" customFormat="false" ht="15" hidden="false" customHeight="false" outlineLevel="0" collapsed="false">
      <c r="A321" s="12" t="s">
        <v>168</v>
      </c>
      <c r="B321" s="13" t="n">
        <f aca="false">Setup!$C$11+315</f>
        <v>45978</v>
      </c>
      <c r="C321" s="47"/>
      <c r="D321" s="48"/>
    </row>
    <row r="322" customFormat="false" ht="15" hidden="false" customHeight="false" outlineLevel="0" collapsed="false">
      <c r="A322" s="12" t="s">
        <v>168</v>
      </c>
      <c r="B322" s="13" t="n">
        <f aca="false">Setup!$C$11+316</f>
        <v>45979</v>
      </c>
      <c r="C322" s="47"/>
      <c r="D322" s="48"/>
    </row>
    <row r="323" customFormat="false" ht="15" hidden="false" customHeight="false" outlineLevel="0" collapsed="false">
      <c r="A323" s="12" t="s">
        <v>168</v>
      </c>
      <c r="B323" s="13" t="n">
        <f aca="false">Setup!$C$11+317</f>
        <v>45980</v>
      </c>
      <c r="C323" s="47"/>
      <c r="D323" s="48"/>
    </row>
    <row r="324" customFormat="false" ht="15" hidden="false" customHeight="false" outlineLevel="0" collapsed="false">
      <c r="A324" s="12" t="s">
        <v>168</v>
      </c>
      <c r="B324" s="13" t="n">
        <f aca="false">Setup!$C$11+318</f>
        <v>45981</v>
      </c>
      <c r="C324" s="47"/>
      <c r="D324" s="48"/>
    </row>
    <row r="325" customFormat="false" ht="15" hidden="false" customHeight="false" outlineLevel="0" collapsed="false">
      <c r="A325" s="12" t="s">
        <v>168</v>
      </c>
      <c r="B325" s="13" t="n">
        <f aca="false">Setup!$C$11+319</f>
        <v>45982</v>
      </c>
      <c r="C325" s="47"/>
      <c r="D325" s="48"/>
    </row>
    <row r="326" customFormat="false" ht="15" hidden="false" customHeight="false" outlineLevel="0" collapsed="false">
      <c r="A326" s="12" t="s">
        <v>168</v>
      </c>
      <c r="B326" s="13" t="n">
        <f aca="false">Setup!$C$11+320</f>
        <v>45983</v>
      </c>
      <c r="C326" s="47"/>
      <c r="D326" s="48"/>
    </row>
    <row r="327" customFormat="false" ht="15" hidden="false" customHeight="false" outlineLevel="0" collapsed="false">
      <c r="A327" s="12" t="s">
        <v>168</v>
      </c>
      <c r="B327" s="13" t="n">
        <f aca="false">Setup!$C$11+321</f>
        <v>45984</v>
      </c>
      <c r="C327" s="47"/>
      <c r="D327" s="48"/>
    </row>
    <row r="328" customFormat="false" ht="15" hidden="false" customHeight="false" outlineLevel="0" collapsed="false">
      <c r="A328" s="12" t="s">
        <v>169</v>
      </c>
      <c r="B328" s="13" t="n">
        <f aca="false">Setup!$C$11+322</f>
        <v>45985</v>
      </c>
      <c r="C328" s="47"/>
      <c r="D328" s="48"/>
    </row>
    <row r="329" customFormat="false" ht="15" hidden="false" customHeight="false" outlineLevel="0" collapsed="false">
      <c r="A329" s="12" t="s">
        <v>169</v>
      </c>
      <c r="B329" s="13" t="n">
        <f aca="false">Setup!$C$11+323</f>
        <v>45986</v>
      </c>
      <c r="C329" s="47"/>
      <c r="D329" s="48"/>
    </row>
    <row r="330" customFormat="false" ht="15" hidden="false" customHeight="false" outlineLevel="0" collapsed="false">
      <c r="A330" s="12" t="s">
        <v>169</v>
      </c>
      <c r="B330" s="13" t="n">
        <f aca="false">Setup!$C$11+324</f>
        <v>45987</v>
      </c>
      <c r="C330" s="47"/>
      <c r="D330" s="48"/>
    </row>
    <row r="331" customFormat="false" ht="15" hidden="false" customHeight="false" outlineLevel="0" collapsed="false">
      <c r="A331" s="12" t="s">
        <v>169</v>
      </c>
      <c r="B331" s="13" t="n">
        <f aca="false">Setup!$C$11+325</f>
        <v>45988</v>
      </c>
      <c r="C331" s="47"/>
      <c r="D331" s="48"/>
    </row>
    <row r="332" customFormat="false" ht="15" hidden="false" customHeight="false" outlineLevel="0" collapsed="false">
      <c r="A332" s="12" t="s">
        <v>169</v>
      </c>
      <c r="B332" s="13" t="n">
        <f aca="false">Setup!$C$11+326</f>
        <v>45989</v>
      </c>
      <c r="C332" s="47"/>
      <c r="D332" s="48"/>
    </row>
    <row r="333" customFormat="false" ht="15" hidden="false" customHeight="false" outlineLevel="0" collapsed="false">
      <c r="A333" s="12" t="s">
        <v>169</v>
      </c>
      <c r="B333" s="13" t="n">
        <f aca="false">Setup!$C$11+327</f>
        <v>45990</v>
      </c>
      <c r="C333" s="47"/>
      <c r="D333" s="48"/>
    </row>
    <row r="334" customFormat="false" ht="15" hidden="false" customHeight="false" outlineLevel="0" collapsed="false">
      <c r="A334" s="12" t="s">
        <v>169</v>
      </c>
      <c r="B334" s="13" t="n">
        <f aca="false">Setup!$C$11+328</f>
        <v>45991</v>
      </c>
      <c r="C334" s="47"/>
      <c r="D334" s="48"/>
    </row>
    <row r="335" customFormat="false" ht="15" hidden="false" customHeight="false" outlineLevel="0" collapsed="false">
      <c r="A335" s="12" t="s">
        <v>170</v>
      </c>
      <c r="B335" s="13" t="n">
        <f aca="false">Setup!$C$11+329</f>
        <v>45992</v>
      </c>
      <c r="C335" s="47"/>
      <c r="D335" s="48"/>
    </row>
    <row r="336" customFormat="false" ht="15" hidden="false" customHeight="false" outlineLevel="0" collapsed="false">
      <c r="A336" s="12" t="s">
        <v>170</v>
      </c>
      <c r="B336" s="13" t="n">
        <f aca="false">Setup!$C$11+330</f>
        <v>45993</v>
      </c>
      <c r="C336" s="47"/>
      <c r="D336" s="48"/>
    </row>
    <row r="337" customFormat="false" ht="15" hidden="false" customHeight="false" outlineLevel="0" collapsed="false">
      <c r="A337" s="12" t="s">
        <v>170</v>
      </c>
      <c r="B337" s="13" t="n">
        <f aca="false">Setup!$C$11+331</f>
        <v>45994</v>
      </c>
      <c r="C337" s="47"/>
      <c r="D337" s="48"/>
    </row>
    <row r="338" customFormat="false" ht="15" hidden="false" customHeight="false" outlineLevel="0" collapsed="false">
      <c r="A338" s="12" t="s">
        <v>170</v>
      </c>
      <c r="B338" s="13" t="n">
        <f aca="false">Setup!$C$11+332</f>
        <v>45995</v>
      </c>
      <c r="C338" s="47"/>
      <c r="D338" s="48"/>
    </row>
    <row r="339" customFormat="false" ht="15" hidden="false" customHeight="false" outlineLevel="0" collapsed="false">
      <c r="A339" s="12" t="s">
        <v>170</v>
      </c>
      <c r="B339" s="13" t="n">
        <f aca="false">Setup!$C$11+333</f>
        <v>45996</v>
      </c>
      <c r="C339" s="47"/>
      <c r="D339" s="48"/>
    </row>
    <row r="340" customFormat="false" ht="15" hidden="false" customHeight="false" outlineLevel="0" collapsed="false">
      <c r="A340" s="12" t="s">
        <v>170</v>
      </c>
      <c r="B340" s="13" t="n">
        <f aca="false">Setup!$C$11+334</f>
        <v>45997</v>
      </c>
      <c r="C340" s="47"/>
      <c r="D340" s="48"/>
    </row>
    <row r="341" customFormat="false" ht="15" hidden="false" customHeight="false" outlineLevel="0" collapsed="false">
      <c r="A341" s="12" t="s">
        <v>170</v>
      </c>
      <c r="B341" s="13" t="n">
        <f aca="false">Setup!$C$11+335</f>
        <v>45998</v>
      </c>
      <c r="C341" s="47"/>
      <c r="D341" s="48"/>
    </row>
    <row r="342" customFormat="false" ht="15" hidden="false" customHeight="false" outlineLevel="0" collapsed="false">
      <c r="A342" s="12" t="s">
        <v>171</v>
      </c>
      <c r="B342" s="13" t="n">
        <f aca="false">Setup!$C$11+336</f>
        <v>45999</v>
      </c>
      <c r="C342" s="47"/>
      <c r="D342" s="48"/>
    </row>
    <row r="343" customFormat="false" ht="15" hidden="false" customHeight="false" outlineLevel="0" collapsed="false">
      <c r="A343" s="12" t="s">
        <v>171</v>
      </c>
      <c r="B343" s="13" t="n">
        <f aca="false">Setup!$C$11+337</f>
        <v>46000</v>
      </c>
      <c r="C343" s="47"/>
      <c r="D343" s="48"/>
    </row>
    <row r="344" customFormat="false" ht="15" hidden="false" customHeight="false" outlineLevel="0" collapsed="false">
      <c r="A344" s="12" t="s">
        <v>171</v>
      </c>
      <c r="B344" s="13" t="n">
        <f aca="false">Setup!$C$11+338</f>
        <v>46001</v>
      </c>
      <c r="C344" s="47"/>
      <c r="D344" s="48"/>
    </row>
    <row r="345" customFormat="false" ht="15" hidden="false" customHeight="false" outlineLevel="0" collapsed="false">
      <c r="A345" s="12" t="s">
        <v>171</v>
      </c>
      <c r="B345" s="13" t="n">
        <f aca="false">Setup!$C$11+339</f>
        <v>46002</v>
      </c>
      <c r="C345" s="47"/>
      <c r="D345" s="48"/>
    </row>
    <row r="346" customFormat="false" ht="15" hidden="false" customHeight="false" outlineLevel="0" collapsed="false">
      <c r="A346" s="12" t="s">
        <v>171</v>
      </c>
      <c r="B346" s="13" t="n">
        <f aca="false">Setup!$C$11+340</f>
        <v>46003</v>
      </c>
      <c r="C346" s="47"/>
      <c r="D346" s="48"/>
    </row>
    <row r="347" customFormat="false" ht="15" hidden="false" customHeight="false" outlineLevel="0" collapsed="false">
      <c r="A347" s="12" t="s">
        <v>171</v>
      </c>
      <c r="B347" s="13" t="n">
        <f aca="false">Setup!$C$11+341</f>
        <v>46004</v>
      </c>
      <c r="C347" s="47"/>
      <c r="D347" s="48"/>
    </row>
    <row r="348" customFormat="false" ht="15" hidden="false" customHeight="false" outlineLevel="0" collapsed="false">
      <c r="A348" s="12" t="s">
        <v>171</v>
      </c>
      <c r="B348" s="13" t="n">
        <f aca="false">Setup!$C$11+342</f>
        <v>46005</v>
      </c>
      <c r="C348" s="47"/>
      <c r="D348" s="48"/>
    </row>
    <row r="349" customFormat="false" ht="15" hidden="false" customHeight="false" outlineLevel="0" collapsed="false">
      <c r="A349" s="12" t="s">
        <v>172</v>
      </c>
      <c r="B349" s="13" t="n">
        <f aca="false">Setup!$C$11+343</f>
        <v>46006</v>
      </c>
      <c r="C349" s="47"/>
      <c r="D349" s="48"/>
    </row>
    <row r="350" customFormat="false" ht="15" hidden="false" customHeight="false" outlineLevel="0" collapsed="false">
      <c r="A350" s="12" t="s">
        <v>172</v>
      </c>
      <c r="B350" s="13" t="n">
        <f aca="false">Setup!$C$11+344</f>
        <v>46007</v>
      </c>
      <c r="C350" s="47"/>
      <c r="D350" s="48"/>
    </row>
    <row r="351" customFormat="false" ht="15" hidden="false" customHeight="false" outlineLevel="0" collapsed="false">
      <c r="A351" s="12" t="s">
        <v>172</v>
      </c>
      <c r="B351" s="13" t="n">
        <f aca="false">Setup!$C$11+345</f>
        <v>46008</v>
      </c>
      <c r="C351" s="47"/>
      <c r="D351" s="48"/>
    </row>
    <row r="352" customFormat="false" ht="15" hidden="false" customHeight="false" outlineLevel="0" collapsed="false">
      <c r="A352" s="12" t="s">
        <v>172</v>
      </c>
      <c r="B352" s="13" t="n">
        <f aca="false">Setup!$C$11+346</f>
        <v>46009</v>
      </c>
      <c r="C352" s="47"/>
      <c r="D352" s="48"/>
    </row>
    <row r="353" customFormat="false" ht="15" hidden="false" customHeight="false" outlineLevel="0" collapsed="false">
      <c r="A353" s="12" t="s">
        <v>172</v>
      </c>
      <c r="B353" s="13" t="n">
        <f aca="false">Setup!$C$11+347</f>
        <v>46010</v>
      </c>
      <c r="C353" s="47"/>
      <c r="D353" s="48"/>
    </row>
    <row r="354" customFormat="false" ht="15" hidden="false" customHeight="false" outlineLevel="0" collapsed="false">
      <c r="A354" s="12" t="s">
        <v>172</v>
      </c>
      <c r="B354" s="13" t="n">
        <f aca="false">Setup!$C$11+348</f>
        <v>46011</v>
      </c>
      <c r="C354" s="47"/>
      <c r="D354" s="48"/>
    </row>
    <row r="355" customFormat="false" ht="15" hidden="false" customHeight="false" outlineLevel="0" collapsed="false">
      <c r="A355" s="12" t="s">
        <v>172</v>
      </c>
      <c r="B355" s="13" t="n">
        <f aca="false">Setup!$C$11+349</f>
        <v>46012</v>
      </c>
      <c r="C355" s="47"/>
      <c r="D355" s="48"/>
    </row>
    <row r="356" customFormat="false" ht="15" hidden="false" customHeight="false" outlineLevel="0" collapsed="false">
      <c r="A356" s="12" t="s">
        <v>173</v>
      </c>
      <c r="B356" s="13" t="n">
        <f aca="false">Setup!$C$11+350</f>
        <v>46013</v>
      </c>
      <c r="C356" s="47"/>
      <c r="D356" s="48"/>
    </row>
    <row r="357" customFormat="false" ht="15" hidden="false" customHeight="false" outlineLevel="0" collapsed="false">
      <c r="A357" s="12" t="s">
        <v>173</v>
      </c>
      <c r="B357" s="13" t="n">
        <f aca="false">Setup!$C$11+351</f>
        <v>46014</v>
      </c>
      <c r="C357" s="47"/>
      <c r="D357" s="48"/>
    </row>
    <row r="358" customFormat="false" ht="15" hidden="false" customHeight="false" outlineLevel="0" collapsed="false">
      <c r="A358" s="12" t="s">
        <v>173</v>
      </c>
      <c r="B358" s="13" t="n">
        <f aca="false">Setup!$C$11+352</f>
        <v>46015</v>
      </c>
      <c r="C358" s="47"/>
      <c r="D358" s="48"/>
    </row>
    <row r="359" customFormat="false" ht="15" hidden="false" customHeight="false" outlineLevel="0" collapsed="false">
      <c r="A359" s="12" t="s">
        <v>173</v>
      </c>
      <c r="B359" s="13" t="n">
        <f aca="false">Setup!$C$11+353</f>
        <v>46016</v>
      </c>
      <c r="C359" s="47"/>
      <c r="D359" s="48"/>
    </row>
    <row r="360" customFormat="false" ht="15" hidden="false" customHeight="false" outlineLevel="0" collapsed="false">
      <c r="A360" s="12" t="s">
        <v>173</v>
      </c>
      <c r="B360" s="13" t="n">
        <f aca="false">Setup!$C$11+354</f>
        <v>46017</v>
      </c>
      <c r="C360" s="47"/>
      <c r="D360" s="48"/>
    </row>
    <row r="361" customFormat="false" ht="15" hidden="false" customHeight="false" outlineLevel="0" collapsed="false">
      <c r="A361" s="12" t="s">
        <v>173</v>
      </c>
      <c r="B361" s="13" t="n">
        <f aca="false">Setup!$C$11+355</f>
        <v>46018</v>
      </c>
      <c r="C361" s="47"/>
      <c r="D361" s="48"/>
    </row>
    <row r="362" customFormat="false" ht="15" hidden="false" customHeight="false" outlineLevel="0" collapsed="false">
      <c r="A362" s="12" t="s">
        <v>173</v>
      </c>
      <c r="B362" s="13" t="n">
        <f aca="false">Setup!$C$11+356</f>
        <v>46019</v>
      </c>
      <c r="C362" s="47"/>
      <c r="D362" s="48"/>
    </row>
    <row r="363" customFormat="false" ht="15" hidden="false" customHeight="false" outlineLevel="0" collapsed="false">
      <c r="A363" s="12" t="s">
        <v>174</v>
      </c>
      <c r="B363" s="13" t="n">
        <f aca="false">Setup!$C$11+357</f>
        <v>46020</v>
      </c>
      <c r="C363" s="47"/>
      <c r="D363" s="48"/>
    </row>
    <row r="364" customFormat="false" ht="15" hidden="false" customHeight="false" outlineLevel="0" collapsed="false">
      <c r="A364" s="12" t="s">
        <v>174</v>
      </c>
      <c r="B364" s="13" t="n">
        <f aca="false">Setup!$C$11+358</f>
        <v>46021</v>
      </c>
      <c r="C364" s="47"/>
      <c r="D364" s="48"/>
    </row>
    <row r="365" customFormat="false" ht="15" hidden="false" customHeight="false" outlineLevel="0" collapsed="false">
      <c r="A365" s="12" t="s">
        <v>174</v>
      </c>
      <c r="B365" s="13" t="n">
        <f aca="false">Setup!$C$11+359</f>
        <v>46022</v>
      </c>
      <c r="C365" s="47"/>
      <c r="D365" s="48"/>
    </row>
    <row r="366" customFormat="false" ht="15" hidden="false" customHeight="false" outlineLevel="0" collapsed="false">
      <c r="A366" s="12" t="s">
        <v>174</v>
      </c>
      <c r="B366" s="13" t="n">
        <f aca="false">Setup!$C$11+360</f>
        <v>46023</v>
      </c>
      <c r="C366" s="47"/>
      <c r="D366" s="48"/>
    </row>
    <row r="367" customFormat="false" ht="15" hidden="false" customHeight="false" outlineLevel="0" collapsed="false">
      <c r="A367" s="12" t="s">
        <v>174</v>
      </c>
      <c r="B367" s="13" t="n">
        <f aca="false">Setup!$C$11+361</f>
        <v>46024</v>
      </c>
      <c r="C367" s="47"/>
      <c r="D367" s="48"/>
    </row>
    <row r="368" customFormat="false" ht="15" hidden="false" customHeight="false" outlineLevel="0" collapsed="false">
      <c r="A368" s="12" t="s">
        <v>174</v>
      </c>
      <c r="B368" s="13" t="n">
        <f aca="false">Setup!$C$11+362</f>
        <v>46025</v>
      </c>
      <c r="C368" s="47"/>
      <c r="D368" s="48"/>
    </row>
    <row r="369" customFormat="false" ht="15" hidden="false" customHeight="false" outlineLevel="0" collapsed="false">
      <c r="A369" s="12" t="s">
        <v>174</v>
      </c>
      <c r="B369" s="13" t="n">
        <f aca="false">Setup!$C$11+363</f>
        <v>46026</v>
      </c>
      <c r="C369" s="47"/>
      <c r="D369" s="4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2026-08-05T14:31:50Z</dcterms:created>
  <dc:creator>openpyxl</dc:creator>
  <dc:description/>
  <dc:language>en-US</dc:language>
  <cp:lastModifiedBy/>
  <dcterms:modified xsi:type="dcterms:W3CDTF">2026-08-05T14:31:58Z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